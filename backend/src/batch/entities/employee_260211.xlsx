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2A5CA16-1AC0-4B99-910D-1815372DA876}" xr6:coauthVersionLast="47" xr6:coauthVersionMax="47" xr10:uidLastSave="{00000000-0000-0000-0000-000000000000}"/>
  <bookViews>
    <workbookView xWindow="28680" yWindow="-120" windowWidth="38640" windowHeight="21120" xr2:uid="{198D010C-F6A6-4034-BF40-06A4CAC01DEC}"/>
  </bookViews>
  <sheets>
    <sheet name="인사기본정보" sheetId="1" r:id="rId1"/>
  </sheets>
  <externalReferences>
    <externalReference r:id="rId2"/>
    <externalReference r:id="rId3"/>
  </externalReferences>
  <definedNames>
    <definedName name="_xlnm._FilterDatabase" localSheetId="0" hidden="1">인사기본정보!$A$2:$DM$2</definedName>
    <definedName name="AccessDatabase" hidden="1">"C:\My Documents\체당금.mdb"</definedName>
    <definedName name="범위">'[2]1-1. 개인별 급여분석'!$B$5:$R$43</definedName>
    <definedName name="성명">'[2]1-1. 개인별 급여분석'!$B$5:$B$39</definedName>
    <definedName name="포함단어시작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246" i="1" l="1"/>
  <c r="CB246" i="1"/>
  <c r="CG246" i="1" s="1"/>
  <c r="BZ246" i="1"/>
  <c r="BY246" i="1"/>
  <c r="BU246" i="1"/>
  <c r="BQ246" i="1"/>
  <c r="BO246" i="1"/>
  <c r="BN246" i="1"/>
  <c r="AM246" i="1"/>
  <c r="AL246" i="1"/>
  <c r="AF246" i="1"/>
  <c r="AD246" i="1" s="1"/>
  <c r="U246" i="1"/>
  <c r="T246" i="1"/>
  <c r="S246" i="1"/>
  <c r="R246" i="1"/>
  <c r="M246" i="1"/>
  <c r="K246" i="1"/>
  <c r="J246" i="1"/>
  <c r="A246" i="1"/>
  <c r="CG245" i="1"/>
  <c r="CF245" i="1"/>
  <c r="CC245" i="1"/>
  <c r="CB245" i="1"/>
  <c r="BZ245" i="1"/>
  <c r="BY245" i="1"/>
  <c r="BU245" i="1"/>
  <c r="BQ245" i="1"/>
  <c r="BO245" i="1"/>
  <c r="BN245" i="1"/>
  <c r="AM245" i="1"/>
  <c r="AL245" i="1"/>
  <c r="AK245" i="1"/>
  <c r="AF245" i="1"/>
  <c r="AD245" i="1"/>
  <c r="U245" i="1"/>
  <c r="T245" i="1"/>
  <c r="S245" i="1"/>
  <c r="R245" i="1"/>
  <c r="M245" i="1"/>
  <c r="K245" i="1"/>
  <c r="J245" i="1"/>
  <c r="A245" i="1"/>
  <c r="DG244" i="1"/>
  <c r="CG244" i="1"/>
  <c r="CF244" i="1"/>
  <c r="CB244" i="1"/>
  <c r="CC244" i="1" s="1"/>
  <c r="BU244" i="1"/>
  <c r="BQ244" i="1"/>
  <c r="BJ244" i="1"/>
  <c r="K244" i="1"/>
  <c r="J244" i="1"/>
  <c r="A244" i="1"/>
  <c r="CG243" i="1"/>
  <c r="CB243" i="1"/>
  <c r="CC243" i="1" s="1"/>
  <c r="BZ243" i="1"/>
  <c r="BY243" i="1"/>
  <c r="CF243" i="1" s="1"/>
  <c r="BU243" i="1"/>
  <c r="BQ243" i="1"/>
  <c r="BO243" i="1"/>
  <c r="BN243" i="1"/>
  <c r="BK243" i="1"/>
  <c r="BJ243" i="1"/>
  <c r="AM243" i="1"/>
  <c r="AK243" i="1"/>
  <c r="AF243" i="1"/>
  <c r="AD243" i="1"/>
  <c r="U243" i="1"/>
  <c r="T243" i="1"/>
  <c r="S243" i="1"/>
  <c r="R243" i="1"/>
  <c r="K243" i="1"/>
  <c r="J243" i="1"/>
  <c r="A243" i="1"/>
  <c r="DG242" i="1"/>
  <c r="CF242" i="1"/>
  <c r="CB242" i="1"/>
  <c r="BZ242" i="1"/>
  <c r="BV242" i="1"/>
  <c r="BU242" i="1"/>
  <c r="BQ242" i="1"/>
  <c r="BR242" i="1" s="1"/>
  <c r="BO242" i="1"/>
  <c r="BK242" i="1"/>
  <c r="BJ242" i="1"/>
  <c r="AM242" i="1"/>
  <c r="AK242" i="1"/>
  <c r="AF242" i="1"/>
  <c r="AD242" i="1"/>
  <c r="U242" i="1"/>
  <c r="T242" i="1"/>
  <c r="S242" i="1"/>
  <c r="R242" i="1"/>
  <c r="M242" i="1"/>
  <c r="K242" i="1"/>
  <c r="J242" i="1"/>
  <c r="A242" i="1"/>
  <c r="DG241" i="1"/>
  <c r="CC241" i="1"/>
  <c r="CB241" i="1"/>
  <c r="CG241" i="1" s="1"/>
  <c r="BZ241" i="1"/>
  <c r="BY241" i="1"/>
  <c r="CF241" i="1" s="1"/>
  <c r="BV241" i="1"/>
  <c r="BU241" i="1"/>
  <c r="BQ241" i="1"/>
  <c r="BR241" i="1" s="1"/>
  <c r="BO241" i="1"/>
  <c r="BN241" i="1"/>
  <c r="BK241" i="1"/>
  <c r="BJ241" i="1"/>
  <c r="AM241" i="1"/>
  <c r="AF241" i="1"/>
  <c r="AD241" i="1" s="1"/>
  <c r="AK241" i="1" s="1"/>
  <c r="AL241" i="1" s="1"/>
  <c r="U241" i="1"/>
  <c r="T241" i="1"/>
  <c r="S241" i="1"/>
  <c r="R241" i="1"/>
  <c r="K241" i="1"/>
  <c r="J241" i="1"/>
  <c r="A241" i="1"/>
  <c r="DG240" i="1"/>
  <c r="CB240" i="1"/>
  <c r="BZ240" i="1"/>
  <c r="BY240" i="1"/>
  <c r="CF240" i="1" s="1"/>
  <c r="BQ240" i="1"/>
  <c r="BO240" i="1"/>
  <c r="BN240" i="1"/>
  <c r="BU240" i="1" s="1"/>
  <c r="BK240" i="1"/>
  <c r="BJ240" i="1"/>
  <c r="AM240" i="1"/>
  <c r="AK240" i="1"/>
  <c r="AL240" i="1" s="1"/>
  <c r="AF240" i="1"/>
  <c r="AD240" i="1"/>
  <c r="U240" i="1"/>
  <c r="T240" i="1"/>
  <c r="S240" i="1"/>
  <c r="R240" i="1"/>
  <c r="K240" i="1"/>
  <c r="J240" i="1"/>
  <c r="A240" i="1"/>
  <c r="DG239" i="1"/>
  <c r="CF239" i="1"/>
  <c r="CB239" i="1"/>
  <c r="CG239" i="1" s="1"/>
  <c r="BZ239" i="1"/>
  <c r="BY239" i="1"/>
  <c r="BV239" i="1"/>
  <c r="BR239" i="1"/>
  <c r="BQ239" i="1"/>
  <c r="BO239" i="1"/>
  <c r="BN239" i="1"/>
  <c r="BU239" i="1" s="1"/>
  <c r="BK239" i="1"/>
  <c r="BJ239" i="1"/>
  <c r="AF239" i="1"/>
  <c r="AD239" i="1" s="1"/>
  <c r="U239" i="1"/>
  <c r="T239" i="1"/>
  <c r="S239" i="1"/>
  <c r="R239" i="1"/>
  <c r="K239" i="1"/>
  <c r="J239" i="1"/>
  <c r="A239" i="1"/>
  <c r="DG238" i="1"/>
  <c r="CG238" i="1"/>
  <c r="CF238" i="1"/>
  <c r="CC238" i="1"/>
  <c r="CB238" i="1"/>
  <c r="BZ238" i="1"/>
  <c r="BY238" i="1"/>
  <c r="BV238" i="1"/>
  <c r="BR238" i="1"/>
  <c r="BQ238" i="1"/>
  <c r="BO238" i="1"/>
  <c r="BN238" i="1"/>
  <c r="BU238" i="1" s="1"/>
  <c r="BK238" i="1"/>
  <c r="BJ238" i="1"/>
  <c r="AF238" i="1"/>
  <c r="AD238" i="1"/>
  <c r="U238" i="1"/>
  <c r="T238" i="1"/>
  <c r="S238" i="1"/>
  <c r="R238" i="1"/>
  <c r="K238" i="1"/>
  <c r="J238" i="1"/>
  <c r="A238" i="1"/>
  <c r="DG237" i="1"/>
  <c r="CG237" i="1"/>
  <c r="CF237" i="1"/>
  <c r="CB237" i="1"/>
  <c r="CC237" i="1" s="1"/>
  <c r="BZ237" i="1"/>
  <c r="BY237" i="1"/>
  <c r="BV237" i="1"/>
  <c r="BR237" i="1"/>
  <c r="BQ237" i="1"/>
  <c r="BO237" i="1"/>
  <c r="BN237" i="1"/>
  <c r="BU237" i="1" s="1"/>
  <c r="BK237" i="1"/>
  <c r="BJ237" i="1"/>
  <c r="AF237" i="1"/>
  <c r="AD237" i="1" s="1"/>
  <c r="U237" i="1"/>
  <c r="T237" i="1"/>
  <c r="S237" i="1"/>
  <c r="R237" i="1"/>
  <c r="K237" i="1"/>
  <c r="J237" i="1"/>
  <c r="A237" i="1"/>
  <c r="DG236" i="1"/>
  <c r="CG236" i="1"/>
  <c r="CF236" i="1"/>
  <c r="CC236" i="1"/>
  <c r="CB236" i="1"/>
  <c r="CA236" i="1"/>
  <c r="BZ236" i="1"/>
  <c r="BU236" i="1"/>
  <c r="BP236" i="1"/>
  <c r="BK236" i="1"/>
  <c r="BJ236" i="1"/>
  <c r="AM236" i="1"/>
  <c r="AL236" i="1"/>
  <c r="AK236" i="1"/>
  <c r="AF236" i="1"/>
  <c r="AD236" i="1"/>
  <c r="U236" i="1"/>
  <c r="T236" i="1"/>
  <c r="S236" i="1"/>
  <c r="R236" i="1"/>
  <c r="K236" i="1"/>
  <c r="J236" i="1"/>
  <c r="A236" i="1"/>
  <c r="DG235" i="1"/>
  <c r="CQ235" i="1"/>
  <c r="CL235" i="1"/>
  <c r="CM235" i="1" s="1"/>
  <c r="CG235" i="1"/>
  <c r="CF235" i="1"/>
  <c r="CB235" i="1"/>
  <c r="CC235" i="1" s="1"/>
  <c r="CA235" i="1"/>
  <c r="BZ235" i="1"/>
  <c r="BV235" i="1"/>
  <c r="BU235" i="1"/>
  <c r="BR235" i="1"/>
  <c r="BP235" i="1"/>
  <c r="BQ235" i="1" s="1"/>
  <c r="BO235" i="1"/>
  <c r="BK235" i="1"/>
  <c r="BJ235" i="1"/>
  <c r="AM235" i="1"/>
  <c r="AF235" i="1"/>
  <c r="AD235" i="1" s="1"/>
  <c r="AK235" i="1" s="1"/>
  <c r="AL235" i="1" s="1"/>
  <c r="U235" i="1"/>
  <c r="T235" i="1"/>
  <c r="S235" i="1"/>
  <c r="R235" i="1"/>
  <c r="K235" i="1"/>
  <c r="J235" i="1"/>
  <c r="A235" i="1"/>
  <c r="DG234" i="1"/>
  <c r="CQ234" i="1"/>
  <c r="CL234" i="1"/>
  <c r="CM234" i="1" s="1"/>
  <c r="CF234" i="1"/>
  <c r="CA234" i="1"/>
  <c r="CB234" i="1" s="1"/>
  <c r="BZ234" i="1"/>
  <c r="BV234" i="1"/>
  <c r="BU234" i="1"/>
  <c r="BR234" i="1"/>
  <c r="BP234" i="1"/>
  <c r="BQ234" i="1" s="1"/>
  <c r="BO234" i="1"/>
  <c r="BK234" i="1"/>
  <c r="BJ234" i="1"/>
  <c r="AM234" i="1"/>
  <c r="AF234" i="1"/>
  <c r="AD234" i="1"/>
  <c r="AK234" i="1" s="1"/>
  <c r="AL234" i="1" s="1"/>
  <c r="U234" i="1"/>
  <c r="T234" i="1"/>
  <c r="S234" i="1"/>
  <c r="R234" i="1"/>
  <c r="K234" i="1"/>
  <c r="J234" i="1"/>
  <c r="A234" i="1"/>
  <c r="DG233" i="1"/>
  <c r="CR233" i="1"/>
  <c r="CQ233" i="1"/>
  <c r="CL233" i="1"/>
  <c r="CM233" i="1" s="1"/>
  <c r="CF233" i="1"/>
  <c r="CA233" i="1"/>
  <c r="BZ233" i="1" s="1"/>
  <c r="BU233" i="1"/>
  <c r="BP233" i="1"/>
  <c r="BQ233" i="1" s="1"/>
  <c r="BO233" i="1"/>
  <c r="BK233" i="1"/>
  <c r="BJ233" i="1"/>
  <c r="AM233" i="1"/>
  <c r="AF233" i="1"/>
  <c r="AD233" i="1"/>
  <c r="AK233" i="1" s="1"/>
  <c r="AL233" i="1" s="1"/>
  <c r="U233" i="1"/>
  <c r="T233" i="1"/>
  <c r="S233" i="1"/>
  <c r="R233" i="1"/>
  <c r="K233" i="1"/>
  <c r="J233" i="1"/>
  <c r="A233" i="1"/>
  <c r="DG232" i="1"/>
  <c r="CR232" i="1"/>
  <c r="CQ232" i="1"/>
  <c r="CL232" i="1"/>
  <c r="CM232" i="1" s="1"/>
  <c r="CF232" i="1"/>
  <c r="CC232" i="1"/>
  <c r="CA232" i="1" s="1"/>
  <c r="BZ232" i="1" s="1"/>
  <c r="CB232" i="1"/>
  <c r="CG232" i="1" s="1"/>
  <c r="BU232" i="1"/>
  <c r="BR232" i="1"/>
  <c r="BQ232" i="1"/>
  <c r="BV232" i="1" s="1"/>
  <c r="BP232" i="1"/>
  <c r="BO232" i="1"/>
  <c r="BK232" i="1"/>
  <c r="BJ232" i="1"/>
  <c r="AM232" i="1"/>
  <c r="AF232" i="1"/>
  <c r="AD232" i="1"/>
  <c r="AK232" i="1" s="1"/>
  <c r="AL232" i="1" s="1"/>
  <c r="U232" i="1"/>
  <c r="T232" i="1"/>
  <c r="S232" i="1"/>
  <c r="R232" i="1"/>
  <c r="K232" i="1"/>
  <c r="J232" i="1"/>
  <c r="A232" i="1"/>
  <c r="BN231" i="1"/>
  <c r="AM231" i="1"/>
  <c r="AL231" i="1"/>
  <c r="AK231" i="1"/>
  <c r="AF231" i="1"/>
  <c r="AD231" i="1"/>
  <c r="U231" i="1"/>
  <c r="T231" i="1"/>
  <c r="S231" i="1"/>
  <c r="R231" i="1"/>
  <c r="M231" i="1"/>
  <c r="A231" i="1"/>
  <c r="BR230" i="1"/>
  <c r="BN230" i="1"/>
  <c r="BU230" i="1" s="1"/>
  <c r="BK230" i="1"/>
  <c r="AM230" i="1"/>
  <c r="AL230" i="1"/>
  <c r="AK230" i="1"/>
  <c r="AF230" i="1"/>
  <c r="AD230" i="1"/>
  <c r="U230" i="1"/>
  <c r="T230" i="1"/>
  <c r="S230" i="1"/>
  <c r="R230" i="1"/>
  <c r="M230" i="1"/>
  <c r="K230" i="1"/>
  <c r="J230" i="1"/>
  <c r="A230" i="1"/>
  <c r="BU229" i="1"/>
  <c r="BQ229" i="1" s="1"/>
  <c r="BN229" i="1"/>
  <c r="BK229" i="1"/>
  <c r="AM229" i="1"/>
  <c r="AK229" i="1"/>
  <c r="AL229" i="1" s="1"/>
  <c r="AF229" i="1"/>
  <c r="AD229" i="1"/>
  <c r="U229" i="1"/>
  <c r="T229" i="1"/>
  <c r="S229" i="1"/>
  <c r="R229" i="1"/>
  <c r="M229" i="1"/>
  <c r="K229" i="1"/>
  <c r="J229" i="1"/>
  <c r="A229" i="1"/>
  <c r="BU228" i="1"/>
  <c r="BQ228" i="1" s="1"/>
  <c r="BV228" i="1" s="1"/>
  <c r="BR228" i="1"/>
  <c r="BP228" i="1"/>
  <c r="BO228" i="1" s="1"/>
  <c r="BK228" i="1"/>
  <c r="BJ228" i="1"/>
  <c r="AM228" i="1"/>
  <c r="AL228" i="1"/>
  <c r="AF228" i="1"/>
  <c r="AD228" i="1"/>
  <c r="AK228" i="1" s="1"/>
  <c r="U228" i="1"/>
  <c r="T228" i="1"/>
  <c r="S228" i="1"/>
  <c r="R228" i="1"/>
  <c r="M228" i="1"/>
  <c r="K228" i="1"/>
  <c r="J228" i="1"/>
  <c r="A228" i="1"/>
  <c r="DG227" i="1"/>
  <c r="CF227" i="1"/>
  <c r="CB227" i="1"/>
  <c r="CG227" i="1" s="1"/>
  <c r="BZ227" i="1"/>
  <c r="BU227" i="1"/>
  <c r="BQ227" i="1"/>
  <c r="BO227" i="1"/>
  <c r="BK227" i="1"/>
  <c r="BJ227" i="1"/>
  <c r="AM227" i="1"/>
  <c r="AL227" i="1"/>
  <c r="AK227" i="1"/>
  <c r="AF227" i="1"/>
  <c r="AD227" i="1"/>
  <c r="U227" i="1"/>
  <c r="T227" i="1"/>
  <c r="S227" i="1"/>
  <c r="R227" i="1"/>
  <c r="K227" i="1"/>
  <c r="J227" i="1"/>
  <c r="A227" i="1"/>
  <c r="DG226" i="1"/>
  <c r="CF226" i="1"/>
  <c r="BZ226" i="1"/>
  <c r="BV226" i="1"/>
  <c r="BP226" i="1"/>
  <c r="BO226" i="1" s="1"/>
  <c r="BN226" i="1"/>
  <c r="BU226" i="1" s="1"/>
  <c r="BK226" i="1"/>
  <c r="BJ226" i="1"/>
  <c r="AM226" i="1"/>
  <c r="AF226" i="1"/>
  <c r="AD226" i="1" s="1"/>
  <c r="AK226" i="1" s="1"/>
  <c r="AL226" i="1" s="1"/>
  <c r="U226" i="1"/>
  <c r="T226" i="1"/>
  <c r="S226" i="1"/>
  <c r="R226" i="1"/>
  <c r="M226" i="1"/>
  <c r="K226" i="1"/>
  <c r="J226" i="1"/>
  <c r="A226" i="1"/>
  <c r="DG225" i="1"/>
  <c r="CF225" i="1"/>
  <c r="BU225" i="1"/>
  <c r="BQ225" i="1" s="1"/>
  <c r="BR225" i="1"/>
  <c r="BK225" i="1"/>
  <c r="BJ225" i="1"/>
  <c r="AM225" i="1"/>
  <c r="AF225" i="1"/>
  <c r="AD225" i="1" s="1"/>
  <c r="AK225" i="1" s="1"/>
  <c r="AL225" i="1" s="1"/>
  <c r="U225" i="1"/>
  <c r="T225" i="1"/>
  <c r="S225" i="1"/>
  <c r="R225" i="1"/>
  <c r="K225" i="1"/>
  <c r="J225" i="1"/>
  <c r="A225" i="1"/>
  <c r="DG224" i="1"/>
  <c r="DB224" i="1"/>
  <c r="CZ224" i="1"/>
  <c r="CT224" i="1"/>
  <c r="CJ224" i="1"/>
  <c r="BY224" i="1"/>
  <c r="BV224" i="1"/>
  <c r="BP224" i="1"/>
  <c r="BO224" i="1"/>
  <c r="BN224" i="1"/>
  <c r="BU224" i="1" s="1"/>
  <c r="BK224" i="1"/>
  <c r="BJ224" i="1"/>
  <c r="AM224" i="1"/>
  <c r="AF224" i="1"/>
  <c r="AD224" i="1"/>
  <c r="AK224" i="1" s="1"/>
  <c r="AL224" i="1" s="1"/>
  <c r="U224" i="1"/>
  <c r="T224" i="1"/>
  <c r="S224" i="1"/>
  <c r="R224" i="1"/>
  <c r="M224" i="1"/>
  <c r="K224" i="1"/>
  <c r="J224" i="1"/>
  <c r="A224" i="1"/>
  <c r="BU223" i="1"/>
  <c r="BR223" i="1"/>
  <c r="BQ223" i="1"/>
  <c r="BV223" i="1" s="1"/>
  <c r="BP223" i="1"/>
  <c r="BO223" i="1" s="1"/>
  <c r="BK223" i="1"/>
  <c r="AM223" i="1"/>
  <c r="AL223" i="1"/>
  <c r="AF223" i="1"/>
  <c r="AD223" i="1"/>
  <c r="AK223" i="1" s="1"/>
  <c r="U223" i="1"/>
  <c r="T223" i="1"/>
  <c r="S223" i="1"/>
  <c r="R223" i="1"/>
  <c r="M223" i="1"/>
  <c r="K223" i="1"/>
  <c r="J223" i="1"/>
  <c r="A223" i="1"/>
  <c r="BU222" i="1"/>
  <c r="BR222" i="1" s="1"/>
  <c r="AM222" i="1"/>
  <c r="AF222" i="1"/>
  <c r="AD222" i="1" s="1"/>
  <c r="AK222" i="1" s="1"/>
  <c r="AL222" i="1" s="1"/>
  <c r="M222" i="1"/>
  <c r="K222" i="1"/>
  <c r="J222" i="1"/>
  <c r="A222" i="1"/>
  <c r="BV221" i="1"/>
  <c r="BU221" i="1"/>
  <c r="BR221" i="1"/>
  <c r="BP221" i="1" s="1"/>
  <c r="BO221" i="1" s="1"/>
  <c r="BQ221" i="1"/>
  <c r="AM221" i="1"/>
  <c r="AL221" i="1"/>
  <c r="AF221" i="1"/>
  <c r="AD221" i="1"/>
  <c r="AK221" i="1" s="1"/>
  <c r="U221" i="1"/>
  <c r="T221" i="1"/>
  <c r="S221" i="1"/>
  <c r="R221" i="1"/>
  <c r="M221" i="1"/>
  <c r="K221" i="1"/>
  <c r="J221" i="1"/>
  <c r="A221" i="1"/>
  <c r="BU220" i="1"/>
  <c r="BR220" i="1"/>
  <c r="BQ220" i="1"/>
  <c r="BK220" i="1"/>
  <c r="AM220" i="1"/>
  <c r="AL220" i="1"/>
  <c r="AK220" i="1"/>
  <c r="AF220" i="1"/>
  <c r="AD220" i="1" s="1"/>
  <c r="U220" i="1"/>
  <c r="T220" i="1"/>
  <c r="S220" i="1"/>
  <c r="R220" i="1"/>
  <c r="M220" i="1"/>
  <c r="K220" i="1"/>
  <c r="J220" i="1"/>
  <c r="A220" i="1"/>
  <c r="BV219" i="1"/>
  <c r="BU219" i="1"/>
  <c r="BQ219" i="1" s="1"/>
  <c r="BR219" i="1"/>
  <c r="BK219" i="1"/>
  <c r="AM219" i="1"/>
  <c r="AL219" i="1"/>
  <c r="AF219" i="1"/>
  <c r="AD219" i="1"/>
  <c r="AK219" i="1" s="1"/>
  <c r="U219" i="1"/>
  <c r="T219" i="1"/>
  <c r="S219" i="1"/>
  <c r="R219" i="1"/>
  <c r="M219" i="1"/>
  <c r="K219" i="1"/>
  <c r="J219" i="1"/>
  <c r="A219" i="1"/>
  <c r="CF218" i="1"/>
  <c r="CC218" i="1" s="1"/>
  <c r="CB218" i="1"/>
  <c r="CG218" i="1" s="1"/>
  <c r="BU218" i="1"/>
  <c r="BR218" i="1" s="1"/>
  <c r="BQ218" i="1"/>
  <c r="BV218" i="1" s="1"/>
  <c r="BP218" i="1"/>
  <c r="BO218" i="1"/>
  <c r="BK218" i="1"/>
  <c r="BJ218" i="1"/>
  <c r="AM218" i="1"/>
  <c r="AL218" i="1"/>
  <c r="AF218" i="1"/>
  <c r="AD218" i="1" s="1"/>
  <c r="AK218" i="1" s="1"/>
  <c r="U218" i="1"/>
  <c r="T218" i="1"/>
  <c r="S218" i="1"/>
  <c r="R218" i="1"/>
  <c r="M218" i="1"/>
  <c r="K218" i="1"/>
  <c r="J218" i="1"/>
  <c r="A218" i="1"/>
  <c r="CF217" i="1"/>
  <c r="CC217" i="1"/>
  <c r="CB217" i="1"/>
  <c r="BU217" i="1"/>
  <c r="BQ217" i="1" s="1"/>
  <c r="BV217" i="1" s="1"/>
  <c r="BR217" i="1"/>
  <c r="BP217" i="1"/>
  <c r="BO217" i="1" s="1"/>
  <c r="BK217" i="1"/>
  <c r="BJ217" i="1"/>
  <c r="AM217" i="1"/>
  <c r="AL217" i="1"/>
  <c r="AF217" i="1"/>
  <c r="AD217" i="1"/>
  <c r="AK217" i="1" s="1"/>
  <c r="U217" i="1"/>
  <c r="T217" i="1"/>
  <c r="S217" i="1"/>
  <c r="R217" i="1"/>
  <c r="M217" i="1"/>
  <c r="K217" i="1"/>
  <c r="J217" i="1"/>
  <c r="A217" i="1"/>
  <c r="CG216" i="1"/>
  <c r="CF216" i="1"/>
  <c r="CC216" i="1" s="1"/>
  <c r="CB216" i="1"/>
  <c r="CA216" i="1"/>
  <c r="BZ216" i="1"/>
  <c r="BU216" i="1"/>
  <c r="BR216" i="1" s="1"/>
  <c r="BQ216" i="1"/>
  <c r="BV216" i="1" s="1"/>
  <c r="BP216" i="1"/>
  <c r="BO216" i="1"/>
  <c r="BK216" i="1"/>
  <c r="BJ216" i="1"/>
  <c r="AM216" i="1"/>
  <c r="AL216" i="1"/>
  <c r="AF216" i="1"/>
  <c r="AD216" i="1" s="1"/>
  <c r="AK216" i="1" s="1"/>
  <c r="U216" i="1"/>
  <c r="T216" i="1"/>
  <c r="S216" i="1"/>
  <c r="R216" i="1"/>
  <c r="M216" i="1"/>
  <c r="K216" i="1"/>
  <c r="J216" i="1"/>
  <c r="A216" i="1"/>
  <c r="CF215" i="1"/>
  <c r="CB215" i="1" s="1"/>
  <c r="CG215" i="1" s="1"/>
  <c r="BU215" i="1"/>
  <c r="BK215" i="1"/>
  <c r="BJ215" i="1"/>
  <c r="AM215" i="1"/>
  <c r="AF215" i="1"/>
  <c r="AD215" i="1" s="1"/>
  <c r="AK215" i="1" s="1"/>
  <c r="AL215" i="1" s="1"/>
  <c r="U215" i="1"/>
  <c r="T215" i="1"/>
  <c r="S215" i="1"/>
  <c r="R215" i="1"/>
  <c r="M215" i="1"/>
  <c r="K215" i="1"/>
  <c r="J215" i="1"/>
  <c r="A215" i="1"/>
  <c r="CF214" i="1"/>
  <c r="CC214" i="1" s="1"/>
  <c r="CB214" i="1"/>
  <c r="BU214" i="1"/>
  <c r="BR214" i="1" s="1"/>
  <c r="BQ214" i="1"/>
  <c r="BK214" i="1"/>
  <c r="BJ214" i="1"/>
  <c r="AM214" i="1"/>
  <c r="AL214" i="1"/>
  <c r="AF214" i="1"/>
  <c r="AD214" i="1" s="1"/>
  <c r="AK214" i="1" s="1"/>
  <c r="U214" i="1"/>
  <c r="T214" i="1"/>
  <c r="S214" i="1"/>
  <c r="R214" i="1"/>
  <c r="M214" i="1"/>
  <c r="K214" i="1"/>
  <c r="J214" i="1"/>
  <c r="A214" i="1"/>
  <c r="CF213" i="1"/>
  <c r="BU213" i="1"/>
  <c r="BQ213" i="1" s="1"/>
  <c r="BV213" i="1" s="1"/>
  <c r="BR213" i="1"/>
  <c r="BP213" i="1"/>
  <c r="BO213" i="1" s="1"/>
  <c r="BK213" i="1"/>
  <c r="BJ213" i="1"/>
  <c r="AM213" i="1"/>
  <c r="AL213" i="1"/>
  <c r="AF213" i="1"/>
  <c r="AD213" i="1"/>
  <c r="AK213" i="1" s="1"/>
  <c r="U213" i="1"/>
  <c r="T213" i="1"/>
  <c r="S213" i="1"/>
  <c r="R213" i="1"/>
  <c r="M213" i="1"/>
  <c r="K213" i="1"/>
  <c r="J213" i="1"/>
  <c r="A213" i="1"/>
  <c r="CG212" i="1"/>
  <c r="CF212" i="1"/>
  <c r="CC212" i="1" s="1"/>
  <c r="CB212" i="1"/>
  <c r="CA212" i="1"/>
  <c r="BZ212" i="1" s="1"/>
  <c r="BU212" i="1"/>
  <c r="BR212" i="1" s="1"/>
  <c r="BK212" i="1"/>
  <c r="BJ212" i="1"/>
  <c r="AM212" i="1"/>
  <c r="AL212" i="1"/>
  <c r="AF212" i="1"/>
  <c r="AD212" i="1" s="1"/>
  <c r="AK212" i="1" s="1"/>
  <c r="U212" i="1"/>
  <c r="T212" i="1"/>
  <c r="S212" i="1"/>
  <c r="R212" i="1"/>
  <c r="M212" i="1"/>
  <c r="K212" i="1"/>
  <c r="J212" i="1"/>
  <c r="A212" i="1"/>
  <c r="CF211" i="1"/>
  <c r="CC211" i="1"/>
  <c r="CB211" i="1"/>
  <c r="CG211" i="1" s="1"/>
  <c r="CA211" i="1"/>
  <c r="BZ211" i="1" s="1"/>
  <c r="BU211" i="1"/>
  <c r="BR211" i="1" s="1"/>
  <c r="BK211" i="1"/>
  <c r="BJ211" i="1"/>
  <c r="AM211" i="1"/>
  <c r="AF211" i="1"/>
  <c r="AD211" i="1"/>
  <c r="AK211" i="1" s="1"/>
  <c r="AL211" i="1" s="1"/>
  <c r="U211" i="1"/>
  <c r="T211" i="1"/>
  <c r="S211" i="1"/>
  <c r="R211" i="1"/>
  <c r="M211" i="1"/>
  <c r="K211" i="1"/>
  <c r="J211" i="1"/>
  <c r="A211" i="1"/>
  <c r="CG210" i="1"/>
  <c r="CF210" i="1"/>
  <c r="CC210" i="1" s="1"/>
  <c r="CB210" i="1"/>
  <c r="CA210" i="1" s="1"/>
  <c r="BZ210" i="1" s="1"/>
  <c r="BV210" i="1"/>
  <c r="BU210" i="1"/>
  <c r="BR210" i="1" s="1"/>
  <c r="BP210" i="1" s="1"/>
  <c r="BQ210" i="1"/>
  <c r="BO210" i="1"/>
  <c r="BK210" i="1"/>
  <c r="BJ210" i="1"/>
  <c r="AM210" i="1"/>
  <c r="AL210" i="1"/>
  <c r="AF210" i="1"/>
  <c r="AD210" i="1" s="1"/>
  <c r="AK210" i="1" s="1"/>
  <c r="U210" i="1"/>
  <c r="T210" i="1"/>
  <c r="S210" i="1"/>
  <c r="R210" i="1"/>
  <c r="M210" i="1"/>
  <c r="K210" i="1"/>
  <c r="J210" i="1"/>
  <c r="A210" i="1"/>
  <c r="CG209" i="1"/>
  <c r="CF209" i="1"/>
  <c r="CC209" i="1"/>
  <c r="CB209" i="1"/>
  <c r="BU209" i="1"/>
  <c r="BR209" i="1" s="1"/>
  <c r="BK209" i="1"/>
  <c r="BJ209" i="1"/>
  <c r="AM209" i="1"/>
  <c r="AL209" i="1"/>
  <c r="AF209" i="1"/>
  <c r="AD209" i="1"/>
  <c r="AK209" i="1" s="1"/>
  <c r="U209" i="1"/>
  <c r="T209" i="1"/>
  <c r="S209" i="1"/>
  <c r="R209" i="1"/>
  <c r="M209" i="1"/>
  <c r="K209" i="1"/>
  <c r="J209" i="1"/>
  <c r="A209" i="1"/>
  <c r="CF208" i="1"/>
  <c r="CC208" i="1" s="1"/>
  <c r="CA208" i="1" s="1"/>
  <c r="BZ208" i="1" s="1"/>
  <c r="CB208" i="1"/>
  <c r="CG208" i="1" s="1"/>
  <c r="BU208" i="1"/>
  <c r="BR208" i="1" s="1"/>
  <c r="BK208" i="1"/>
  <c r="BJ208" i="1"/>
  <c r="AM208" i="1"/>
  <c r="AF208" i="1"/>
  <c r="AD208" i="1"/>
  <c r="AK208" i="1" s="1"/>
  <c r="AL208" i="1" s="1"/>
  <c r="U208" i="1"/>
  <c r="T208" i="1"/>
  <c r="S208" i="1"/>
  <c r="R208" i="1"/>
  <c r="M208" i="1"/>
  <c r="K208" i="1"/>
  <c r="J208" i="1"/>
  <c r="A208" i="1"/>
  <c r="CF207" i="1"/>
  <c r="CC207" i="1" s="1"/>
  <c r="CB207" i="1"/>
  <c r="BU207" i="1"/>
  <c r="BR207" i="1"/>
  <c r="BQ207" i="1"/>
  <c r="BK207" i="1"/>
  <c r="BJ207" i="1"/>
  <c r="AM207" i="1"/>
  <c r="AF207" i="1"/>
  <c r="AD207" i="1"/>
  <c r="AK207" i="1" s="1"/>
  <c r="AL207" i="1" s="1"/>
  <c r="U207" i="1"/>
  <c r="T207" i="1"/>
  <c r="S207" i="1"/>
  <c r="R207" i="1"/>
  <c r="M207" i="1"/>
  <c r="K207" i="1"/>
  <c r="J207" i="1"/>
  <c r="A207" i="1"/>
  <c r="CF206" i="1"/>
  <c r="CC206" i="1" s="1"/>
  <c r="CB206" i="1"/>
  <c r="CG206" i="1" s="1"/>
  <c r="CA206" i="1"/>
  <c r="BZ206" i="1" s="1"/>
  <c r="BV206" i="1"/>
  <c r="BU206" i="1"/>
  <c r="BR206" i="1" s="1"/>
  <c r="BQ206" i="1"/>
  <c r="BP206" i="1"/>
  <c r="BO206" i="1"/>
  <c r="BK206" i="1"/>
  <c r="BJ206" i="1"/>
  <c r="AM206" i="1"/>
  <c r="AF206" i="1"/>
  <c r="AD206" i="1" s="1"/>
  <c r="AK206" i="1" s="1"/>
  <c r="AL206" i="1" s="1"/>
  <c r="U206" i="1"/>
  <c r="T206" i="1"/>
  <c r="S206" i="1"/>
  <c r="R206" i="1"/>
  <c r="M206" i="1"/>
  <c r="K206" i="1"/>
  <c r="J206" i="1"/>
  <c r="A206" i="1"/>
  <c r="CF205" i="1"/>
  <c r="CB205" i="1" s="1"/>
  <c r="CC205" i="1"/>
  <c r="BU205" i="1"/>
  <c r="BR205" i="1"/>
  <c r="BQ205" i="1"/>
  <c r="BV205" i="1" s="1"/>
  <c r="BP205" i="1"/>
  <c r="BO205" i="1" s="1"/>
  <c r="BK205" i="1"/>
  <c r="BJ205" i="1"/>
  <c r="AM205" i="1"/>
  <c r="AL205" i="1"/>
  <c r="AF205" i="1"/>
  <c r="AD205" i="1"/>
  <c r="AK205" i="1" s="1"/>
  <c r="U205" i="1"/>
  <c r="T205" i="1"/>
  <c r="S205" i="1"/>
  <c r="R205" i="1"/>
  <c r="M205" i="1"/>
  <c r="K205" i="1"/>
  <c r="J205" i="1"/>
  <c r="A205" i="1"/>
  <c r="CG204" i="1"/>
  <c r="CF204" i="1"/>
  <c r="CC204" i="1" s="1"/>
  <c r="CB204" i="1"/>
  <c r="CA204" i="1" s="1"/>
  <c r="BZ204" i="1" s="1"/>
  <c r="BV204" i="1"/>
  <c r="BU204" i="1"/>
  <c r="BR204" i="1" s="1"/>
  <c r="BQ204" i="1"/>
  <c r="BP204" i="1"/>
  <c r="BO204" i="1"/>
  <c r="BK204" i="1"/>
  <c r="BJ204" i="1"/>
  <c r="AM204" i="1"/>
  <c r="AL204" i="1"/>
  <c r="AF204" i="1"/>
  <c r="AD204" i="1" s="1"/>
  <c r="AK204" i="1" s="1"/>
  <c r="U204" i="1"/>
  <c r="T204" i="1"/>
  <c r="S204" i="1"/>
  <c r="R204" i="1"/>
  <c r="M204" i="1"/>
  <c r="K204" i="1"/>
  <c r="J204" i="1"/>
  <c r="A204" i="1"/>
  <c r="CF203" i="1"/>
  <c r="BU203" i="1"/>
  <c r="BR203" i="1"/>
  <c r="BQ203" i="1"/>
  <c r="BK203" i="1"/>
  <c r="BJ203" i="1"/>
  <c r="AM203" i="1"/>
  <c r="AF203" i="1"/>
  <c r="AD203" i="1"/>
  <c r="AK203" i="1" s="1"/>
  <c r="AL203" i="1" s="1"/>
  <c r="U203" i="1"/>
  <c r="T203" i="1"/>
  <c r="S203" i="1"/>
  <c r="R203" i="1"/>
  <c r="M203" i="1"/>
  <c r="K203" i="1"/>
  <c r="J203" i="1"/>
  <c r="A203" i="1"/>
  <c r="DG202" i="1"/>
  <c r="CG202" i="1"/>
  <c r="CF202" i="1"/>
  <c r="CC202" i="1"/>
  <c r="CB202" i="1"/>
  <c r="CA202" i="1" s="1"/>
  <c r="BZ202" i="1" s="1"/>
  <c r="BU202" i="1"/>
  <c r="BR202" i="1"/>
  <c r="BP202" i="1" s="1"/>
  <c r="BQ202" i="1"/>
  <c r="BV202" i="1" s="1"/>
  <c r="BO202" i="1"/>
  <c r="BK202" i="1"/>
  <c r="BJ202" i="1"/>
  <c r="AM202" i="1"/>
  <c r="AK202" i="1"/>
  <c r="AL202" i="1" s="1"/>
  <c r="AF202" i="1"/>
  <c r="U202" i="1"/>
  <c r="T202" i="1"/>
  <c r="S202" i="1"/>
  <c r="R202" i="1"/>
  <c r="M202" i="1"/>
  <c r="K202" i="1"/>
  <c r="J202" i="1"/>
  <c r="A202" i="1"/>
  <c r="CF201" i="1"/>
  <c r="CB201" i="1" s="1"/>
  <c r="CA201" i="1" s="1"/>
  <c r="BZ201" i="1" s="1"/>
  <c r="CC201" i="1"/>
  <c r="BU201" i="1"/>
  <c r="BQ201" i="1" s="1"/>
  <c r="BR201" i="1"/>
  <c r="BK201" i="1"/>
  <c r="BJ201" i="1"/>
  <c r="AF201" i="1"/>
  <c r="AD201" i="1"/>
  <c r="AK201" i="1" s="1"/>
  <c r="AM201" i="1" s="1"/>
  <c r="U201" i="1"/>
  <c r="T201" i="1"/>
  <c r="S201" i="1"/>
  <c r="R201" i="1"/>
  <c r="M201" i="1"/>
  <c r="K201" i="1"/>
  <c r="J201" i="1"/>
  <c r="A201" i="1"/>
  <c r="CG200" i="1"/>
  <c r="CF200" i="1"/>
  <c r="CC200" i="1" s="1"/>
  <c r="CA200" i="1" s="1"/>
  <c r="BZ200" i="1" s="1"/>
  <c r="CB200" i="1"/>
  <c r="BU200" i="1"/>
  <c r="BR200" i="1" s="1"/>
  <c r="BQ200" i="1"/>
  <c r="BV200" i="1" s="1"/>
  <c r="BP200" i="1"/>
  <c r="BO200" i="1"/>
  <c r="BK200" i="1"/>
  <c r="BJ200" i="1"/>
  <c r="AM200" i="1"/>
  <c r="AF200" i="1"/>
  <c r="AD200" i="1" s="1"/>
  <c r="AK200" i="1" s="1"/>
  <c r="AL200" i="1" s="1"/>
  <c r="U200" i="1"/>
  <c r="T200" i="1"/>
  <c r="S200" i="1"/>
  <c r="R200" i="1"/>
  <c r="M200" i="1"/>
  <c r="K200" i="1"/>
  <c r="J200" i="1"/>
  <c r="A200" i="1"/>
  <c r="CG199" i="1"/>
  <c r="CF199" i="1"/>
  <c r="CB199" i="1" s="1"/>
  <c r="CA199" i="1" s="1"/>
  <c r="BZ199" i="1" s="1"/>
  <c r="CC199" i="1"/>
  <c r="BU199" i="1"/>
  <c r="BR199" i="1"/>
  <c r="BQ199" i="1"/>
  <c r="BK199" i="1"/>
  <c r="BJ199" i="1"/>
  <c r="AF199" i="1"/>
  <c r="AD199" i="1"/>
  <c r="AK199" i="1" s="1"/>
  <c r="U199" i="1"/>
  <c r="T199" i="1"/>
  <c r="S199" i="1"/>
  <c r="R199" i="1"/>
  <c r="M199" i="1"/>
  <c r="K199" i="1"/>
  <c r="J199" i="1"/>
  <c r="A199" i="1"/>
  <c r="CG198" i="1"/>
  <c r="CF198" i="1"/>
  <c r="CC198" i="1" s="1"/>
  <c r="CB198" i="1"/>
  <c r="CA198" i="1" s="1"/>
  <c r="BZ198" i="1" s="1"/>
  <c r="BU198" i="1"/>
  <c r="BR198" i="1" s="1"/>
  <c r="BP198" i="1" s="1"/>
  <c r="BQ198" i="1"/>
  <c r="BV198" i="1" s="1"/>
  <c r="BO198" i="1"/>
  <c r="BK198" i="1"/>
  <c r="BJ198" i="1"/>
  <c r="AM198" i="1"/>
  <c r="AF198" i="1"/>
  <c r="AD198" i="1"/>
  <c r="AK198" i="1" s="1"/>
  <c r="AL198" i="1" s="1"/>
  <c r="U198" i="1"/>
  <c r="T198" i="1"/>
  <c r="S198" i="1"/>
  <c r="R198" i="1"/>
  <c r="M198" i="1"/>
  <c r="K198" i="1"/>
  <c r="J198" i="1"/>
  <c r="A198" i="1"/>
  <c r="CF197" i="1"/>
  <c r="CC197" i="1" s="1"/>
  <c r="BU197" i="1"/>
  <c r="BR197" i="1"/>
  <c r="BQ197" i="1"/>
  <c r="BK197" i="1"/>
  <c r="BJ197" i="1"/>
  <c r="AM197" i="1"/>
  <c r="AF197" i="1"/>
  <c r="AD197" i="1" s="1"/>
  <c r="AK197" i="1" s="1"/>
  <c r="AL197" i="1" s="1"/>
  <c r="U197" i="1"/>
  <c r="T197" i="1"/>
  <c r="S197" i="1"/>
  <c r="R197" i="1"/>
  <c r="M197" i="1"/>
  <c r="K197" i="1"/>
  <c r="J197" i="1"/>
  <c r="A197" i="1"/>
  <c r="CG196" i="1"/>
  <c r="CF196" i="1"/>
  <c r="CC196" i="1" s="1"/>
  <c r="CB196" i="1"/>
  <c r="CA196" i="1" s="1"/>
  <c r="BZ196" i="1" s="1"/>
  <c r="BU196" i="1"/>
  <c r="BR196" i="1" s="1"/>
  <c r="BK196" i="1"/>
  <c r="BJ196" i="1"/>
  <c r="AM196" i="1"/>
  <c r="AF196" i="1"/>
  <c r="AD196" i="1"/>
  <c r="AK196" i="1" s="1"/>
  <c r="AL196" i="1" s="1"/>
  <c r="U196" i="1"/>
  <c r="T196" i="1"/>
  <c r="S196" i="1"/>
  <c r="R196" i="1"/>
  <c r="M196" i="1"/>
  <c r="K196" i="1"/>
  <c r="J196" i="1"/>
  <c r="A196" i="1"/>
  <c r="DG195" i="1"/>
  <c r="CF195" i="1"/>
  <c r="CC195" i="1"/>
  <c r="CB195" i="1"/>
  <c r="BU195" i="1"/>
  <c r="BQ195" i="1" s="1"/>
  <c r="BK195" i="1"/>
  <c r="BJ195" i="1"/>
  <c r="AM195" i="1"/>
  <c r="AF195" i="1"/>
  <c r="AD195" i="1"/>
  <c r="AK195" i="1" s="1"/>
  <c r="AL195" i="1" s="1"/>
  <c r="U195" i="1"/>
  <c r="S195" i="1"/>
  <c r="R195" i="1"/>
  <c r="K195" i="1"/>
  <c r="J195" i="1"/>
  <c r="A195" i="1"/>
  <c r="DG194" i="1"/>
  <c r="CG194" i="1"/>
  <c r="CF194" i="1"/>
  <c r="CC194" i="1" s="1"/>
  <c r="CB194" i="1"/>
  <c r="CA194" i="1" s="1"/>
  <c r="BZ194" i="1" s="1"/>
  <c r="BU194" i="1"/>
  <c r="BR194" i="1" s="1"/>
  <c r="BQ194" i="1"/>
  <c r="BK194" i="1"/>
  <c r="BJ194" i="1"/>
  <c r="AM194" i="1"/>
  <c r="AF194" i="1"/>
  <c r="AD194" i="1" s="1"/>
  <c r="AK194" i="1" s="1"/>
  <c r="AL194" i="1" s="1"/>
  <c r="U194" i="1"/>
  <c r="T194" i="1"/>
  <c r="S194" i="1"/>
  <c r="R194" i="1"/>
  <c r="K194" i="1"/>
  <c r="J194" i="1"/>
  <c r="A194" i="1"/>
  <c r="DG193" i="1"/>
  <c r="CF193" i="1"/>
  <c r="CC193" i="1" s="1"/>
  <c r="BU193" i="1"/>
  <c r="BK193" i="1"/>
  <c r="BJ193" i="1"/>
  <c r="AM193" i="1"/>
  <c r="AF193" i="1"/>
  <c r="AD193" i="1" s="1"/>
  <c r="AK193" i="1" s="1"/>
  <c r="AL193" i="1" s="1"/>
  <c r="U193" i="1"/>
  <c r="T193" i="1"/>
  <c r="S193" i="1"/>
  <c r="R193" i="1"/>
  <c r="K193" i="1"/>
  <c r="J193" i="1"/>
  <c r="A193" i="1"/>
  <c r="DG192" i="1"/>
  <c r="CG192" i="1"/>
  <c r="CF192" i="1"/>
  <c r="CC192" i="1" s="1"/>
  <c r="CB192" i="1"/>
  <c r="CA192" i="1" s="1"/>
  <c r="BZ192" i="1" s="1"/>
  <c r="BU192" i="1"/>
  <c r="BK192" i="1"/>
  <c r="BJ192" i="1"/>
  <c r="AM192" i="1"/>
  <c r="AF192" i="1"/>
  <c r="AD192" i="1"/>
  <c r="AK192" i="1" s="1"/>
  <c r="AL192" i="1" s="1"/>
  <c r="U192" i="1"/>
  <c r="T192" i="1"/>
  <c r="S192" i="1"/>
  <c r="R192" i="1"/>
  <c r="K192" i="1"/>
  <c r="J192" i="1"/>
  <c r="A192" i="1"/>
  <c r="DG191" i="1"/>
  <c r="CF191" i="1"/>
  <c r="CC191" i="1" s="1"/>
  <c r="BU191" i="1"/>
  <c r="BR191" i="1" s="1"/>
  <c r="BQ191" i="1"/>
  <c r="BK191" i="1"/>
  <c r="BJ191" i="1"/>
  <c r="AM191" i="1"/>
  <c r="AF191" i="1"/>
  <c r="AD191" i="1"/>
  <c r="AK191" i="1" s="1"/>
  <c r="AL191" i="1" s="1"/>
  <c r="U191" i="1"/>
  <c r="T191" i="1"/>
  <c r="S191" i="1"/>
  <c r="R191" i="1"/>
  <c r="K191" i="1"/>
  <c r="J191" i="1"/>
  <c r="A191" i="1"/>
  <c r="DG190" i="1"/>
  <c r="CF190" i="1"/>
  <c r="CC190" i="1" s="1"/>
  <c r="BV190" i="1"/>
  <c r="BU190" i="1"/>
  <c r="BR190" i="1" s="1"/>
  <c r="BQ190" i="1"/>
  <c r="BP190" i="1"/>
  <c r="BO190" i="1"/>
  <c r="BK190" i="1"/>
  <c r="BJ190" i="1"/>
  <c r="AM190" i="1"/>
  <c r="AF190" i="1"/>
  <c r="AD190" i="1"/>
  <c r="AK190" i="1" s="1"/>
  <c r="AL190" i="1" s="1"/>
  <c r="U190" i="1"/>
  <c r="T190" i="1"/>
  <c r="S190" i="1"/>
  <c r="R190" i="1"/>
  <c r="K190" i="1"/>
  <c r="J190" i="1"/>
  <c r="A190" i="1"/>
  <c r="DG189" i="1"/>
  <c r="CF189" i="1"/>
  <c r="CC189" i="1"/>
  <c r="CB189" i="1"/>
  <c r="BU189" i="1"/>
  <c r="BK189" i="1"/>
  <c r="BJ189" i="1"/>
  <c r="AM189" i="1"/>
  <c r="AF189" i="1"/>
  <c r="AD189" i="1" s="1"/>
  <c r="AK189" i="1" s="1"/>
  <c r="AL189" i="1" s="1"/>
  <c r="U189" i="1"/>
  <c r="T189" i="1"/>
  <c r="S189" i="1"/>
  <c r="R189" i="1"/>
  <c r="K189" i="1"/>
  <c r="J189" i="1"/>
  <c r="A189" i="1"/>
  <c r="DG188" i="1"/>
  <c r="CG188" i="1"/>
  <c r="CF188" i="1"/>
  <c r="CC188" i="1" s="1"/>
  <c r="CA188" i="1" s="1"/>
  <c r="CB188" i="1"/>
  <c r="BZ188" i="1"/>
  <c r="BU188" i="1"/>
  <c r="BR188" i="1" s="1"/>
  <c r="BK188" i="1"/>
  <c r="BJ188" i="1"/>
  <c r="AM188" i="1"/>
  <c r="AF188" i="1"/>
  <c r="AD188" i="1"/>
  <c r="AK188" i="1" s="1"/>
  <c r="AL188" i="1" s="1"/>
  <c r="U188" i="1"/>
  <c r="T188" i="1"/>
  <c r="S188" i="1"/>
  <c r="R188" i="1"/>
  <c r="K188" i="1"/>
  <c r="J188" i="1"/>
  <c r="A188" i="1"/>
  <c r="DG187" i="1"/>
  <c r="CF187" i="1"/>
  <c r="CC187" i="1"/>
  <c r="CB187" i="1"/>
  <c r="CG187" i="1" s="1"/>
  <c r="CA187" i="1"/>
  <c r="BZ187" i="1" s="1"/>
  <c r="BU187" i="1"/>
  <c r="BR187" i="1"/>
  <c r="BQ187" i="1"/>
  <c r="BK187" i="1"/>
  <c r="BJ187" i="1"/>
  <c r="AF187" i="1"/>
  <c r="AD187" i="1" s="1"/>
  <c r="AK187" i="1" s="1"/>
  <c r="U187" i="1"/>
  <c r="T187" i="1"/>
  <c r="S187" i="1"/>
  <c r="R187" i="1"/>
  <c r="K187" i="1"/>
  <c r="J187" i="1"/>
  <c r="A187" i="1"/>
  <c r="DG186" i="1"/>
  <c r="CG186" i="1"/>
  <c r="CF186" i="1"/>
  <c r="CC186" i="1" s="1"/>
  <c r="CB186" i="1"/>
  <c r="CA186" i="1"/>
  <c r="BZ186" i="1"/>
  <c r="BV186" i="1"/>
  <c r="BU186" i="1"/>
  <c r="BR186" i="1" s="1"/>
  <c r="BQ186" i="1"/>
  <c r="BP186" i="1" s="1"/>
  <c r="BO186" i="1" s="1"/>
  <c r="BK186" i="1"/>
  <c r="BJ186" i="1"/>
  <c r="AM186" i="1"/>
  <c r="AF186" i="1"/>
  <c r="AD186" i="1"/>
  <c r="AK186" i="1" s="1"/>
  <c r="AL186" i="1" s="1"/>
  <c r="U186" i="1"/>
  <c r="T186" i="1"/>
  <c r="S186" i="1"/>
  <c r="R186" i="1"/>
  <c r="K186" i="1"/>
  <c r="J186" i="1"/>
  <c r="A186" i="1"/>
  <c r="DG185" i="1"/>
  <c r="CF185" i="1"/>
  <c r="CC185" i="1"/>
  <c r="CB185" i="1"/>
  <c r="BU185" i="1"/>
  <c r="BR185" i="1"/>
  <c r="BQ185" i="1"/>
  <c r="BV185" i="1" s="1"/>
  <c r="BK185" i="1"/>
  <c r="BJ185" i="1"/>
  <c r="AM185" i="1"/>
  <c r="AF185" i="1"/>
  <c r="AD185" i="1"/>
  <c r="AK185" i="1" s="1"/>
  <c r="AL185" i="1" s="1"/>
  <c r="U185" i="1"/>
  <c r="T185" i="1"/>
  <c r="S185" i="1"/>
  <c r="R185" i="1"/>
  <c r="K185" i="1"/>
  <c r="J185" i="1"/>
  <c r="A185" i="1"/>
  <c r="DG184" i="1"/>
  <c r="CG184" i="1"/>
  <c r="CF184" i="1"/>
  <c r="CC184" i="1" s="1"/>
  <c r="CB184" i="1"/>
  <c r="CA184" i="1"/>
  <c r="BZ184" i="1"/>
  <c r="BU184" i="1"/>
  <c r="BR184" i="1" s="1"/>
  <c r="BK184" i="1"/>
  <c r="BJ184" i="1"/>
  <c r="AM184" i="1"/>
  <c r="AF184" i="1"/>
  <c r="AD184" i="1" s="1"/>
  <c r="AK184" i="1" s="1"/>
  <c r="AL184" i="1" s="1"/>
  <c r="U184" i="1"/>
  <c r="T184" i="1"/>
  <c r="S184" i="1"/>
  <c r="R184" i="1"/>
  <c r="K184" i="1"/>
  <c r="J184" i="1"/>
  <c r="A184" i="1"/>
  <c r="DG183" i="1"/>
  <c r="CF183" i="1"/>
  <c r="CC183" i="1"/>
  <c r="CB183" i="1"/>
  <c r="BU183" i="1"/>
  <c r="BK183" i="1"/>
  <c r="BJ183" i="1"/>
  <c r="AM183" i="1"/>
  <c r="AF183" i="1"/>
  <c r="AD183" i="1"/>
  <c r="AK183" i="1" s="1"/>
  <c r="AL183" i="1" s="1"/>
  <c r="U183" i="1"/>
  <c r="T183" i="1"/>
  <c r="S183" i="1"/>
  <c r="R183" i="1"/>
  <c r="K183" i="1"/>
  <c r="J183" i="1"/>
  <c r="A183" i="1"/>
  <c r="DG182" i="1"/>
  <c r="CF182" i="1"/>
  <c r="CC182" i="1" s="1"/>
  <c r="CB182" i="1"/>
  <c r="BU182" i="1"/>
  <c r="BR182" i="1" s="1"/>
  <c r="BQ182" i="1"/>
  <c r="BK182" i="1"/>
  <c r="BJ182" i="1"/>
  <c r="AM182" i="1"/>
  <c r="AF182" i="1"/>
  <c r="AD182" i="1"/>
  <c r="AK182" i="1" s="1"/>
  <c r="AL182" i="1" s="1"/>
  <c r="U182" i="1"/>
  <c r="T182" i="1"/>
  <c r="S182" i="1"/>
  <c r="R182" i="1"/>
  <c r="K182" i="1"/>
  <c r="J182" i="1"/>
  <c r="A182" i="1"/>
  <c r="DG181" i="1"/>
  <c r="CF181" i="1"/>
  <c r="CC181" i="1"/>
  <c r="CB181" i="1"/>
  <c r="BU181" i="1"/>
  <c r="BK181" i="1"/>
  <c r="BJ181" i="1"/>
  <c r="AM181" i="1"/>
  <c r="AF181" i="1"/>
  <c r="AD181" i="1"/>
  <c r="AK181" i="1" s="1"/>
  <c r="AL181" i="1" s="1"/>
  <c r="U181" i="1"/>
  <c r="T181" i="1"/>
  <c r="S181" i="1"/>
  <c r="R181" i="1"/>
  <c r="K181" i="1"/>
  <c r="J181" i="1"/>
  <c r="A181" i="1"/>
  <c r="DG180" i="1"/>
  <c r="CF180" i="1"/>
  <c r="CC180" i="1" s="1"/>
  <c r="CB180" i="1"/>
  <c r="CG180" i="1" s="1"/>
  <c r="CA180" i="1"/>
  <c r="BZ180" i="1" s="1"/>
  <c r="BU180" i="1"/>
  <c r="BR180" i="1" s="1"/>
  <c r="BQ180" i="1"/>
  <c r="BV180" i="1" s="1"/>
  <c r="BP180" i="1"/>
  <c r="BO180" i="1"/>
  <c r="BK180" i="1"/>
  <c r="BJ180" i="1"/>
  <c r="AM180" i="1"/>
  <c r="AF180" i="1"/>
  <c r="AD180" i="1"/>
  <c r="AK180" i="1" s="1"/>
  <c r="AL180" i="1" s="1"/>
  <c r="U180" i="1"/>
  <c r="T180" i="1"/>
  <c r="S180" i="1"/>
  <c r="R180" i="1"/>
  <c r="K180" i="1"/>
  <c r="J180" i="1"/>
  <c r="A180" i="1"/>
  <c r="DG179" i="1"/>
  <c r="CF179" i="1"/>
  <c r="CB179" i="1" s="1"/>
  <c r="CC179" i="1"/>
  <c r="BU179" i="1"/>
  <c r="BR179" i="1"/>
  <c r="BQ179" i="1"/>
  <c r="BK179" i="1"/>
  <c r="BJ179" i="1"/>
  <c r="AM179" i="1"/>
  <c r="AF179" i="1"/>
  <c r="AD179" i="1"/>
  <c r="AK179" i="1" s="1"/>
  <c r="AL179" i="1" s="1"/>
  <c r="U179" i="1"/>
  <c r="T179" i="1"/>
  <c r="S179" i="1"/>
  <c r="R179" i="1"/>
  <c r="K179" i="1"/>
  <c r="J179" i="1"/>
  <c r="A179" i="1"/>
  <c r="DG178" i="1"/>
  <c r="CF178" i="1"/>
  <c r="CC178" i="1" s="1"/>
  <c r="CB178" i="1"/>
  <c r="CG178" i="1" s="1"/>
  <c r="CA178" i="1"/>
  <c r="BZ178" i="1"/>
  <c r="BU178" i="1"/>
  <c r="BR178" i="1" s="1"/>
  <c r="BQ178" i="1"/>
  <c r="BV178" i="1" s="1"/>
  <c r="BK178" i="1"/>
  <c r="BJ178" i="1"/>
  <c r="AM178" i="1"/>
  <c r="AF178" i="1"/>
  <c r="AD178" i="1" s="1"/>
  <c r="AK178" i="1" s="1"/>
  <c r="AL178" i="1" s="1"/>
  <c r="U178" i="1"/>
  <c r="T178" i="1"/>
  <c r="S178" i="1"/>
  <c r="R178" i="1"/>
  <c r="K178" i="1"/>
  <c r="J178" i="1"/>
  <c r="A178" i="1"/>
  <c r="DG177" i="1"/>
  <c r="CF177" i="1"/>
  <c r="CC177" i="1" s="1"/>
  <c r="BV177" i="1"/>
  <c r="BU177" i="1"/>
  <c r="BR177" i="1"/>
  <c r="BQ177" i="1"/>
  <c r="BK177" i="1"/>
  <c r="BJ177" i="1"/>
  <c r="AM177" i="1"/>
  <c r="AF177" i="1"/>
  <c r="AD177" i="1" s="1"/>
  <c r="AK177" i="1" s="1"/>
  <c r="AL177" i="1" s="1"/>
  <c r="U177" i="1"/>
  <c r="T177" i="1"/>
  <c r="S177" i="1"/>
  <c r="R177" i="1"/>
  <c r="K177" i="1"/>
  <c r="J177" i="1"/>
  <c r="A177" i="1"/>
  <c r="DG176" i="1"/>
  <c r="CF176" i="1"/>
  <c r="CC176" i="1" s="1"/>
  <c r="CB176" i="1"/>
  <c r="BU176" i="1"/>
  <c r="BR176" i="1" s="1"/>
  <c r="BQ176" i="1"/>
  <c r="BK176" i="1"/>
  <c r="BJ176" i="1"/>
  <c r="AM176" i="1"/>
  <c r="AF176" i="1"/>
  <c r="AD176" i="1" s="1"/>
  <c r="AK176" i="1" s="1"/>
  <c r="AL176" i="1" s="1"/>
  <c r="U176" i="1"/>
  <c r="T176" i="1"/>
  <c r="S176" i="1"/>
  <c r="R176" i="1"/>
  <c r="K176" i="1"/>
  <c r="J176" i="1"/>
  <c r="A176" i="1"/>
  <c r="DG175" i="1"/>
  <c r="CF175" i="1"/>
  <c r="CC175" i="1" s="1"/>
  <c r="CB175" i="1"/>
  <c r="BV175" i="1"/>
  <c r="BU175" i="1"/>
  <c r="BQ175" i="1" s="1"/>
  <c r="BR175" i="1"/>
  <c r="BK175" i="1"/>
  <c r="BJ175" i="1"/>
  <c r="AM175" i="1"/>
  <c r="AF175" i="1"/>
  <c r="AD175" i="1" s="1"/>
  <c r="AK175" i="1" s="1"/>
  <c r="AL175" i="1" s="1"/>
  <c r="U175" i="1"/>
  <c r="T175" i="1"/>
  <c r="S175" i="1"/>
  <c r="R175" i="1"/>
  <c r="K175" i="1"/>
  <c r="J175" i="1"/>
  <c r="A175" i="1"/>
  <c r="DG174" i="1"/>
  <c r="CF174" i="1"/>
  <c r="CC174" i="1" s="1"/>
  <c r="CB174" i="1"/>
  <c r="BV174" i="1"/>
  <c r="BU174" i="1"/>
  <c r="BR174" i="1" s="1"/>
  <c r="BQ174" i="1"/>
  <c r="BK174" i="1"/>
  <c r="BJ174" i="1"/>
  <c r="AM174" i="1"/>
  <c r="AF174" i="1"/>
  <c r="AD174" i="1"/>
  <c r="AK174" i="1" s="1"/>
  <c r="AL174" i="1" s="1"/>
  <c r="U174" i="1"/>
  <c r="T174" i="1"/>
  <c r="S174" i="1"/>
  <c r="R174" i="1"/>
  <c r="K174" i="1"/>
  <c r="J174" i="1"/>
  <c r="A174" i="1"/>
  <c r="DG173" i="1"/>
  <c r="CF173" i="1"/>
  <c r="CC173" i="1"/>
  <c r="CB173" i="1"/>
  <c r="BV173" i="1"/>
  <c r="BU173" i="1"/>
  <c r="BQ173" i="1" s="1"/>
  <c r="BK173" i="1"/>
  <c r="BJ173" i="1"/>
  <c r="AM173" i="1"/>
  <c r="AF173" i="1"/>
  <c r="AD173" i="1" s="1"/>
  <c r="AK173" i="1" s="1"/>
  <c r="AL173" i="1" s="1"/>
  <c r="U173" i="1"/>
  <c r="T173" i="1"/>
  <c r="S173" i="1"/>
  <c r="R173" i="1"/>
  <c r="K173" i="1"/>
  <c r="J173" i="1"/>
  <c r="A173" i="1"/>
  <c r="DG172" i="1"/>
  <c r="CG172" i="1"/>
  <c r="CF172" i="1"/>
  <c r="CC172" i="1" s="1"/>
  <c r="CB172" i="1"/>
  <c r="CA172" i="1" s="1"/>
  <c r="BZ172" i="1" s="1"/>
  <c r="BU172" i="1"/>
  <c r="BR172" i="1" s="1"/>
  <c r="BK172" i="1"/>
  <c r="BJ172" i="1"/>
  <c r="AM172" i="1"/>
  <c r="AF172" i="1"/>
  <c r="AD172" i="1"/>
  <c r="AK172" i="1" s="1"/>
  <c r="AL172" i="1" s="1"/>
  <c r="U172" i="1"/>
  <c r="T172" i="1"/>
  <c r="S172" i="1"/>
  <c r="R172" i="1"/>
  <c r="K172" i="1"/>
  <c r="J172" i="1"/>
  <c r="A172" i="1"/>
  <c r="DG171" i="1"/>
  <c r="CF171" i="1"/>
  <c r="BU171" i="1"/>
  <c r="BR171" i="1" s="1"/>
  <c r="BQ171" i="1"/>
  <c r="BK171" i="1"/>
  <c r="BJ171" i="1"/>
  <c r="AM171" i="1"/>
  <c r="AF171" i="1"/>
  <c r="AD171" i="1" s="1"/>
  <c r="AK171" i="1" s="1"/>
  <c r="AL171" i="1" s="1"/>
  <c r="U171" i="1"/>
  <c r="T171" i="1"/>
  <c r="S171" i="1"/>
  <c r="R171" i="1"/>
  <c r="K171" i="1"/>
  <c r="J171" i="1"/>
  <c r="A171" i="1"/>
  <c r="DG170" i="1"/>
  <c r="CG170" i="1"/>
  <c r="CF170" i="1"/>
  <c r="CC170" i="1" s="1"/>
  <c r="CB170" i="1"/>
  <c r="CA170" i="1" s="1"/>
  <c r="BZ170" i="1" s="1"/>
  <c r="BV170" i="1"/>
  <c r="BU170" i="1"/>
  <c r="BR170" i="1" s="1"/>
  <c r="BQ170" i="1"/>
  <c r="BP170" i="1"/>
  <c r="BO170" i="1" s="1"/>
  <c r="BK170" i="1"/>
  <c r="BJ170" i="1"/>
  <c r="AM170" i="1"/>
  <c r="AF170" i="1"/>
  <c r="AD170" i="1" s="1"/>
  <c r="AK170" i="1" s="1"/>
  <c r="AL170" i="1" s="1"/>
  <c r="U170" i="1"/>
  <c r="T170" i="1"/>
  <c r="S170" i="1"/>
  <c r="R170" i="1"/>
  <c r="K170" i="1"/>
  <c r="J170" i="1"/>
  <c r="A170" i="1"/>
  <c r="DG169" i="1"/>
  <c r="CF169" i="1"/>
  <c r="BU169" i="1"/>
  <c r="BR169" i="1" s="1"/>
  <c r="BK169" i="1"/>
  <c r="BJ169" i="1"/>
  <c r="AM169" i="1"/>
  <c r="AF169" i="1"/>
  <c r="AD169" i="1"/>
  <c r="AK169" i="1" s="1"/>
  <c r="AL169" i="1" s="1"/>
  <c r="U169" i="1"/>
  <c r="T169" i="1"/>
  <c r="S169" i="1"/>
  <c r="R169" i="1"/>
  <c r="K169" i="1"/>
  <c r="J169" i="1"/>
  <c r="A169" i="1"/>
  <c r="DG168" i="1"/>
  <c r="CF168" i="1"/>
  <c r="CC168" i="1" s="1"/>
  <c r="CB168" i="1"/>
  <c r="CG168" i="1" s="1"/>
  <c r="CA168" i="1"/>
  <c r="BZ168" i="1" s="1"/>
  <c r="BU168" i="1"/>
  <c r="BK168" i="1"/>
  <c r="BJ168" i="1"/>
  <c r="AM168" i="1"/>
  <c r="AF168" i="1"/>
  <c r="AD168" i="1" s="1"/>
  <c r="AK168" i="1" s="1"/>
  <c r="AL168" i="1" s="1"/>
  <c r="U168" i="1"/>
  <c r="T168" i="1"/>
  <c r="S168" i="1"/>
  <c r="R168" i="1"/>
  <c r="K168" i="1"/>
  <c r="J168" i="1"/>
  <c r="A168" i="1"/>
  <c r="DG167" i="1"/>
  <c r="CF167" i="1"/>
  <c r="CC167" i="1"/>
  <c r="CB167" i="1"/>
  <c r="CG167" i="1" s="1"/>
  <c r="BU167" i="1"/>
  <c r="BQ167" i="1" s="1"/>
  <c r="BR167" i="1"/>
  <c r="BK167" i="1"/>
  <c r="BJ167" i="1"/>
  <c r="AM167" i="1"/>
  <c r="AF167" i="1"/>
  <c r="AD167" i="1"/>
  <c r="AK167" i="1" s="1"/>
  <c r="AL167" i="1" s="1"/>
  <c r="U167" i="1"/>
  <c r="T167" i="1"/>
  <c r="S167" i="1"/>
  <c r="R167" i="1"/>
  <c r="K167" i="1"/>
  <c r="J167" i="1"/>
  <c r="A167" i="1"/>
  <c r="DG166" i="1"/>
  <c r="CG166" i="1"/>
  <c r="CF166" i="1"/>
  <c r="CC166" i="1" s="1"/>
  <c r="CB166" i="1"/>
  <c r="CA166" i="1"/>
  <c r="BZ166" i="1" s="1"/>
  <c r="BV166" i="1"/>
  <c r="BU166" i="1"/>
  <c r="BR166" i="1"/>
  <c r="BQ166" i="1"/>
  <c r="BP166" i="1"/>
  <c r="BO166" i="1"/>
  <c r="BK166" i="1"/>
  <c r="BJ166" i="1"/>
  <c r="AM166" i="1"/>
  <c r="AF166" i="1"/>
  <c r="AD166" i="1" s="1"/>
  <c r="AK166" i="1" s="1"/>
  <c r="AL166" i="1" s="1"/>
  <c r="U166" i="1"/>
  <c r="T166" i="1"/>
  <c r="S166" i="1"/>
  <c r="R166" i="1"/>
  <c r="K166" i="1"/>
  <c r="J166" i="1"/>
  <c r="A166" i="1"/>
  <c r="DG165" i="1"/>
  <c r="CF165" i="1"/>
  <c r="CC165" i="1"/>
  <c r="CB165" i="1"/>
  <c r="BU165" i="1"/>
  <c r="BK165" i="1"/>
  <c r="BJ165" i="1"/>
  <c r="AM165" i="1"/>
  <c r="AF165" i="1"/>
  <c r="AD165" i="1" s="1"/>
  <c r="AK165" i="1" s="1"/>
  <c r="AL165" i="1" s="1"/>
  <c r="U165" i="1"/>
  <c r="T165" i="1"/>
  <c r="S165" i="1"/>
  <c r="R165" i="1"/>
  <c r="K165" i="1"/>
  <c r="J165" i="1"/>
  <c r="A165" i="1"/>
  <c r="DG164" i="1"/>
  <c r="CF164" i="1"/>
  <c r="CC164" i="1"/>
  <c r="CB164" i="1"/>
  <c r="CG164" i="1" s="1"/>
  <c r="CA164" i="1"/>
  <c r="BZ164" i="1" s="1"/>
  <c r="BV164" i="1"/>
  <c r="BU164" i="1"/>
  <c r="BR164" i="1" s="1"/>
  <c r="BQ164" i="1"/>
  <c r="BP164" i="1"/>
  <c r="BO164" i="1"/>
  <c r="BK164" i="1"/>
  <c r="BJ164" i="1"/>
  <c r="AM164" i="1"/>
  <c r="AF164" i="1"/>
  <c r="AD164" i="1" s="1"/>
  <c r="AK164" i="1" s="1"/>
  <c r="AL164" i="1" s="1"/>
  <c r="U164" i="1"/>
  <c r="T164" i="1"/>
  <c r="S164" i="1"/>
  <c r="R164" i="1"/>
  <c r="K164" i="1"/>
  <c r="J164" i="1"/>
  <c r="A164" i="1"/>
  <c r="DG163" i="1"/>
  <c r="CG163" i="1"/>
  <c r="CF163" i="1"/>
  <c r="CB163" i="1" s="1"/>
  <c r="CC163" i="1"/>
  <c r="CA163" i="1"/>
  <c r="BZ163" i="1" s="1"/>
  <c r="BU163" i="1"/>
  <c r="BR163" i="1"/>
  <c r="BQ163" i="1"/>
  <c r="BK163" i="1"/>
  <c r="BJ163" i="1"/>
  <c r="AM163" i="1"/>
  <c r="AF163" i="1"/>
  <c r="AD163" i="1"/>
  <c r="AK163" i="1" s="1"/>
  <c r="AL163" i="1" s="1"/>
  <c r="U163" i="1"/>
  <c r="T163" i="1"/>
  <c r="S163" i="1"/>
  <c r="R163" i="1"/>
  <c r="K163" i="1"/>
  <c r="J163" i="1"/>
  <c r="A163" i="1"/>
  <c r="DG162" i="1"/>
  <c r="CF162" i="1"/>
  <c r="CC162" i="1" s="1"/>
  <c r="BU162" i="1"/>
  <c r="BR162" i="1"/>
  <c r="BQ162" i="1"/>
  <c r="BV162" i="1" s="1"/>
  <c r="BP162" i="1"/>
  <c r="BO162" i="1" s="1"/>
  <c r="BK162" i="1"/>
  <c r="BJ162" i="1"/>
  <c r="AM162" i="1"/>
  <c r="AF162" i="1"/>
  <c r="AD162" i="1" s="1"/>
  <c r="AK162" i="1" s="1"/>
  <c r="AL162" i="1" s="1"/>
  <c r="U162" i="1"/>
  <c r="T162" i="1"/>
  <c r="S162" i="1"/>
  <c r="R162" i="1"/>
  <c r="K162" i="1"/>
  <c r="J162" i="1"/>
  <c r="A162" i="1"/>
  <c r="DG161" i="1"/>
  <c r="CG161" i="1"/>
  <c r="CF161" i="1"/>
  <c r="CB161" i="1" s="1"/>
  <c r="CA161" i="1" s="1"/>
  <c r="BZ161" i="1" s="1"/>
  <c r="CC161" i="1"/>
  <c r="BU161" i="1"/>
  <c r="BR161" i="1" s="1"/>
  <c r="BQ161" i="1"/>
  <c r="BK161" i="1"/>
  <c r="BJ161" i="1"/>
  <c r="AM161" i="1"/>
  <c r="AF161" i="1"/>
  <c r="AD161" i="1" s="1"/>
  <c r="AK161" i="1" s="1"/>
  <c r="AL161" i="1" s="1"/>
  <c r="U161" i="1"/>
  <c r="T161" i="1"/>
  <c r="S161" i="1"/>
  <c r="R161" i="1"/>
  <c r="K161" i="1"/>
  <c r="J161" i="1"/>
  <c r="A161" i="1"/>
  <c r="DG160" i="1"/>
  <c r="CG160" i="1"/>
  <c r="CF160" i="1"/>
  <c r="CC160" i="1"/>
  <c r="CA160" i="1" s="1"/>
  <c r="BZ160" i="1" s="1"/>
  <c r="CB160" i="1"/>
  <c r="BV160" i="1"/>
  <c r="BU160" i="1"/>
  <c r="BR160" i="1" s="1"/>
  <c r="BQ160" i="1"/>
  <c r="BP160" i="1" s="1"/>
  <c r="BO160" i="1" s="1"/>
  <c r="BK160" i="1"/>
  <c r="BJ160" i="1"/>
  <c r="AM160" i="1"/>
  <c r="AL160" i="1"/>
  <c r="AF160" i="1"/>
  <c r="AD160" i="1"/>
  <c r="AK160" i="1" s="1"/>
  <c r="U160" i="1"/>
  <c r="T160" i="1"/>
  <c r="S160" i="1"/>
  <c r="R160" i="1"/>
  <c r="K160" i="1"/>
  <c r="J160" i="1"/>
  <c r="A160" i="1"/>
  <c r="DG159" i="1"/>
  <c r="CG159" i="1"/>
  <c r="CF159" i="1"/>
  <c r="CC159" i="1"/>
  <c r="CB159" i="1"/>
  <c r="CA159" i="1"/>
  <c r="BZ159" i="1" s="1"/>
  <c r="BV159" i="1"/>
  <c r="BU159" i="1"/>
  <c r="BR159" i="1"/>
  <c r="BQ159" i="1"/>
  <c r="BK159" i="1"/>
  <c r="BJ159" i="1"/>
  <c r="AM159" i="1"/>
  <c r="AF159" i="1"/>
  <c r="AD159" i="1"/>
  <c r="AK159" i="1" s="1"/>
  <c r="AL159" i="1" s="1"/>
  <c r="U159" i="1"/>
  <c r="T159" i="1"/>
  <c r="S159" i="1"/>
  <c r="R159" i="1"/>
  <c r="K159" i="1"/>
  <c r="J159" i="1"/>
  <c r="A159" i="1"/>
  <c r="DG158" i="1"/>
  <c r="CF158" i="1"/>
  <c r="CC158" i="1" s="1"/>
  <c r="CB158" i="1"/>
  <c r="CG158" i="1" s="1"/>
  <c r="CA158" i="1"/>
  <c r="BZ158" i="1" s="1"/>
  <c r="BV158" i="1"/>
  <c r="BU158" i="1"/>
  <c r="BR158" i="1"/>
  <c r="BP158" i="1" s="1"/>
  <c r="BO158" i="1" s="1"/>
  <c r="BQ158" i="1"/>
  <c r="BK158" i="1"/>
  <c r="BJ158" i="1"/>
  <c r="AM158" i="1"/>
  <c r="AF158" i="1"/>
  <c r="AD158" i="1"/>
  <c r="AK158" i="1" s="1"/>
  <c r="AL158" i="1" s="1"/>
  <c r="U158" i="1"/>
  <c r="T158" i="1"/>
  <c r="S158" i="1"/>
  <c r="R158" i="1"/>
  <c r="K158" i="1"/>
  <c r="J158" i="1"/>
  <c r="A158" i="1"/>
  <c r="DG157" i="1"/>
  <c r="CF157" i="1"/>
  <c r="CC157" i="1"/>
  <c r="CB157" i="1"/>
  <c r="BU157" i="1"/>
  <c r="BK157" i="1"/>
  <c r="BJ157" i="1"/>
  <c r="AM157" i="1"/>
  <c r="AL157" i="1"/>
  <c r="AF157" i="1"/>
  <c r="AD157" i="1"/>
  <c r="AK157" i="1" s="1"/>
  <c r="U157" i="1"/>
  <c r="T157" i="1"/>
  <c r="S157" i="1"/>
  <c r="R157" i="1"/>
  <c r="K157" i="1"/>
  <c r="J157" i="1"/>
  <c r="DG156" i="1"/>
  <c r="CF156" i="1"/>
  <c r="CC156" i="1" s="1"/>
  <c r="CB156" i="1"/>
  <c r="CG156" i="1" s="1"/>
  <c r="CA156" i="1"/>
  <c r="BZ156" i="1" s="1"/>
  <c r="BU156" i="1"/>
  <c r="BQ156" i="1" s="1"/>
  <c r="BV156" i="1" s="1"/>
  <c r="BR156" i="1"/>
  <c r="BP156" i="1"/>
  <c r="BO156" i="1" s="1"/>
  <c r="BK156" i="1"/>
  <c r="BJ156" i="1"/>
  <c r="AM156" i="1"/>
  <c r="AF156" i="1"/>
  <c r="AD156" i="1"/>
  <c r="AK156" i="1" s="1"/>
  <c r="AL156" i="1" s="1"/>
  <c r="U156" i="1"/>
  <c r="T156" i="1"/>
  <c r="S156" i="1"/>
  <c r="R156" i="1"/>
  <c r="K156" i="1"/>
  <c r="J156" i="1"/>
  <c r="A156" i="1"/>
  <c r="DG155" i="1"/>
  <c r="CF155" i="1"/>
  <c r="CC155" i="1"/>
  <c r="CB155" i="1"/>
  <c r="CG155" i="1" s="1"/>
  <c r="CA155" i="1"/>
  <c r="BZ155" i="1" s="1"/>
  <c r="BU155" i="1"/>
  <c r="BQ155" i="1" s="1"/>
  <c r="BV155" i="1" s="1"/>
  <c r="BK155" i="1"/>
  <c r="BJ155" i="1"/>
  <c r="AM155" i="1"/>
  <c r="AF155" i="1"/>
  <c r="AD155" i="1" s="1"/>
  <c r="AK155" i="1" s="1"/>
  <c r="AL155" i="1" s="1"/>
  <c r="U155" i="1"/>
  <c r="T155" i="1"/>
  <c r="S155" i="1"/>
  <c r="R155" i="1"/>
  <c r="K155" i="1"/>
  <c r="J155" i="1"/>
  <c r="A155" i="1"/>
  <c r="DG154" i="1"/>
  <c r="CG154" i="1"/>
  <c r="CF154" i="1"/>
  <c r="CB154" i="1" s="1"/>
  <c r="BU154" i="1"/>
  <c r="BR154" i="1" s="1"/>
  <c r="BQ154" i="1"/>
  <c r="BK154" i="1"/>
  <c r="BJ154" i="1"/>
  <c r="AM154" i="1"/>
  <c r="AF154" i="1"/>
  <c r="AD154" i="1" s="1"/>
  <c r="AK154" i="1" s="1"/>
  <c r="AL154" i="1" s="1"/>
  <c r="U154" i="1"/>
  <c r="T154" i="1"/>
  <c r="S154" i="1"/>
  <c r="R154" i="1"/>
  <c r="K154" i="1"/>
  <c r="J154" i="1"/>
  <c r="A154" i="1"/>
  <c r="DG153" i="1"/>
  <c r="CF153" i="1"/>
  <c r="CC153" i="1"/>
  <c r="CB153" i="1"/>
  <c r="CG153" i="1" s="1"/>
  <c r="BU153" i="1"/>
  <c r="BK153" i="1"/>
  <c r="BJ153" i="1"/>
  <c r="AM153" i="1"/>
  <c r="AF153" i="1"/>
  <c r="AD153" i="1"/>
  <c r="AK153" i="1" s="1"/>
  <c r="AL153" i="1" s="1"/>
  <c r="U153" i="1"/>
  <c r="T153" i="1"/>
  <c r="S153" i="1"/>
  <c r="R153" i="1"/>
  <c r="K153" i="1"/>
  <c r="J153" i="1"/>
  <c r="A153" i="1"/>
  <c r="DG152" i="1"/>
  <c r="CF152" i="1"/>
  <c r="BV152" i="1"/>
  <c r="BU152" i="1"/>
  <c r="BR152" i="1" s="1"/>
  <c r="BQ152" i="1"/>
  <c r="BP152" i="1" s="1"/>
  <c r="BO152" i="1" s="1"/>
  <c r="BK152" i="1"/>
  <c r="BJ152" i="1"/>
  <c r="AM152" i="1"/>
  <c r="AF152" i="1"/>
  <c r="AD152" i="1" s="1"/>
  <c r="AK152" i="1" s="1"/>
  <c r="AL152" i="1" s="1"/>
  <c r="U152" i="1"/>
  <c r="T152" i="1"/>
  <c r="S152" i="1"/>
  <c r="R152" i="1"/>
  <c r="K152" i="1"/>
  <c r="J152" i="1"/>
  <c r="A152" i="1"/>
  <c r="DG151" i="1"/>
  <c r="CG151" i="1"/>
  <c r="CF151" i="1"/>
  <c r="CC151" i="1"/>
  <c r="CB151" i="1"/>
  <c r="CA151" i="1" s="1"/>
  <c r="BZ151" i="1" s="1"/>
  <c r="BV151" i="1"/>
  <c r="BU151" i="1"/>
  <c r="BR151" i="1"/>
  <c r="BQ151" i="1"/>
  <c r="BP151" i="1"/>
  <c r="BO151" i="1" s="1"/>
  <c r="BK151" i="1"/>
  <c r="BJ151" i="1"/>
  <c r="AM151" i="1"/>
  <c r="AK151" i="1"/>
  <c r="AL151" i="1" s="1"/>
  <c r="AF151" i="1"/>
  <c r="AD151" i="1" s="1"/>
  <c r="U151" i="1"/>
  <c r="T151" i="1"/>
  <c r="S151" i="1"/>
  <c r="R151" i="1"/>
  <c r="K151" i="1"/>
  <c r="J151" i="1"/>
  <c r="A151" i="1"/>
  <c r="DG150" i="1"/>
  <c r="CG150" i="1"/>
  <c r="CF150" i="1"/>
  <c r="CB150" i="1" s="1"/>
  <c r="CC150" i="1"/>
  <c r="CA150" i="1" s="1"/>
  <c r="BZ150" i="1" s="1"/>
  <c r="BU150" i="1"/>
  <c r="BR150" i="1"/>
  <c r="BQ150" i="1"/>
  <c r="BV150" i="1" s="1"/>
  <c r="BK150" i="1"/>
  <c r="BJ150" i="1"/>
  <c r="AM150" i="1"/>
  <c r="AF150" i="1"/>
  <c r="AD150" i="1"/>
  <c r="AK150" i="1" s="1"/>
  <c r="AL150" i="1" s="1"/>
  <c r="U150" i="1"/>
  <c r="T150" i="1"/>
  <c r="S150" i="1"/>
  <c r="R150" i="1"/>
  <c r="K150" i="1"/>
  <c r="J150" i="1"/>
  <c r="A150" i="1"/>
  <c r="DG149" i="1"/>
  <c r="CQ149" i="1"/>
  <c r="CF149" i="1"/>
  <c r="CC149" i="1" s="1"/>
  <c r="CB149" i="1"/>
  <c r="CG149" i="1" s="1"/>
  <c r="CA149" i="1"/>
  <c r="BZ149" i="1"/>
  <c r="BU149" i="1"/>
  <c r="BK149" i="1"/>
  <c r="BJ149" i="1"/>
  <c r="AM149" i="1"/>
  <c r="AK149" i="1"/>
  <c r="AL149" i="1" s="1"/>
  <c r="AF149" i="1"/>
  <c r="AD149" i="1" s="1"/>
  <c r="U149" i="1"/>
  <c r="T149" i="1"/>
  <c r="S149" i="1"/>
  <c r="R149" i="1"/>
  <c r="K149" i="1"/>
  <c r="J149" i="1"/>
  <c r="A149" i="1"/>
  <c r="DG148" i="1"/>
  <c r="CQ148" i="1"/>
  <c r="CF148" i="1"/>
  <c r="CC148" i="1"/>
  <c r="CB148" i="1"/>
  <c r="CG148" i="1" s="1"/>
  <c r="CA148" i="1"/>
  <c r="BZ148" i="1" s="1"/>
  <c r="BU148" i="1"/>
  <c r="BK148" i="1"/>
  <c r="BJ148" i="1"/>
  <c r="AM148" i="1"/>
  <c r="AF148" i="1"/>
  <c r="AD148" i="1"/>
  <c r="AK148" i="1" s="1"/>
  <c r="AL148" i="1" s="1"/>
  <c r="U148" i="1"/>
  <c r="T148" i="1"/>
  <c r="S148" i="1"/>
  <c r="R148" i="1"/>
  <c r="K148" i="1"/>
  <c r="J148" i="1"/>
  <c r="A148" i="1"/>
  <c r="DG147" i="1"/>
  <c r="CQ147" i="1"/>
  <c r="CN147" i="1"/>
  <c r="CM147" i="1"/>
  <c r="CR147" i="1" s="1"/>
  <c r="CL147" i="1"/>
  <c r="CK147" i="1"/>
  <c r="CF147" i="1"/>
  <c r="CC147" i="1" s="1"/>
  <c r="BU147" i="1"/>
  <c r="BR147" i="1"/>
  <c r="BP147" i="1" s="1"/>
  <c r="BO147" i="1" s="1"/>
  <c r="BQ147" i="1"/>
  <c r="BV147" i="1" s="1"/>
  <c r="BK147" i="1"/>
  <c r="BJ147" i="1"/>
  <c r="AM147" i="1"/>
  <c r="AF147" i="1"/>
  <c r="AD147" i="1" s="1"/>
  <c r="AK147" i="1" s="1"/>
  <c r="AL147" i="1" s="1"/>
  <c r="U147" i="1"/>
  <c r="T147" i="1"/>
  <c r="S147" i="1"/>
  <c r="R147" i="1"/>
  <c r="K147" i="1"/>
  <c r="J147" i="1"/>
  <c r="A147" i="1"/>
  <c r="DG146" i="1"/>
  <c r="CR146" i="1"/>
  <c r="CQ146" i="1"/>
  <c r="CN146" i="1"/>
  <c r="CM146" i="1"/>
  <c r="CL146" i="1" s="1"/>
  <c r="CK146" i="1"/>
  <c r="CF146" i="1"/>
  <c r="CB146" i="1" s="1"/>
  <c r="CC146" i="1"/>
  <c r="BV146" i="1"/>
  <c r="BU146" i="1"/>
  <c r="BQ146" i="1" s="1"/>
  <c r="BR146" i="1"/>
  <c r="BP146" i="1"/>
  <c r="BO146" i="1" s="1"/>
  <c r="BK146" i="1"/>
  <c r="BJ146" i="1"/>
  <c r="AM146" i="1"/>
  <c r="AF146" i="1"/>
  <c r="AD146" i="1"/>
  <c r="AK146" i="1" s="1"/>
  <c r="AL146" i="1" s="1"/>
  <c r="U146" i="1"/>
  <c r="T146" i="1"/>
  <c r="S146" i="1"/>
  <c r="R146" i="1"/>
  <c r="K146" i="1"/>
  <c r="J146" i="1"/>
  <c r="A146" i="1"/>
  <c r="DG145" i="1"/>
  <c r="CQ145" i="1"/>
  <c r="CN145" i="1" s="1"/>
  <c r="CM145" i="1"/>
  <c r="CR145" i="1" s="1"/>
  <c r="CL145" i="1"/>
  <c r="CK145" i="1"/>
  <c r="CG145" i="1"/>
  <c r="CF145" i="1"/>
  <c r="CB145" i="1" s="1"/>
  <c r="CA145" i="1" s="1"/>
  <c r="BZ145" i="1" s="1"/>
  <c r="CC145" i="1"/>
  <c r="BU145" i="1"/>
  <c r="BR145" i="1" s="1"/>
  <c r="BQ145" i="1"/>
  <c r="BV145" i="1" s="1"/>
  <c r="BP145" i="1"/>
  <c r="BO145" i="1" s="1"/>
  <c r="BK145" i="1"/>
  <c r="BJ145" i="1"/>
  <c r="AM145" i="1"/>
  <c r="AF145" i="1"/>
  <c r="AD145" i="1" s="1"/>
  <c r="AK145" i="1" s="1"/>
  <c r="AL145" i="1" s="1"/>
  <c r="U145" i="1"/>
  <c r="T145" i="1"/>
  <c r="S145" i="1"/>
  <c r="R145" i="1"/>
  <c r="K145" i="1"/>
  <c r="J145" i="1"/>
  <c r="A145" i="1"/>
  <c r="DG144" i="1"/>
  <c r="CQ144" i="1"/>
  <c r="CM144" i="1" s="1"/>
  <c r="CN144" i="1"/>
  <c r="CG144" i="1"/>
  <c r="CF144" i="1"/>
  <c r="CC144" i="1" s="1"/>
  <c r="CA144" i="1" s="1"/>
  <c r="BZ144" i="1" s="1"/>
  <c r="CB144" i="1"/>
  <c r="BU144" i="1"/>
  <c r="BQ144" i="1" s="1"/>
  <c r="BV144" i="1" s="1"/>
  <c r="BK144" i="1"/>
  <c r="BJ144" i="1"/>
  <c r="AM144" i="1"/>
  <c r="AF144" i="1"/>
  <c r="AD144" i="1"/>
  <c r="AK144" i="1" s="1"/>
  <c r="AL144" i="1" s="1"/>
  <c r="U144" i="1"/>
  <c r="T144" i="1"/>
  <c r="S144" i="1"/>
  <c r="R144" i="1"/>
  <c r="K144" i="1"/>
  <c r="J144" i="1"/>
  <c r="A144" i="1"/>
  <c r="DG143" i="1"/>
  <c r="CQ143" i="1"/>
  <c r="CN143" i="1"/>
  <c r="CL143" i="1" s="1"/>
  <c r="CK143" i="1" s="1"/>
  <c r="CM143" i="1"/>
  <c r="CR143" i="1" s="1"/>
  <c r="CF143" i="1"/>
  <c r="CC143" i="1" s="1"/>
  <c r="CB143" i="1"/>
  <c r="CG143" i="1" s="1"/>
  <c r="CA143" i="1"/>
  <c r="BZ143" i="1"/>
  <c r="BU143" i="1"/>
  <c r="BK143" i="1"/>
  <c r="BJ143" i="1"/>
  <c r="AM143" i="1"/>
  <c r="AF143" i="1"/>
  <c r="AD143" i="1" s="1"/>
  <c r="AK143" i="1" s="1"/>
  <c r="AL143" i="1" s="1"/>
  <c r="U143" i="1"/>
  <c r="T143" i="1"/>
  <c r="S143" i="1"/>
  <c r="R143" i="1"/>
  <c r="K143" i="1"/>
  <c r="J143" i="1"/>
  <c r="A143" i="1"/>
  <c r="DG142" i="1"/>
  <c r="CQ142" i="1"/>
  <c r="CM142" i="1" s="1"/>
  <c r="CR142" i="1" s="1"/>
  <c r="CF142" i="1"/>
  <c r="CB142" i="1" s="1"/>
  <c r="CG142" i="1" s="1"/>
  <c r="CC142" i="1"/>
  <c r="CA142" i="1"/>
  <c r="BZ142" i="1" s="1"/>
  <c r="BV142" i="1"/>
  <c r="BU142" i="1"/>
  <c r="BQ142" i="1" s="1"/>
  <c r="BR142" i="1"/>
  <c r="BK142" i="1"/>
  <c r="BJ142" i="1"/>
  <c r="AM142" i="1"/>
  <c r="AF142" i="1"/>
  <c r="AD142" i="1"/>
  <c r="AK142" i="1" s="1"/>
  <c r="AL142" i="1" s="1"/>
  <c r="U142" i="1"/>
  <c r="T142" i="1"/>
  <c r="S142" i="1"/>
  <c r="R142" i="1"/>
  <c r="K142" i="1"/>
  <c r="J142" i="1"/>
  <c r="A142" i="1"/>
  <c r="DG141" i="1"/>
  <c r="CQ141" i="1"/>
  <c r="CN141" i="1" s="1"/>
  <c r="CM141" i="1"/>
  <c r="CR141" i="1" s="1"/>
  <c r="CL141" i="1"/>
  <c r="CK141" i="1"/>
  <c r="CF141" i="1"/>
  <c r="CC141" i="1"/>
  <c r="CB141" i="1"/>
  <c r="CG141" i="1" s="1"/>
  <c r="CA141" i="1"/>
  <c r="BZ141" i="1" s="1"/>
  <c r="BU141" i="1"/>
  <c r="BK141" i="1"/>
  <c r="BJ141" i="1"/>
  <c r="AM141" i="1"/>
  <c r="AF141" i="1"/>
  <c r="AD141" i="1" s="1"/>
  <c r="AK141" i="1" s="1"/>
  <c r="AL141" i="1" s="1"/>
  <c r="U141" i="1"/>
  <c r="T141" i="1"/>
  <c r="S141" i="1"/>
  <c r="R141" i="1"/>
  <c r="K141" i="1"/>
  <c r="J141" i="1"/>
  <c r="A141" i="1"/>
  <c r="DG140" i="1"/>
  <c r="CQ140" i="1"/>
  <c r="CN140" i="1" s="1"/>
  <c r="CM140" i="1"/>
  <c r="CR140" i="1" s="1"/>
  <c r="CL140" i="1"/>
  <c r="CK140" i="1" s="1"/>
  <c r="CF140" i="1"/>
  <c r="BU140" i="1"/>
  <c r="BQ140" i="1" s="1"/>
  <c r="BP140" i="1" s="1"/>
  <c r="BO140" i="1" s="1"/>
  <c r="BR140" i="1"/>
  <c r="BK140" i="1"/>
  <c r="BJ140" i="1"/>
  <c r="AM140" i="1"/>
  <c r="AF140" i="1"/>
  <c r="AD140" i="1"/>
  <c r="AK140" i="1" s="1"/>
  <c r="AL140" i="1" s="1"/>
  <c r="U140" i="1"/>
  <c r="T140" i="1"/>
  <c r="S140" i="1"/>
  <c r="R140" i="1"/>
  <c r="K140" i="1"/>
  <c r="J140" i="1"/>
  <c r="A140" i="1"/>
  <c r="DG139" i="1"/>
  <c r="CQ139" i="1"/>
  <c r="CN139" i="1"/>
  <c r="CM139" i="1"/>
  <c r="CR139" i="1" s="1"/>
  <c r="CL139" i="1"/>
  <c r="CK139" i="1"/>
  <c r="CF139" i="1"/>
  <c r="BU139" i="1"/>
  <c r="BR139" i="1" s="1"/>
  <c r="BQ139" i="1"/>
  <c r="BV139" i="1" s="1"/>
  <c r="BP139" i="1"/>
  <c r="BO139" i="1"/>
  <c r="BK139" i="1"/>
  <c r="BJ139" i="1"/>
  <c r="AM139" i="1"/>
  <c r="AF139" i="1"/>
  <c r="AD139" i="1"/>
  <c r="AK139" i="1" s="1"/>
  <c r="AL139" i="1" s="1"/>
  <c r="U139" i="1"/>
  <c r="T139" i="1"/>
  <c r="S139" i="1"/>
  <c r="R139" i="1"/>
  <c r="K139" i="1"/>
  <c r="J139" i="1"/>
  <c r="A139" i="1"/>
  <c r="DG138" i="1"/>
  <c r="CQ138" i="1"/>
  <c r="CF138" i="1"/>
  <c r="CC138" i="1"/>
  <c r="CB138" i="1"/>
  <c r="CG138" i="1" s="1"/>
  <c r="CA138" i="1"/>
  <c r="BZ138" i="1" s="1"/>
  <c r="BV138" i="1"/>
  <c r="BU138" i="1"/>
  <c r="BQ138" i="1" s="1"/>
  <c r="BR138" i="1"/>
  <c r="BP138" i="1"/>
  <c r="BO138" i="1" s="1"/>
  <c r="BK138" i="1"/>
  <c r="BJ138" i="1"/>
  <c r="AM138" i="1"/>
  <c r="AF138" i="1"/>
  <c r="AD138" i="1"/>
  <c r="AK138" i="1" s="1"/>
  <c r="AL138" i="1" s="1"/>
  <c r="U138" i="1"/>
  <c r="T138" i="1"/>
  <c r="S138" i="1"/>
  <c r="R138" i="1"/>
  <c r="K138" i="1"/>
  <c r="J138" i="1"/>
  <c r="A138" i="1"/>
  <c r="DG137" i="1"/>
  <c r="CQ137" i="1"/>
  <c r="CN137" i="1"/>
  <c r="CM137" i="1"/>
  <c r="CL137" i="1"/>
  <c r="CK137" i="1"/>
  <c r="CF137" i="1"/>
  <c r="BU137" i="1"/>
  <c r="BK137" i="1"/>
  <c r="BJ137" i="1"/>
  <c r="AM137" i="1"/>
  <c r="AF137" i="1"/>
  <c r="AD137" i="1" s="1"/>
  <c r="AK137" i="1" s="1"/>
  <c r="AL137" i="1" s="1"/>
  <c r="U137" i="1"/>
  <c r="T137" i="1"/>
  <c r="S137" i="1"/>
  <c r="R137" i="1"/>
  <c r="K137" i="1"/>
  <c r="J137" i="1"/>
  <c r="A137" i="1"/>
  <c r="DG136" i="1"/>
  <c r="CQ136" i="1"/>
  <c r="CN136" i="1" s="1"/>
  <c r="CL136" i="1" s="1"/>
  <c r="CK136" i="1" s="1"/>
  <c r="CM136" i="1"/>
  <c r="CR136" i="1" s="1"/>
  <c r="CG136" i="1"/>
  <c r="CF136" i="1"/>
  <c r="CB136" i="1" s="1"/>
  <c r="CC136" i="1"/>
  <c r="CA136" i="1" s="1"/>
  <c r="BZ136" i="1" s="1"/>
  <c r="BU136" i="1"/>
  <c r="BR136" i="1"/>
  <c r="BQ136" i="1"/>
  <c r="BK136" i="1"/>
  <c r="BJ136" i="1"/>
  <c r="AM136" i="1"/>
  <c r="AF136" i="1"/>
  <c r="AD136" i="1" s="1"/>
  <c r="AK136" i="1" s="1"/>
  <c r="AL136" i="1" s="1"/>
  <c r="U136" i="1"/>
  <c r="T136" i="1"/>
  <c r="S136" i="1"/>
  <c r="R136" i="1"/>
  <c r="K136" i="1"/>
  <c r="J136" i="1"/>
  <c r="A136" i="1"/>
  <c r="DG135" i="1"/>
  <c r="CQ135" i="1"/>
  <c r="CF135" i="1"/>
  <c r="CC135" i="1" s="1"/>
  <c r="BU135" i="1"/>
  <c r="BK135" i="1"/>
  <c r="BJ135" i="1"/>
  <c r="AM135" i="1"/>
  <c r="AF135" i="1"/>
  <c r="AD135" i="1" s="1"/>
  <c r="AK135" i="1" s="1"/>
  <c r="AL135" i="1" s="1"/>
  <c r="U135" i="1"/>
  <c r="T135" i="1"/>
  <c r="S135" i="1"/>
  <c r="R135" i="1"/>
  <c r="K135" i="1"/>
  <c r="J135" i="1"/>
  <c r="A135" i="1"/>
  <c r="DG134" i="1"/>
  <c r="CR134" i="1"/>
  <c r="CQ134" i="1"/>
  <c r="CM134" i="1" s="1"/>
  <c r="CN134" i="1"/>
  <c r="CL134" i="1" s="1"/>
  <c r="CK134" i="1" s="1"/>
  <c r="CF134" i="1"/>
  <c r="CC134" i="1"/>
  <c r="CB134" i="1"/>
  <c r="BV134" i="1"/>
  <c r="BU134" i="1"/>
  <c r="BQ134" i="1" s="1"/>
  <c r="BR134" i="1"/>
  <c r="BK134" i="1"/>
  <c r="BJ134" i="1"/>
  <c r="AM134" i="1"/>
  <c r="AF134" i="1"/>
  <c r="AD134" i="1" s="1"/>
  <c r="AK134" i="1" s="1"/>
  <c r="AL134" i="1" s="1"/>
  <c r="U134" i="1"/>
  <c r="T134" i="1"/>
  <c r="S134" i="1"/>
  <c r="R134" i="1"/>
  <c r="K134" i="1"/>
  <c r="J134" i="1"/>
  <c r="A134" i="1"/>
  <c r="DG133" i="1"/>
  <c r="CQ133" i="1"/>
  <c r="CN133" i="1"/>
  <c r="CM133" i="1"/>
  <c r="CF133" i="1"/>
  <c r="BU133" i="1"/>
  <c r="BR133" i="1" s="1"/>
  <c r="BK133" i="1"/>
  <c r="BJ133" i="1"/>
  <c r="AM133" i="1"/>
  <c r="AF133" i="1"/>
  <c r="AD133" i="1"/>
  <c r="AK133" i="1" s="1"/>
  <c r="AL133" i="1" s="1"/>
  <c r="U133" i="1"/>
  <c r="T133" i="1"/>
  <c r="S133" i="1"/>
  <c r="R133" i="1"/>
  <c r="K133" i="1"/>
  <c r="J133" i="1"/>
  <c r="A133" i="1"/>
  <c r="DG132" i="1"/>
  <c r="CQ132" i="1"/>
  <c r="CN132" i="1"/>
  <c r="CM132" i="1"/>
  <c r="CR132" i="1" s="1"/>
  <c r="CL132" i="1"/>
  <c r="CK132" i="1" s="1"/>
  <c r="CG132" i="1"/>
  <c r="CF132" i="1"/>
  <c r="CB132" i="1" s="1"/>
  <c r="CC132" i="1"/>
  <c r="CA132" i="1"/>
  <c r="BZ132" i="1" s="1"/>
  <c r="BU132" i="1"/>
  <c r="BQ132" i="1" s="1"/>
  <c r="BR132" i="1"/>
  <c r="BK132" i="1"/>
  <c r="BJ132" i="1"/>
  <c r="AM132" i="1"/>
  <c r="AF132" i="1"/>
  <c r="AD132" i="1" s="1"/>
  <c r="AK132" i="1" s="1"/>
  <c r="AL132" i="1" s="1"/>
  <c r="U132" i="1"/>
  <c r="T132" i="1"/>
  <c r="S132" i="1"/>
  <c r="R132" i="1"/>
  <c r="K132" i="1"/>
  <c r="J132" i="1"/>
  <c r="A132" i="1"/>
  <c r="DG131" i="1"/>
  <c r="CQ131" i="1"/>
  <c r="CF131" i="1"/>
  <c r="CC131" i="1"/>
  <c r="CB131" i="1"/>
  <c r="CG131" i="1" s="1"/>
  <c r="CA131" i="1"/>
  <c r="BZ131" i="1"/>
  <c r="BU131" i="1"/>
  <c r="BK131" i="1"/>
  <c r="BJ131" i="1"/>
  <c r="AM131" i="1"/>
  <c r="AF131" i="1"/>
  <c r="AD131" i="1" s="1"/>
  <c r="AK131" i="1" s="1"/>
  <c r="AL131" i="1" s="1"/>
  <c r="U131" i="1"/>
  <c r="T131" i="1"/>
  <c r="S131" i="1"/>
  <c r="R131" i="1"/>
  <c r="K131" i="1"/>
  <c r="J131" i="1"/>
  <c r="A131" i="1"/>
  <c r="DG130" i="1"/>
  <c r="CR130" i="1"/>
  <c r="CQ130" i="1"/>
  <c r="CM130" i="1" s="1"/>
  <c r="CN130" i="1"/>
  <c r="CL130" i="1"/>
  <c r="CK130" i="1" s="1"/>
  <c r="CF130" i="1"/>
  <c r="BU130" i="1"/>
  <c r="BK130" i="1"/>
  <c r="BJ130" i="1"/>
  <c r="AM130" i="1"/>
  <c r="AF130" i="1"/>
  <c r="AD130" i="1" s="1"/>
  <c r="AK130" i="1" s="1"/>
  <c r="AL130" i="1" s="1"/>
  <c r="U130" i="1"/>
  <c r="T130" i="1"/>
  <c r="S130" i="1"/>
  <c r="R130" i="1"/>
  <c r="K130" i="1"/>
  <c r="J130" i="1"/>
  <c r="A130" i="1"/>
  <c r="DG129" i="1"/>
  <c r="CR129" i="1"/>
  <c r="CQ129" i="1"/>
  <c r="CN129" i="1"/>
  <c r="CM129" i="1"/>
  <c r="CF129" i="1"/>
  <c r="BU129" i="1"/>
  <c r="BR129" i="1"/>
  <c r="BQ129" i="1"/>
  <c r="BV129" i="1" s="1"/>
  <c r="BP129" i="1"/>
  <c r="BO129" i="1"/>
  <c r="BK129" i="1"/>
  <c r="BJ129" i="1"/>
  <c r="AM129" i="1"/>
  <c r="AF129" i="1"/>
  <c r="AD129" i="1"/>
  <c r="AK129" i="1" s="1"/>
  <c r="AL129" i="1" s="1"/>
  <c r="U129" i="1"/>
  <c r="T129" i="1"/>
  <c r="S129" i="1"/>
  <c r="R129" i="1"/>
  <c r="K129" i="1"/>
  <c r="J129" i="1"/>
  <c r="A129" i="1"/>
  <c r="DG128" i="1"/>
  <c r="CQ128" i="1"/>
  <c r="CF128" i="1"/>
  <c r="CB128" i="1" s="1"/>
  <c r="CG128" i="1" s="1"/>
  <c r="CC128" i="1"/>
  <c r="CA128" i="1"/>
  <c r="BZ128" i="1" s="1"/>
  <c r="BU128" i="1"/>
  <c r="BQ128" i="1" s="1"/>
  <c r="BR128" i="1"/>
  <c r="BK128" i="1"/>
  <c r="BJ128" i="1"/>
  <c r="AM128" i="1"/>
  <c r="AF128" i="1"/>
  <c r="AD128" i="1" s="1"/>
  <c r="AK128" i="1" s="1"/>
  <c r="AL128" i="1" s="1"/>
  <c r="U128" i="1"/>
  <c r="T128" i="1"/>
  <c r="S128" i="1"/>
  <c r="R128" i="1"/>
  <c r="K128" i="1"/>
  <c r="J128" i="1"/>
  <c r="A128" i="1"/>
  <c r="DG127" i="1"/>
  <c r="CQ127" i="1"/>
  <c r="CF127" i="1"/>
  <c r="CC127" i="1"/>
  <c r="CB127" i="1"/>
  <c r="CG127" i="1" s="1"/>
  <c r="CA127" i="1"/>
  <c r="BZ127" i="1" s="1"/>
  <c r="BU127" i="1"/>
  <c r="BK127" i="1"/>
  <c r="BJ127" i="1"/>
  <c r="AM127" i="1"/>
  <c r="AF127" i="1"/>
  <c r="AD127" i="1" s="1"/>
  <c r="AK127" i="1" s="1"/>
  <c r="AL127" i="1" s="1"/>
  <c r="U127" i="1"/>
  <c r="T127" i="1"/>
  <c r="S127" i="1"/>
  <c r="R127" i="1"/>
  <c r="K127" i="1"/>
  <c r="J127" i="1"/>
  <c r="A127" i="1"/>
  <c r="DG126" i="1"/>
  <c r="CQ126" i="1"/>
  <c r="CM126" i="1" s="1"/>
  <c r="CN126" i="1"/>
  <c r="CF126" i="1"/>
  <c r="CC126" i="1"/>
  <c r="CA126" i="1" s="1"/>
  <c r="BZ126" i="1" s="1"/>
  <c r="CB126" i="1"/>
  <c r="CG126" i="1" s="1"/>
  <c r="BU126" i="1"/>
  <c r="BK126" i="1"/>
  <c r="BJ126" i="1"/>
  <c r="AM126" i="1"/>
  <c r="AF126" i="1"/>
  <c r="AD126" i="1" s="1"/>
  <c r="AK126" i="1" s="1"/>
  <c r="AL126" i="1" s="1"/>
  <c r="U126" i="1"/>
  <c r="T126" i="1"/>
  <c r="S126" i="1"/>
  <c r="R126" i="1"/>
  <c r="K126" i="1"/>
  <c r="J126" i="1"/>
  <c r="A126" i="1"/>
  <c r="DG125" i="1"/>
  <c r="CQ125" i="1"/>
  <c r="CF125" i="1"/>
  <c r="BU125" i="1"/>
  <c r="BK125" i="1"/>
  <c r="BJ125" i="1"/>
  <c r="AM125" i="1"/>
  <c r="AF125" i="1"/>
  <c r="AD125" i="1"/>
  <c r="AK125" i="1" s="1"/>
  <c r="AL125" i="1" s="1"/>
  <c r="U125" i="1"/>
  <c r="T125" i="1"/>
  <c r="S125" i="1"/>
  <c r="R125" i="1"/>
  <c r="K125" i="1"/>
  <c r="J125" i="1"/>
  <c r="A125" i="1"/>
  <c r="DG124" i="1"/>
  <c r="CQ124" i="1"/>
  <c r="CN124" i="1"/>
  <c r="CL124" i="1" s="1"/>
  <c r="CK124" i="1" s="1"/>
  <c r="CM124" i="1"/>
  <c r="CR124" i="1" s="1"/>
  <c r="CF124" i="1"/>
  <c r="BU124" i="1"/>
  <c r="BR124" i="1"/>
  <c r="BQ124" i="1"/>
  <c r="BK124" i="1"/>
  <c r="BJ124" i="1"/>
  <c r="AM124" i="1"/>
  <c r="AF124" i="1"/>
  <c r="AD124" i="1" s="1"/>
  <c r="AK124" i="1" s="1"/>
  <c r="AL124" i="1" s="1"/>
  <c r="U124" i="1"/>
  <c r="T124" i="1"/>
  <c r="S124" i="1"/>
  <c r="R124" i="1"/>
  <c r="K124" i="1"/>
  <c r="J124" i="1"/>
  <c r="A124" i="1"/>
  <c r="DG123" i="1"/>
  <c r="CQ123" i="1"/>
  <c r="CM123" i="1" s="1"/>
  <c r="CR123" i="1" s="1"/>
  <c r="CN123" i="1"/>
  <c r="CL123" i="1"/>
  <c r="CK123" i="1"/>
  <c r="CG123" i="1"/>
  <c r="CF123" i="1"/>
  <c r="CC123" i="1"/>
  <c r="CB123" i="1"/>
  <c r="CA123" i="1"/>
  <c r="BZ123" i="1" s="1"/>
  <c r="BU123" i="1"/>
  <c r="BK123" i="1"/>
  <c r="BJ123" i="1"/>
  <c r="AF123" i="1"/>
  <c r="AD123" i="1" s="1"/>
  <c r="AK123" i="1" s="1"/>
  <c r="U123" i="1"/>
  <c r="T123" i="1"/>
  <c r="S123" i="1"/>
  <c r="R123" i="1"/>
  <c r="K123" i="1"/>
  <c r="J123" i="1"/>
  <c r="A123" i="1"/>
  <c r="DG122" i="1"/>
  <c r="CQ122" i="1"/>
  <c r="CM122" i="1" s="1"/>
  <c r="CR122" i="1" s="1"/>
  <c r="CN122" i="1"/>
  <c r="CL122" i="1"/>
  <c r="CK122" i="1" s="1"/>
  <c r="CF122" i="1"/>
  <c r="CC122" i="1"/>
  <c r="CA122" i="1" s="1"/>
  <c r="CB122" i="1"/>
  <c r="CG122" i="1" s="1"/>
  <c r="BZ122" i="1"/>
  <c r="BU122" i="1"/>
  <c r="BK122" i="1"/>
  <c r="BJ122" i="1"/>
  <c r="AM122" i="1"/>
  <c r="AF122" i="1"/>
  <c r="AD122" i="1"/>
  <c r="AK122" i="1" s="1"/>
  <c r="AL122" i="1" s="1"/>
  <c r="U122" i="1"/>
  <c r="T122" i="1"/>
  <c r="S122" i="1"/>
  <c r="R122" i="1"/>
  <c r="K122" i="1"/>
  <c r="J122" i="1"/>
  <c r="A122" i="1"/>
  <c r="DG121" i="1"/>
  <c r="CQ121" i="1"/>
  <c r="CN121" i="1"/>
  <c r="CM121" i="1"/>
  <c r="CR121" i="1" s="1"/>
  <c r="CL121" i="1"/>
  <c r="CK121" i="1"/>
  <c r="CF121" i="1"/>
  <c r="CB121" i="1" s="1"/>
  <c r="BV121" i="1"/>
  <c r="BU121" i="1"/>
  <c r="BR121" i="1"/>
  <c r="BP121" i="1" s="1"/>
  <c r="BQ121" i="1"/>
  <c r="BO121" i="1"/>
  <c r="BK121" i="1"/>
  <c r="BJ121" i="1"/>
  <c r="AM121" i="1"/>
  <c r="AF121" i="1"/>
  <c r="AD121" i="1"/>
  <c r="AK121" i="1" s="1"/>
  <c r="AL121" i="1" s="1"/>
  <c r="U121" i="1"/>
  <c r="T121" i="1"/>
  <c r="S121" i="1"/>
  <c r="R121" i="1"/>
  <c r="K121" i="1"/>
  <c r="J121" i="1"/>
  <c r="A121" i="1"/>
  <c r="DG120" i="1"/>
  <c r="CQ120" i="1"/>
  <c r="CN120" i="1"/>
  <c r="CM120" i="1"/>
  <c r="CR120" i="1" s="1"/>
  <c r="CL120" i="1"/>
  <c r="CK120" i="1" s="1"/>
  <c r="CF120" i="1"/>
  <c r="BU120" i="1"/>
  <c r="BR120" i="1"/>
  <c r="BQ120" i="1"/>
  <c r="BV120" i="1" s="1"/>
  <c r="BP120" i="1"/>
  <c r="BO120" i="1"/>
  <c r="BK120" i="1"/>
  <c r="BJ120" i="1"/>
  <c r="AM120" i="1"/>
  <c r="AF120" i="1"/>
  <c r="AD120" i="1" s="1"/>
  <c r="AK120" i="1" s="1"/>
  <c r="AL120" i="1" s="1"/>
  <c r="U120" i="1"/>
  <c r="T120" i="1"/>
  <c r="S120" i="1"/>
  <c r="R120" i="1"/>
  <c r="K120" i="1"/>
  <c r="J120" i="1"/>
  <c r="A120" i="1"/>
  <c r="DG119" i="1"/>
  <c r="CQ119" i="1"/>
  <c r="CN119" i="1" s="1"/>
  <c r="CM119" i="1"/>
  <c r="CG119" i="1"/>
  <c r="CF119" i="1"/>
  <c r="CC119" i="1"/>
  <c r="CB119" i="1"/>
  <c r="CA119" i="1" s="1"/>
  <c r="BZ119" i="1" s="1"/>
  <c r="BU119" i="1"/>
  <c r="BQ119" i="1" s="1"/>
  <c r="BV119" i="1" s="1"/>
  <c r="BR119" i="1"/>
  <c r="BP119" i="1"/>
  <c r="BO119" i="1" s="1"/>
  <c r="BK119" i="1"/>
  <c r="BJ119" i="1"/>
  <c r="AM119" i="1"/>
  <c r="AF119" i="1"/>
  <c r="AD119" i="1" s="1"/>
  <c r="AK119" i="1" s="1"/>
  <c r="AL119" i="1" s="1"/>
  <c r="U119" i="1"/>
  <c r="T119" i="1"/>
  <c r="S119" i="1"/>
  <c r="R119" i="1"/>
  <c r="K119" i="1"/>
  <c r="J119" i="1"/>
  <c r="A119" i="1"/>
  <c r="DG118" i="1"/>
  <c r="CQ118" i="1"/>
  <c r="CM118" i="1" s="1"/>
  <c r="CR118" i="1" s="1"/>
  <c r="CN118" i="1"/>
  <c r="CL118" i="1"/>
  <c r="CK118" i="1" s="1"/>
  <c r="CF118" i="1"/>
  <c r="CC118" i="1" s="1"/>
  <c r="BU118" i="1"/>
  <c r="BQ118" i="1" s="1"/>
  <c r="BV118" i="1" s="1"/>
  <c r="BR118" i="1"/>
  <c r="BP118" i="1"/>
  <c r="BO118" i="1"/>
  <c r="BK118" i="1"/>
  <c r="BJ118" i="1"/>
  <c r="AM118" i="1"/>
  <c r="AF118" i="1"/>
  <c r="AD118" i="1" s="1"/>
  <c r="AK118" i="1" s="1"/>
  <c r="AL118" i="1" s="1"/>
  <c r="U118" i="1"/>
  <c r="T118" i="1"/>
  <c r="S118" i="1"/>
  <c r="R118" i="1"/>
  <c r="K118" i="1"/>
  <c r="J118" i="1"/>
  <c r="A118" i="1"/>
  <c r="DG117" i="1"/>
  <c r="CQ117" i="1"/>
  <c r="CF117" i="1"/>
  <c r="CC117" i="1" s="1"/>
  <c r="CA117" i="1" s="1"/>
  <c r="BZ117" i="1" s="1"/>
  <c r="CB117" i="1"/>
  <c r="CG117" i="1" s="1"/>
  <c r="BV117" i="1"/>
  <c r="BU117" i="1"/>
  <c r="BR117" i="1"/>
  <c r="BP117" i="1" s="1"/>
  <c r="BO117" i="1" s="1"/>
  <c r="BQ117" i="1"/>
  <c r="BK117" i="1"/>
  <c r="BJ117" i="1"/>
  <c r="AM117" i="1"/>
  <c r="AD117" i="1"/>
  <c r="AK117" i="1" s="1"/>
  <c r="AL117" i="1" s="1"/>
  <c r="U117" i="1"/>
  <c r="T117" i="1"/>
  <c r="S117" i="1"/>
  <c r="R117" i="1"/>
  <c r="K117" i="1"/>
  <c r="J117" i="1"/>
  <c r="A117" i="1"/>
  <c r="DG116" i="1"/>
  <c r="CQ116" i="1"/>
  <c r="CN116" i="1"/>
  <c r="CM116" i="1"/>
  <c r="CR116" i="1" s="1"/>
  <c r="CG116" i="1"/>
  <c r="CF116" i="1"/>
  <c r="CC116" i="1"/>
  <c r="CB116" i="1"/>
  <c r="CA116" i="1" s="1"/>
  <c r="BZ116" i="1"/>
  <c r="BV116" i="1"/>
  <c r="BU116" i="1"/>
  <c r="BR116" i="1"/>
  <c r="BQ116" i="1"/>
  <c r="BP116" i="1"/>
  <c r="BO116" i="1"/>
  <c r="BK116" i="1"/>
  <c r="BJ116" i="1"/>
  <c r="AK116" i="1"/>
  <c r="AL116" i="1" s="1"/>
  <c r="AD116" i="1"/>
  <c r="U116" i="1"/>
  <c r="T116" i="1"/>
  <c r="S116" i="1"/>
  <c r="R116" i="1"/>
  <c r="K116" i="1"/>
  <c r="J116" i="1"/>
  <c r="A116" i="1"/>
  <c r="DG115" i="1"/>
  <c r="CR115" i="1"/>
  <c r="CQ115" i="1"/>
  <c r="CN115" i="1"/>
  <c r="CM115" i="1"/>
  <c r="CL115" i="1"/>
  <c r="CK115" i="1"/>
  <c r="CG115" i="1"/>
  <c r="CF115" i="1"/>
  <c r="CC115" i="1"/>
  <c r="CB115" i="1"/>
  <c r="CA115" i="1"/>
  <c r="BZ115" i="1" s="1"/>
  <c r="BV115" i="1"/>
  <c r="BU115" i="1"/>
  <c r="BR115" i="1"/>
  <c r="BQ115" i="1"/>
  <c r="BP115" i="1"/>
  <c r="BO115" i="1"/>
  <c r="BK115" i="1"/>
  <c r="BJ115" i="1"/>
  <c r="AM115" i="1"/>
  <c r="AF115" i="1"/>
  <c r="AD115" i="1"/>
  <c r="AK115" i="1" s="1"/>
  <c r="AL115" i="1" s="1"/>
  <c r="U115" i="1"/>
  <c r="T115" i="1"/>
  <c r="S115" i="1"/>
  <c r="R115" i="1"/>
  <c r="K115" i="1"/>
  <c r="J115" i="1"/>
  <c r="A115" i="1"/>
  <c r="DG114" i="1"/>
  <c r="CQ114" i="1"/>
  <c r="CN114" i="1" s="1"/>
  <c r="CM114" i="1"/>
  <c r="CL114" i="1" s="1"/>
  <c r="CK114" i="1" s="1"/>
  <c r="CF114" i="1"/>
  <c r="CC114" i="1"/>
  <c r="CB114" i="1"/>
  <c r="CG114" i="1" s="1"/>
  <c r="CA114" i="1"/>
  <c r="BZ114" i="1" s="1"/>
  <c r="BU114" i="1"/>
  <c r="BK114" i="1"/>
  <c r="BJ114" i="1"/>
  <c r="AM114" i="1"/>
  <c r="AF114" i="1"/>
  <c r="AD114" i="1"/>
  <c r="AK114" i="1" s="1"/>
  <c r="AL114" i="1" s="1"/>
  <c r="U114" i="1"/>
  <c r="T114" i="1"/>
  <c r="S114" i="1"/>
  <c r="R114" i="1"/>
  <c r="K114" i="1"/>
  <c r="J114" i="1"/>
  <c r="A114" i="1"/>
  <c r="DG113" i="1"/>
  <c r="CQ113" i="1"/>
  <c r="CN113" i="1"/>
  <c r="CM113" i="1"/>
  <c r="CG113" i="1"/>
  <c r="CF113" i="1"/>
  <c r="CC113" i="1"/>
  <c r="CB113" i="1"/>
  <c r="CA113" i="1"/>
  <c r="BZ113" i="1" s="1"/>
  <c r="BU113" i="1"/>
  <c r="BR113" i="1"/>
  <c r="BQ113" i="1"/>
  <c r="BK113" i="1"/>
  <c r="BJ113" i="1"/>
  <c r="AM113" i="1"/>
  <c r="AF113" i="1"/>
  <c r="AD113" i="1" s="1"/>
  <c r="AK113" i="1" s="1"/>
  <c r="AL113" i="1" s="1"/>
  <c r="U113" i="1"/>
  <c r="T113" i="1"/>
  <c r="S113" i="1"/>
  <c r="R113" i="1"/>
  <c r="K113" i="1"/>
  <c r="J113" i="1"/>
  <c r="A113" i="1"/>
  <c r="DG112" i="1"/>
  <c r="CR112" i="1"/>
  <c r="CQ112" i="1"/>
  <c r="CN112" i="1"/>
  <c r="CM112" i="1"/>
  <c r="CL112" i="1"/>
  <c r="CK112" i="1"/>
  <c r="CF112" i="1"/>
  <c r="CC112" i="1" s="1"/>
  <c r="CB112" i="1"/>
  <c r="BU112" i="1"/>
  <c r="BR112" i="1"/>
  <c r="BQ112" i="1"/>
  <c r="BP112" i="1" s="1"/>
  <c r="BO112" i="1" s="1"/>
  <c r="BK112" i="1"/>
  <c r="BJ112" i="1"/>
  <c r="AM112" i="1"/>
  <c r="AF112" i="1"/>
  <c r="AD112" i="1"/>
  <c r="AK112" i="1" s="1"/>
  <c r="AL112" i="1" s="1"/>
  <c r="U112" i="1"/>
  <c r="T112" i="1"/>
  <c r="S112" i="1"/>
  <c r="R112" i="1"/>
  <c r="K112" i="1"/>
  <c r="J112" i="1"/>
  <c r="A112" i="1"/>
  <c r="DG111" i="1"/>
  <c r="CR111" i="1"/>
  <c r="CQ111" i="1"/>
  <c r="CN111" i="1"/>
  <c r="CM111" i="1"/>
  <c r="CL111" i="1"/>
  <c r="CK111" i="1" s="1"/>
  <c r="CF111" i="1"/>
  <c r="BU111" i="1"/>
  <c r="BR111" i="1"/>
  <c r="BQ111" i="1"/>
  <c r="BV111" i="1" s="1"/>
  <c r="BP111" i="1"/>
  <c r="BO111" i="1" s="1"/>
  <c r="BK111" i="1"/>
  <c r="BJ111" i="1"/>
  <c r="AM111" i="1"/>
  <c r="AF111" i="1"/>
  <c r="AD111" i="1"/>
  <c r="AK111" i="1" s="1"/>
  <c r="AL111" i="1" s="1"/>
  <c r="U111" i="1"/>
  <c r="T111" i="1"/>
  <c r="S111" i="1"/>
  <c r="R111" i="1"/>
  <c r="K111" i="1"/>
  <c r="J111" i="1"/>
  <c r="A111" i="1"/>
  <c r="DG110" i="1"/>
  <c r="CQ110" i="1"/>
  <c r="CN110" i="1" s="1"/>
  <c r="CF110" i="1"/>
  <c r="BU110" i="1"/>
  <c r="BK110" i="1"/>
  <c r="BJ110" i="1"/>
  <c r="AM110" i="1"/>
  <c r="AF110" i="1"/>
  <c r="AD110" i="1" s="1"/>
  <c r="AK110" i="1" s="1"/>
  <c r="AL110" i="1" s="1"/>
  <c r="U110" i="1"/>
  <c r="T110" i="1"/>
  <c r="S110" i="1"/>
  <c r="R110" i="1"/>
  <c r="K110" i="1"/>
  <c r="J110" i="1"/>
  <c r="A110" i="1"/>
  <c r="DG109" i="1"/>
  <c r="CQ109" i="1"/>
  <c r="CG109" i="1"/>
  <c r="CF109" i="1"/>
  <c r="CC109" i="1"/>
  <c r="CB109" i="1"/>
  <c r="CA109" i="1" s="1"/>
  <c r="BZ109" i="1" s="1"/>
  <c r="BU109" i="1"/>
  <c r="BR109" i="1"/>
  <c r="BQ109" i="1"/>
  <c r="BV109" i="1" s="1"/>
  <c r="BP109" i="1"/>
  <c r="BO109" i="1" s="1"/>
  <c r="BK109" i="1"/>
  <c r="BJ109" i="1"/>
  <c r="AM109" i="1"/>
  <c r="AF109" i="1"/>
  <c r="AD109" i="1"/>
  <c r="AK109" i="1" s="1"/>
  <c r="AL109" i="1" s="1"/>
  <c r="U109" i="1"/>
  <c r="T109" i="1"/>
  <c r="S109" i="1"/>
  <c r="R109" i="1"/>
  <c r="K109" i="1"/>
  <c r="J109" i="1"/>
  <c r="A109" i="1"/>
  <c r="DG108" i="1"/>
  <c r="CQ108" i="1"/>
  <c r="CN108" i="1" s="1"/>
  <c r="CM108" i="1"/>
  <c r="CG108" i="1"/>
  <c r="CF108" i="1"/>
  <c r="CC108" i="1" s="1"/>
  <c r="CB108" i="1"/>
  <c r="CA108" i="1" s="1"/>
  <c r="BZ108" i="1"/>
  <c r="BU108" i="1"/>
  <c r="BK108" i="1"/>
  <c r="BJ108" i="1"/>
  <c r="AM108" i="1"/>
  <c r="AF108" i="1"/>
  <c r="AD108" i="1"/>
  <c r="AK108" i="1" s="1"/>
  <c r="AL108" i="1" s="1"/>
  <c r="U108" i="1"/>
  <c r="T108" i="1"/>
  <c r="S108" i="1"/>
  <c r="R108" i="1"/>
  <c r="K108" i="1"/>
  <c r="J108" i="1"/>
  <c r="A108" i="1"/>
  <c r="DG107" i="1"/>
  <c r="CQ107" i="1"/>
  <c r="CN107" i="1"/>
  <c r="CM107" i="1"/>
  <c r="CL107" i="1" s="1"/>
  <c r="CK107" i="1" s="1"/>
  <c r="CF107" i="1"/>
  <c r="CC107" i="1" s="1"/>
  <c r="CB107" i="1"/>
  <c r="CG107" i="1" s="1"/>
  <c r="CA107" i="1"/>
  <c r="BZ107" i="1" s="1"/>
  <c r="BU107" i="1"/>
  <c r="BR107" i="1"/>
  <c r="BQ107" i="1"/>
  <c r="BV107" i="1" s="1"/>
  <c r="BP107" i="1"/>
  <c r="BO107" i="1" s="1"/>
  <c r="BK107" i="1"/>
  <c r="BJ107" i="1"/>
  <c r="AM107" i="1"/>
  <c r="AF107" i="1"/>
  <c r="AD107" i="1"/>
  <c r="AK107" i="1" s="1"/>
  <c r="AL107" i="1" s="1"/>
  <c r="U107" i="1"/>
  <c r="T107" i="1"/>
  <c r="S107" i="1"/>
  <c r="R107" i="1"/>
  <c r="K107" i="1"/>
  <c r="J107" i="1"/>
  <c r="A107" i="1"/>
  <c r="DK106" i="1"/>
  <c r="DI106" i="1"/>
  <c r="DG106" i="1"/>
  <c r="CQ106" i="1"/>
  <c r="CN106" i="1" s="1"/>
  <c r="CM106" i="1"/>
  <c r="CR106" i="1" s="1"/>
  <c r="CF106" i="1"/>
  <c r="CC106" i="1"/>
  <c r="CB106" i="1"/>
  <c r="BU106" i="1"/>
  <c r="BR106" i="1" s="1"/>
  <c r="BQ106" i="1"/>
  <c r="BV106" i="1" s="1"/>
  <c r="BP106" i="1"/>
  <c r="BO106" i="1"/>
  <c r="BK106" i="1"/>
  <c r="BJ106" i="1"/>
  <c r="AM106" i="1"/>
  <c r="AF106" i="1"/>
  <c r="AD106" i="1" s="1"/>
  <c r="AK106" i="1" s="1"/>
  <c r="AL106" i="1" s="1"/>
  <c r="U106" i="1"/>
  <c r="T106" i="1"/>
  <c r="S106" i="1"/>
  <c r="R106" i="1"/>
  <c r="K106" i="1"/>
  <c r="J106" i="1"/>
  <c r="A106" i="1"/>
  <c r="DG105" i="1"/>
  <c r="CR105" i="1"/>
  <c r="CQ105" i="1"/>
  <c r="CM105" i="1" s="1"/>
  <c r="CN105" i="1"/>
  <c r="CL105" i="1"/>
  <c r="CK105" i="1" s="1"/>
  <c r="CF105" i="1"/>
  <c r="CC105" i="1" s="1"/>
  <c r="CA105" i="1" s="1"/>
  <c r="BZ105" i="1" s="1"/>
  <c r="CB105" i="1"/>
  <c r="CG105" i="1" s="1"/>
  <c r="BU105" i="1"/>
  <c r="BQ105" i="1" s="1"/>
  <c r="BV105" i="1" s="1"/>
  <c r="BR105" i="1"/>
  <c r="BP105" i="1"/>
  <c r="BO105" i="1" s="1"/>
  <c r="BK105" i="1"/>
  <c r="BJ105" i="1"/>
  <c r="AM105" i="1"/>
  <c r="AF105" i="1"/>
  <c r="AD105" i="1"/>
  <c r="AK105" i="1" s="1"/>
  <c r="AL105" i="1" s="1"/>
  <c r="U105" i="1"/>
  <c r="T105" i="1"/>
  <c r="S105" i="1"/>
  <c r="R105" i="1"/>
  <c r="K105" i="1"/>
  <c r="J105" i="1"/>
  <c r="A105" i="1"/>
  <c r="DG104" i="1"/>
  <c r="CQ104" i="1"/>
  <c r="CN104" i="1"/>
  <c r="CM104" i="1"/>
  <c r="CR104" i="1" s="1"/>
  <c r="CL104" i="1"/>
  <c r="CK104" i="1"/>
  <c r="CF104" i="1"/>
  <c r="BV104" i="1"/>
  <c r="BU104" i="1"/>
  <c r="BR104" i="1"/>
  <c r="BQ104" i="1"/>
  <c r="BP104" i="1"/>
  <c r="BO104" i="1"/>
  <c r="BK104" i="1"/>
  <c r="BJ104" i="1"/>
  <c r="AM104" i="1"/>
  <c r="AF104" i="1"/>
  <c r="AD104" i="1"/>
  <c r="AK104" i="1" s="1"/>
  <c r="AL104" i="1" s="1"/>
  <c r="U104" i="1"/>
  <c r="T104" i="1"/>
  <c r="S104" i="1"/>
  <c r="R104" i="1"/>
  <c r="K104" i="1"/>
  <c r="J104" i="1"/>
  <c r="A104" i="1"/>
  <c r="DG103" i="1"/>
  <c r="CQ103" i="1"/>
  <c r="CN103" i="1"/>
  <c r="CM103" i="1"/>
  <c r="CF103" i="1"/>
  <c r="CB103" i="1" s="1"/>
  <c r="CC103" i="1"/>
  <c r="BU103" i="1"/>
  <c r="BR103" i="1"/>
  <c r="BQ103" i="1"/>
  <c r="BV103" i="1" s="1"/>
  <c r="BP103" i="1"/>
  <c r="BO103" i="1" s="1"/>
  <c r="BK103" i="1"/>
  <c r="BJ103" i="1"/>
  <c r="AM103" i="1"/>
  <c r="AF103" i="1"/>
  <c r="AD103" i="1"/>
  <c r="AK103" i="1" s="1"/>
  <c r="AL103" i="1" s="1"/>
  <c r="U103" i="1"/>
  <c r="T103" i="1"/>
  <c r="S103" i="1"/>
  <c r="R103" i="1"/>
  <c r="K103" i="1"/>
  <c r="J103" i="1"/>
  <c r="A103" i="1"/>
  <c r="DG102" i="1"/>
  <c r="CQ102" i="1"/>
  <c r="CN102" i="1" s="1"/>
  <c r="CM102" i="1"/>
  <c r="CR102" i="1" s="1"/>
  <c r="CL102" i="1"/>
  <c r="CK102" i="1" s="1"/>
  <c r="CF102" i="1"/>
  <c r="CC102" i="1"/>
  <c r="CB102" i="1"/>
  <c r="BU102" i="1"/>
  <c r="BR102" i="1" s="1"/>
  <c r="BQ102" i="1"/>
  <c r="BV102" i="1" s="1"/>
  <c r="BK102" i="1"/>
  <c r="BJ102" i="1"/>
  <c r="AM102" i="1"/>
  <c r="AF102" i="1"/>
  <c r="AD102" i="1" s="1"/>
  <c r="AK102" i="1" s="1"/>
  <c r="AL102" i="1" s="1"/>
  <c r="U102" i="1"/>
  <c r="T102" i="1"/>
  <c r="S102" i="1"/>
  <c r="R102" i="1"/>
  <c r="K102" i="1"/>
  <c r="J102" i="1"/>
  <c r="A102" i="1"/>
  <c r="DG101" i="1"/>
  <c r="CQ101" i="1"/>
  <c r="CM101" i="1" s="1"/>
  <c r="CR101" i="1" s="1"/>
  <c r="CN101" i="1"/>
  <c r="CL101" i="1"/>
  <c r="CK101" i="1" s="1"/>
  <c r="CF101" i="1"/>
  <c r="BU101" i="1"/>
  <c r="BQ101" i="1" s="1"/>
  <c r="BV101" i="1" s="1"/>
  <c r="BR101" i="1"/>
  <c r="BP101" i="1" s="1"/>
  <c r="BO101" i="1" s="1"/>
  <c r="BK101" i="1"/>
  <c r="BJ101" i="1"/>
  <c r="AM101" i="1"/>
  <c r="AF101" i="1"/>
  <c r="AD101" i="1" s="1"/>
  <c r="AK101" i="1" s="1"/>
  <c r="AL101" i="1" s="1"/>
  <c r="U101" i="1"/>
  <c r="T101" i="1"/>
  <c r="S101" i="1"/>
  <c r="R101" i="1"/>
  <c r="K101" i="1"/>
  <c r="J101" i="1"/>
  <c r="A101" i="1"/>
  <c r="DG100" i="1"/>
  <c r="CR100" i="1"/>
  <c r="CQ100" i="1"/>
  <c r="CN100" i="1"/>
  <c r="CM100" i="1"/>
  <c r="CL100" i="1"/>
  <c r="CK100" i="1"/>
  <c r="CF100" i="1"/>
  <c r="CC100" i="1" s="1"/>
  <c r="CB100" i="1"/>
  <c r="CG100" i="1" s="1"/>
  <c r="CA100" i="1"/>
  <c r="BZ100" i="1"/>
  <c r="BU100" i="1"/>
  <c r="BK100" i="1"/>
  <c r="BJ100" i="1"/>
  <c r="AM100" i="1"/>
  <c r="AF100" i="1"/>
  <c r="AD100" i="1"/>
  <c r="AK100" i="1" s="1"/>
  <c r="AL100" i="1" s="1"/>
  <c r="U100" i="1"/>
  <c r="T100" i="1"/>
  <c r="S100" i="1"/>
  <c r="R100" i="1"/>
  <c r="K100" i="1"/>
  <c r="J100" i="1"/>
  <c r="A100" i="1"/>
  <c r="DG99" i="1"/>
  <c r="CQ99" i="1"/>
  <c r="CF99" i="1"/>
  <c r="CB99" i="1" s="1"/>
  <c r="CG99" i="1" s="1"/>
  <c r="BU99" i="1"/>
  <c r="BR99" i="1"/>
  <c r="BP99" i="1" s="1"/>
  <c r="BO99" i="1" s="1"/>
  <c r="BQ99" i="1"/>
  <c r="BV99" i="1" s="1"/>
  <c r="BK99" i="1"/>
  <c r="BJ99" i="1"/>
  <c r="AM99" i="1"/>
  <c r="AF99" i="1"/>
  <c r="AD99" i="1" s="1"/>
  <c r="AK99" i="1" s="1"/>
  <c r="AL99" i="1" s="1"/>
  <c r="U99" i="1"/>
  <c r="T99" i="1"/>
  <c r="S99" i="1"/>
  <c r="R99" i="1"/>
  <c r="K99" i="1"/>
  <c r="J99" i="1"/>
  <c r="A99" i="1"/>
  <c r="DG98" i="1"/>
  <c r="CQ98" i="1"/>
  <c r="CN98" i="1" s="1"/>
  <c r="CM98" i="1"/>
  <c r="CR98" i="1" s="1"/>
  <c r="CF98" i="1"/>
  <c r="BU98" i="1"/>
  <c r="BK98" i="1"/>
  <c r="BJ98" i="1"/>
  <c r="AF98" i="1"/>
  <c r="AD98" i="1" s="1"/>
  <c r="AK98" i="1" s="1"/>
  <c r="U98" i="1"/>
  <c r="T98" i="1"/>
  <c r="S98" i="1"/>
  <c r="R98" i="1"/>
  <c r="K98" i="1"/>
  <c r="J98" i="1"/>
  <c r="A98" i="1"/>
  <c r="DG97" i="1"/>
  <c r="DB97" i="1"/>
  <c r="CZ97" i="1"/>
  <c r="CQ97" i="1"/>
  <c r="CN97" i="1"/>
  <c r="CM97" i="1"/>
  <c r="CL97" i="1" s="1"/>
  <c r="CK97" i="1" s="1"/>
  <c r="CF97" i="1"/>
  <c r="CC97" i="1"/>
  <c r="CA97" i="1" s="1"/>
  <c r="BZ97" i="1" s="1"/>
  <c r="CB97" i="1"/>
  <c r="CG97" i="1" s="1"/>
  <c r="BU97" i="1"/>
  <c r="BR97" i="1"/>
  <c r="BQ97" i="1"/>
  <c r="BK97" i="1"/>
  <c r="BJ97" i="1"/>
  <c r="AM97" i="1"/>
  <c r="AF97" i="1"/>
  <c r="AD97" i="1"/>
  <c r="AK97" i="1" s="1"/>
  <c r="AL97" i="1" s="1"/>
  <c r="U97" i="1"/>
  <c r="T97" i="1"/>
  <c r="S97" i="1"/>
  <c r="R97" i="1"/>
  <c r="K97" i="1"/>
  <c r="J97" i="1"/>
  <c r="A97" i="1"/>
  <c r="DG96" i="1"/>
  <c r="DB96" i="1"/>
  <c r="CZ96" i="1"/>
  <c r="CQ96" i="1"/>
  <c r="CN96" i="1"/>
  <c r="CM96" i="1"/>
  <c r="CR96" i="1" s="1"/>
  <c r="CL96" i="1"/>
  <c r="CK96" i="1" s="1"/>
  <c r="CG96" i="1"/>
  <c r="CF96" i="1"/>
  <c r="CC96" i="1"/>
  <c r="CB96" i="1"/>
  <c r="CA96" i="1"/>
  <c r="BZ96" i="1" s="1"/>
  <c r="BU96" i="1"/>
  <c r="BR96" i="1"/>
  <c r="BQ96" i="1"/>
  <c r="BV96" i="1" s="1"/>
  <c r="BP96" i="1"/>
  <c r="BO96" i="1" s="1"/>
  <c r="BK96" i="1"/>
  <c r="BJ96" i="1"/>
  <c r="AM96" i="1"/>
  <c r="AF96" i="1"/>
  <c r="AD96" i="1"/>
  <c r="AK96" i="1" s="1"/>
  <c r="AL96" i="1" s="1"/>
  <c r="U96" i="1"/>
  <c r="T96" i="1"/>
  <c r="S96" i="1"/>
  <c r="R96" i="1"/>
  <c r="K96" i="1"/>
  <c r="J96" i="1"/>
  <c r="A96" i="1"/>
  <c r="DG95" i="1"/>
  <c r="CZ95" i="1"/>
  <c r="CT95" i="1"/>
  <c r="CQ95" i="1"/>
  <c r="CF95" i="1"/>
  <c r="CC95" i="1" s="1"/>
  <c r="BU95" i="1"/>
  <c r="BR95" i="1"/>
  <c r="BQ95" i="1"/>
  <c r="BV95" i="1" s="1"/>
  <c r="BP95" i="1"/>
  <c r="BO95" i="1"/>
  <c r="BK95" i="1"/>
  <c r="BJ95" i="1"/>
  <c r="AM95" i="1"/>
  <c r="AF95" i="1"/>
  <c r="AD95" i="1"/>
  <c r="AK95" i="1" s="1"/>
  <c r="AL95" i="1" s="1"/>
  <c r="U95" i="1"/>
  <c r="T95" i="1"/>
  <c r="S95" i="1"/>
  <c r="R95" i="1"/>
  <c r="K95" i="1"/>
  <c r="J95" i="1"/>
  <c r="A95" i="1"/>
  <c r="DG94" i="1"/>
  <c r="CZ94" i="1"/>
  <c r="CT94" i="1"/>
  <c r="CQ94" i="1"/>
  <c r="CG94" i="1"/>
  <c r="CF94" i="1"/>
  <c r="CC94" i="1"/>
  <c r="CB94" i="1"/>
  <c r="CA94" i="1" s="1"/>
  <c r="BZ94" i="1"/>
  <c r="BU94" i="1"/>
  <c r="BK94" i="1"/>
  <c r="BJ94" i="1"/>
  <c r="AF94" i="1"/>
  <c r="AD94" i="1"/>
  <c r="AK94" i="1" s="1"/>
  <c r="AL94" i="1" s="1"/>
  <c r="U94" i="1"/>
  <c r="T94" i="1"/>
  <c r="S94" i="1"/>
  <c r="R94" i="1"/>
  <c r="K94" i="1"/>
  <c r="J94" i="1"/>
  <c r="A94" i="1"/>
  <c r="DG93" i="1"/>
  <c r="CZ93" i="1"/>
  <c r="CV93" i="1"/>
  <c r="CU93" i="1"/>
  <c r="CT93" i="1"/>
  <c r="CQ93" i="1"/>
  <c r="CN93" i="1" s="1"/>
  <c r="CM93" i="1"/>
  <c r="CL93" i="1" s="1"/>
  <c r="CK93" i="1"/>
  <c r="CF93" i="1"/>
  <c r="BU93" i="1"/>
  <c r="BR93" i="1" s="1"/>
  <c r="BQ93" i="1"/>
  <c r="BK93" i="1"/>
  <c r="BJ93" i="1"/>
  <c r="AM93" i="1"/>
  <c r="AF93" i="1"/>
  <c r="AD93" i="1" s="1"/>
  <c r="AK93" i="1" s="1"/>
  <c r="AL93" i="1" s="1"/>
  <c r="U93" i="1"/>
  <c r="T93" i="1"/>
  <c r="S93" i="1"/>
  <c r="R93" i="1"/>
  <c r="K93" i="1"/>
  <c r="J93" i="1"/>
  <c r="A93" i="1"/>
  <c r="DG92" i="1"/>
  <c r="CZ92" i="1"/>
  <c r="CV92" i="1"/>
  <c r="CU92" i="1"/>
  <c r="CT92" i="1"/>
  <c r="CR92" i="1"/>
  <c r="CQ92" i="1"/>
  <c r="CN92" i="1"/>
  <c r="CM92" i="1"/>
  <c r="CL92" i="1" s="1"/>
  <c r="CK92" i="1" s="1"/>
  <c r="CG92" i="1"/>
  <c r="CF92" i="1"/>
  <c r="CC92" i="1"/>
  <c r="CB92" i="1"/>
  <c r="CA92" i="1"/>
  <c r="BZ92" i="1" s="1"/>
  <c r="BV92" i="1"/>
  <c r="BU92" i="1"/>
  <c r="BR92" i="1"/>
  <c r="BQ92" i="1"/>
  <c r="BP92" i="1"/>
  <c r="BO92" i="1" s="1"/>
  <c r="BK92" i="1"/>
  <c r="BJ92" i="1"/>
  <c r="AM92" i="1"/>
  <c r="AF92" i="1"/>
  <c r="AD92" i="1"/>
  <c r="AK92" i="1" s="1"/>
  <c r="AL92" i="1" s="1"/>
  <c r="U92" i="1"/>
  <c r="T92" i="1"/>
  <c r="S92" i="1"/>
  <c r="R92" i="1"/>
  <c r="K92" i="1"/>
  <c r="J92" i="1"/>
  <c r="A92" i="1"/>
  <c r="DG91" i="1"/>
  <c r="CZ91" i="1"/>
  <c r="CT91" i="1"/>
  <c r="CQ91" i="1"/>
  <c r="CM91" i="1" s="1"/>
  <c r="CN91" i="1"/>
  <c r="CF91" i="1"/>
  <c r="CC91" i="1" s="1"/>
  <c r="BU91" i="1"/>
  <c r="BK91" i="1"/>
  <c r="BJ91" i="1"/>
  <c r="AF91" i="1"/>
  <c r="AD91" i="1" s="1"/>
  <c r="AK91" i="1" s="1"/>
  <c r="U91" i="1"/>
  <c r="T91" i="1"/>
  <c r="S91" i="1"/>
  <c r="R91" i="1"/>
  <c r="K91" i="1"/>
  <c r="J91" i="1"/>
  <c r="A91" i="1"/>
  <c r="DG90" i="1"/>
  <c r="CZ90" i="1"/>
  <c r="CT90" i="1"/>
  <c r="CQ90" i="1"/>
  <c r="CN90" i="1"/>
  <c r="CM90" i="1"/>
  <c r="CG90" i="1"/>
  <c r="CF90" i="1"/>
  <c r="CC90" i="1"/>
  <c r="CA90" i="1" s="1"/>
  <c r="BZ90" i="1" s="1"/>
  <c r="CB90" i="1"/>
  <c r="BV90" i="1"/>
  <c r="BU90" i="1"/>
  <c r="BQ90" i="1" s="1"/>
  <c r="BR90" i="1"/>
  <c r="BK90" i="1"/>
  <c r="BJ90" i="1"/>
  <c r="AM90" i="1"/>
  <c r="AF90" i="1"/>
  <c r="AD90" i="1" s="1"/>
  <c r="AK90" i="1" s="1"/>
  <c r="AL90" i="1" s="1"/>
  <c r="U90" i="1"/>
  <c r="T90" i="1"/>
  <c r="S90" i="1"/>
  <c r="R90" i="1"/>
  <c r="K90" i="1"/>
  <c r="J90" i="1"/>
  <c r="A90" i="1"/>
  <c r="DG89" i="1"/>
  <c r="CZ89" i="1"/>
  <c r="CU89" i="1"/>
  <c r="CT89" i="1"/>
  <c r="CV89" i="1" s="1"/>
  <c r="CQ89" i="1"/>
  <c r="CN89" i="1" s="1"/>
  <c r="CM89" i="1"/>
  <c r="CG89" i="1"/>
  <c r="CF89" i="1"/>
  <c r="CB89" i="1" s="1"/>
  <c r="CC89" i="1"/>
  <c r="BU89" i="1"/>
  <c r="BR89" i="1" s="1"/>
  <c r="BQ89" i="1"/>
  <c r="BP89" i="1" s="1"/>
  <c r="BO89" i="1"/>
  <c r="BK89" i="1"/>
  <c r="BJ89" i="1"/>
  <c r="AM89" i="1"/>
  <c r="AF89" i="1"/>
  <c r="AD89" i="1"/>
  <c r="AK89" i="1" s="1"/>
  <c r="AL89" i="1" s="1"/>
  <c r="U89" i="1"/>
  <c r="T89" i="1"/>
  <c r="S89" i="1"/>
  <c r="R89" i="1"/>
  <c r="K89" i="1"/>
  <c r="J89" i="1"/>
  <c r="A89" i="1"/>
  <c r="DG88" i="1"/>
  <c r="DB88" i="1"/>
  <c r="DA88" i="1"/>
  <c r="CZ88" i="1"/>
  <c r="CV88" i="1"/>
  <c r="CU88" i="1" s="1"/>
  <c r="CT88" i="1"/>
  <c r="CQ88" i="1"/>
  <c r="CN88" i="1"/>
  <c r="CM88" i="1"/>
  <c r="CF88" i="1"/>
  <c r="BV88" i="1"/>
  <c r="BU88" i="1"/>
  <c r="BR88" i="1"/>
  <c r="BQ88" i="1"/>
  <c r="BP88" i="1"/>
  <c r="BO88" i="1" s="1"/>
  <c r="BK88" i="1"/>
  <c r="BJ88" i="1"/>
  <c r="AM88" i="1"/>
  <c r="AF88" i="1"/>
  <c r="AD88" i="1" s="1"/>
  <c r="AK88" i="1" s="1"/>
  <c r="AL88" i="1" s="1"/>
  <c r="U88" i="1"/>
  <c r="T88" i="1"/>
  <c r="S88" i="1"/>
  <c r="R88" i="1"/>
  <c r="K88" i="1"/>
  <c r="J88" i="1"/>
  <c r="A88" i="1"/>
  <c r="DG87" i="1"/>
  <c r="CZ87" i="1"/>
  <c r="CT87" i="1"/>
  <c r="CQ87" i="1"/>
  <c r="CN87" i="1" s="1"/>
  <c r="CM87" i="1"/>
  <c r="CL87" i="1" s="1"/>
  <c r="CK87" i="1" s="1"/>
  <c r="CG87" i="1"/>
  <c r="CF87" i="1"/>
  <c r="CC87" i="1" s="1"/>
  <c r="CB87" i="1"/>
  <c r="CA87" i="1" s="1"/>
  <c r="BZ87" i="1"/>
  <c r="BU87" i="1"/>
  <c r="BR87" i="1"/>
  <c r="BQ87" i="1"/>
  <c r="BV87" i="1" s="1"/>
  <c r="BP87" i="1"/>
  <c r="BO87" i="1"/>
  <c r="BK87" i="1"/>
  <c r="BJ87" i="1"/>
  <c r="AM87" i="1"/>
  <c r="AF87" i="1"/>
  <c r="AD87" i="1" s="1"/>
  <c r="AK87" i="1" s="1"/>
  <c r="AL87" i="1" s="1"/>
  <c r="U87" i="1"/>
  <c r="T87" i="1"/>
  <c r="S87" i="1"/>
  <c r="R87" i="1"/>
  <c r="K87" i="1"/>
  <c r="J87" i="1"/>
  <c r="A87" i="1"/>
  <c r="DG86" i="1"/>
  <c r="CZ86" i="1"/>
  <c r="CV86" i="1"/>
  <c r="CU86" i="1"/>
  <c r="CT86" i="1"/>
  <c r="CR86" i="1"/>
  <c r="CQ86" i="1"/>
  <c r="CN86" i="1"/>
  <c r="CM86" i="1"/>
  <c r="CL86" i="1"/>
  <c r="CK86" i="1" s="1"/>
  <c r="CF86" i="1"/>
  <c r="CC86" i="1" s="1"/>
  <c r="CB86" i="1"/>
  <c r="BU86" i="1"/>
  <c r="BR86" i="1"/>
  <c r="BQ86" i="1"/>
  <c r="BP86" i="1" s="1"/>
  <c r="BO86" i="1" s="1"/>
  <c r="BK86" i="1"/>
  <c r="BJ86" i="1"/>
  <c r="AM86" i="1"/>
  <c r="AF86" i="1"/>
  <c r="AD86" i="1" s="1"/>
  <c r="AK86" i="1" s="1"/>
  <c r="AL86" i="1" s="1"/>
  <c r="U86" i="1"/>
  <c r="T86" i="1"/>
  <c r="S86" i="1"/>
  <c r="R86" i="1"/>
  <c r="K86" i="1"/>
  <c r="J86" i="1"/>
  <c r="A86" i="1"/>
  <c r="DG85" i="1"/>
  <c r="DA85" i="1"/>
  <c r="CZ85" i="1"/>
  <c r="CV85" i="1"/>
  <c r="CT85" i="1"/>
  <c r="CU85" i="1" s="1"/>
  <c r="DB85" i="1" s="1"/>
  <c r="CQ85" i="1"/>
  <c r="CN85" i="1" s="1"/>
  <c r="CM85" i="1"/>
  <c r="CR85" i="1" s="1"/>
  <c r="CF85" i="1"/>
  <c r="CC85" i="1"/>
  <c r="CB85" i="1"/>
  <c r="CG85" i="1" s="1"/>
  <c r="CA85" i="1"/>
  <c r="BZ85" i="1"/>
  <c r="BV85" i="1"/>
  <c r="BU85" i="1"/>
  <c r="BR85" i="1" s="1"/>
  <c r="BQ85" i="1"/>
  <c r="BP85" i="1"/>
  <c r="BO85" i="1"/>
  <c r="BK85" i="1"/>
  <c r="BJ85" i="1"/>
  <c r="AM85" i="1"/>
  <c r="AF85" i="1"/>
  <c r="AD85" i="1"/>
  <c r="AK85" i="1" s="1"/>
  <c r="AL85" i="1" s="1"/>
  <c r="U85" i="1"/>
  <c r="T85" i="1"/>
  <c r="S85" i="1"/>
  <c r="R85" i="1"/>
  <c r="K85" i="1"/>
  <c r="J85" i="1"/>
  <c r="A85" i="1"/>
  <c r="DG84" i="1"/>
  <c r="CZ84" i="1"/>
  <c r="CV84" i="1"/>
  <c r="CU84" i="1"/>
  <c r="CT84" i="1"/>
  <c r="CQ84" i="1"/>
  <c r="CF84" i="1"/>
  <c r="BU84" i="1"/>
  <c r="BK84" i="1"/>
  <c r="BJ84" i="1"/>
  <c r="AM84" i="1"/>
  <c r="AF84" i="1"/>
  <c r="AD84" i="1" s="1"/>
  <c r="AK84" i="1" s="1"/>
  <c r="AL84" i="1" s="1"/>
  <c r="U84" i="1"/>
  <c r="T84" i="1"/>
  <c r="S84" i="1"/>
  <c r="R84" i="1"/>
  <c r="K84" i="1"/>
  <c r="J84" i="1"/>
  <c r="A84" i="1"/>
  <c r="DG83" i="1"/>
  <c r="DB83" i="1"/>
  <c r="DA83" i="1"/>
  <c r="CZ83" i="1"/>
  <c r="CU83" i="1"/>
  <c r="CT83" i="1"/>
  <c r="CV83" i="1" s="1"/>
  <c r="CR83" i="1"/>
  <c r="CQ83" i="1"/>
  <c r="CN83" i="1"/>
  <c r="CM83" i="1"/>
  <c r="CL83" i="1"/>
  <c r="CK83" i="1"/>
  <c r="CF83" i="1"/>
  <c r="BU83" i="1"/>
  <c r="BK83" i="1"/>
  <c r="BJ83" i="1"/>
  <c r="AM83" i="1"/>
  <c r="AF83" i="1"/>
  <c r="AD83" i="1" s="1"/>
  <c r="AK83" i="1" s="1"/>
  <c r="AL83" i="1" s="1"/>
  <c r="U83" i="1"/>
  <c r="T83" i="1"/>
  <c r="S83" i="1"/>
  <c r="R83" i="1"/>
  <c r="K83" i="1"/>
  <c r="J83" i="1"/>
  <c r="A83" i="1"/>
  <c r="DG82" i="1"/>
  <c r="DB82" i="1"/>
  <c r="DA82" i="1"/>
  <c r="CZ82" i="1"/>
  <c r="CV82" i="1"/>
  <c r="CU82" i="1"/>
  <c r="CT82" i="1"/>
  <c r="CR82" i="1"/>
  <c r="CQ82" i="1"/>
  <c r="CN82" i="1"/>
  <c r="CL82" i="1" s="1"/>
  <c r="CK82" i="1" s="1"/>
  <c r="CM82" i="1"/>
  <c r="CF82" i="1"/>
  <c r="CB82" i="1" s="1"/>
  <c r="CC82" i="1"/>
  <c r="BU82" i="1"/>
  <c r="BR82" i="1" s="1"/>
  <c r="BQ82" i="1"/>
  <c r="BV82" i="1" s="1"/>
  <c r="BK82" i="1"/>
  <c r="BJ82" i="1"/>
  <c r="AM82" i="1"/>
  <c r="AF82" i="1"/>
  <c r="AD82" i="1"/>
  <c r="AK82" i="1" s="1"/>
  <c r="AL82" i="1" s="1"/>
  <c r="U82" i="1"/>
  <c r="T82" i="1"/>
  <c r="S82" i="1"/>
  <c r="R82" i="1"/>
  <c r="K82" i="1"/>
  <c r="J82" i="1"/>
  <c r="A82" i="1"/>
  <c r="DG81" i="1"/>
  <c r="CZ81" i="1"/>
  <c r="CV81" i="1"/>
  <c r="CT81" i="1"/>
  <c r="CQ81" i="1"/>
  <c r="CN81" i="1" s="1"/>
  <c r="CM81" i="1"/>
  <c r="CR81" i="1" s="1"/>
  <c r="CL81" i="1"/>
  <c r="CK81" i="1"/>
  <c r="CG81" i="1"/>
  <c r="CF81" i="1"/>
  <c r="CC81" i="1"/>
  <c r="CB81" i="1"/>
  <c r="CA81" i="1" s="1"/>
  <c r="BZ81" i="1" s="1"/>
  <c r="BV81" i="1"/>
  <c r="BU81" i="1"/>
  <c r="BR81" i="1" s="1"/>
  <c r="BQ81" i="1"/>
  <c r="BP81" i="1"/>
  <c r="BO81" i="1"/>
  <c r="BK81" i="1"/>
  <c r="BJ81" i="1"/>
  <c r="AM81" i="1"/>
  <c r="AF81" i="1"/>
  <c r="AD81" i="1" s="1"/>
  <c r="AK81" i="1" s="1"/>
  <c r="AL81" i="1" s="1"/>
  <c r="U81" i="1"/>
  <c r="T81" i="1"/>
  <c r="S81" i="1"/>
  <c r="R81" i="1"/>
  <c r="K81" i="1"/>
  <c r="J81" i="1"/>
  <c r="A81" i="1"/>
  <c r="DG80" i="1"/>
  <c r="CZ80" i="1"/>
  <c r="CV80" i="1"/>
  <c r="CU80" i="1"/>
  <c r="DA80" i="1" s="1"/>
  <c r="CT80" i="1"/>
  <c r="CQ80" i="1"/>
  <c r="CN80" i="1"/>
  <c r="CM80" i="1"/>
  <c r="CR80" i="1" s="1"/>
  <c r="CL80" i="1"/>
  <c r="CK80" i="1" s="1"/>
  <c r="CG80" i="1"/>
  <c r="CF80" i="1"/>
  <c r="CB80" i="1" s="1"/>
  <c r="CC80" i="1"/>
  <c r="CA80" i="1"/>
  <c r="BZ80" i="1" s="1"/>
  <c r="BU80" i="1"/>
  <c r="BK80" i="1"/>
  <c r="BJ80" i="1"/>
  <c r="AM80" i="1"/>
  <c r="AF80" i="1"/>
  <c r="AD80" i="1" s="1"/>
  <c r="AK80" i="1" s="1"/>
  <c r="AL80" i="1" s="1"/>
  <c r="U80" i="1"/>
  <c r="T80" i="1"/>
  <c r="S80" i="1"/>
  <c r="R80" i="1"/>
  <c r="K80" i="1"/>
  <c r="J80" i="1"/>
  <c r="A80" i="1"/>
  <c r="DG79" i="1"/>
  <c r="CZ79" i="1"/>
  <c r="CT79" i="1"/>
  <c r="CV79" i="1" s="1"/>
  <c r="CQ79" i="1"/>
  <c r="CN79" i="1"/>
  <c r="CM79" i="1"/>
  <c r="CL79" i="1" s="1"/>
  <c r="CK79" i="1" s="1"/>
  <c r="CG79" i="1"/>
  <c r="CF79" i="1"/>
  <c r="CC79" i="1" s="1"/>
  <c r="CB79" i="1"/>
  <c r="CA79" i="1" s="1"/>
  <c r="BZ79" i="1" s="1"/>
  <c r="BU79" i="1"/>
  <c r="BR79" i="1"/>
  <c r="BQ79" i="1"/>
  <c r="BJ79" i="1"/>
  <c r="AM79" i="1"/>
  <c r="AF79" i="1"/>
  <c r="AD79" i="1" s="1"/>
  <c r="AK79" i="1" s="1"/>
  <c r="AL79" i="1" s="1"/>
  <c r="U79" i="1"/>
  <c r="T79" i="1"/>
  <c r="S79" i="1"/>
  <c r="R79" i="1"/>
  <c r="K79" i="1"/>
  <c r="J79" i="1"/>
  <c r="A79" i="1"/>
  <c r="DG78" i="1"/>
  <c r="CZ78" i="1"/>
  <c r="CT78" i="1"/>
  <c r="CQ78" i="1"/>
  <c r="CF78" i="1"/>
  <c r="CB78" i="1" s="1"/>
  <c r="CG78" i="1" s="1"/>
  <c r="CC78" i="1"/>
  <c r="CA78" i="1"/>
  <c r="BZ78" i="1" s="1"/>
  <c r="BU78" i="1"/>
  <c r="BR78" i="1"/>
  <c r="BQ78" i="1"/>
  <c r="BV78" i="1" s="1"/>
  <c r="BP78" i="1"/>
  <c r="BO78" i="1"/>
  <c r="BK78" i="1"/>
  <c r="BJ78" i="1"/>
  <c r="AM78" i="1"/>
  <c r="AF78" i="1"/>
  <c r="AD78" i="1"/>
  <c r="AK78" i="1" s="1"/>
  <c r="AL78" i="1" s="1"/>
  <c r="U78" i="1"/>
  <c r="T78" i="1"/>
  <c r="S78" i="1"/>
  <c r="R78" i="1"/>
  <c r="K78" i="1"/>
  <c r="J78" i="1"/>
  <c r="A78" i="1"/>
  <c r="DG77" i="1"/>
  <c r="CZ77" i="1"/>
  <c r="CV77" i="1"/>
  <c r="CU77" i="1"/>
  <c r="DB77" i="1" s="1"/>
  <c r="CT77" i="1"/>
  <c r="CQ77" i="1"/>
  <c r="CG77" i="1"/>
  <c r="CF77" i="1"/>
  <c r="CC77" i="1"/>
  <c r="CA77" i="1" s="1"/>
  <c r="BZ77" i="1" s="1"/>
  <c r="CB77" i="1"/>
  <c r="BU77" i="1"/>
  <c r="BQ77" i="1" s="1"/>
  <c r="BV77" i="1" s="1"/>
  <c r="BR77" i="1"/>
  <c r="BP77" i="1"/>
  <c r="BO77" i="1" s="1"/>
  <c r="BK77" i="1"/>
  <c r="BJ77" i="1"/>
  <c r="AM77" i="1"/>
  <c r="AF77" i="1"/>
  <c r="AD77" i="1" s="1"/>
  <c r="AK77" i="1" s="1"/>
  <c r="AL77" i="1" s="1"/>
  <c r="U77" i="1"/>
  <c r="T77" i="1"/>
  <c r="S77" i="1"/>
  <c r="R77" i="1"/>
  <c r="K77" i="1"/>
  <c r="J77" i="1"/>
  <c r="A77" i="1"/>
  <c r="DG76" i="1"/>
  <c r="CZ76" i="1"/>
  <c r="CV76" i="1"/>
  <c r="CU76" i="1" s="1"/>
  <c r="CT76" i="1"/>
  <c r="CQ76" i="1"/>
  <c r="CN76" i="1"/>
  <c r="CM76" i="1"/>
  <c r="CR76" i="1" s="1"/>
  <c r="CL76" i="1"/>
  <c r="CK76" i="1" s="1"/>
  <c r="CF76" i="1"/>
  <c r="BU76" i="1"/>
  <c r="BR76" i="1"/>
  <c r="BQ76" i="1"/>
  <c r="BK76" i="1"/>
  <c r="BJ76" i="1"/>
  <c r="AM76" i="1"/>
  <c r="AF76" i="1"/>
  <c r="AD76" i="1" s="1"/>
  <c r="AK76" i="1" s="1"/>
  <c r="AL76" i="1" s="1"/>
  <c r="U76" i="1"/>
  <c r="T76" i="1"/>
  <c r="S76" i="1"/>
  <c r="R76" i="1"/>
  <c r="K76" i="1"/>
  <c r="J76" i="1"/>
  <c r="A76" i="1"/>
  <c r="DG75" i="1"/>
  <c r="CZ75" i="1"/>
  <c r="CU75" i="1"/>
  <c r="DA75" i="1" s="1"/>
  <c r="CT75" i="1"/>
  <c r="CV75" i="1" s="1"/>
  <c r="CQ75" i="1"/>
  <c r="CM75" i="1" s="1"/>
  <c r="CR75" i="1" s="1"/>
  <c r="CN75" i="1"/>
  <c r="CF75" i="1"/>
  <c r="CC75" i="1" s="1"/>
  <c r="CB75" i="1"/>
  <c r="CG75" i="1" s="1"/>
  <c r="CA75" i="1"/>
  <c r="BZ75" i="1"/>
  <c r="BU75" i="1"/>
  <c r="BR75" i="1"/>
  <c r="BQ75" i="1"/>
  <c r="BV75" i="1" s="1"/>
  <c r="BP75" i="1"/>
  <c r="BO75" i="1"/>
  <c r="BK75" i="1"/>
  <c r="BJ75" i="1"/>
  <c r="AM75" i="1"/>
  <c r="AF75" i="1"/>
  <c r="AD75" i="1" s="1"/>
  <c r="AK75" i="1" s="1"/>
  <c r="AL75" i="1" s="1"/>
  <c r="U75" i="1"/>
  <c r="T75" i="1"/>
  <c r="S75" i="1"/>
  <c r="R75" i="1"/>
  <c r="K75" i="1"/>
  <c r="J75" i="1"/>
  <c r="A75" i="1"/>
  <c r="DG74" i="1"/>
  <c r="DB74" i="1"/>
  <c r="DA74" i="1"/>
  <c r="CZ74" i="1"/>
  <c r="CV74" i="1"/>
  <c r="CT74" i="1"/>
  <c r="CU74" i="1" s="1"/>
  <c r="CQ74" i="1"/>
  <c r="CM74" i="1" s="1"/>
  <c r="CR74" i="1" s="1"/>
  <c r="CN74" i="1"/>
  <c r="CL74" i="1"/>
  <c r="CK74" i="1" s="1"/>
  <c r="CF74" i="1"/>
  <c r="CC74" i="1"/>
  <c r="CB74" i="1"/>
  <c r="CG74" i="1" s="1"/>
  <c r="CA74" i="1"/>
  <c r="BZ74" i="1" s="1"/>
  <c r="BU74" i="1"/>
  <c r="BQ74" i="1" s="1"/>
  <c r="BV74" i="1" s="1"/>
  <c r="BR74" i="1"/>
  <c r="BP74" i="1"/>
  <c r="BO74" i="1" s="1"/>
  <c r="BK74" i="1"/>
  <c r="BJ74" i="1"/>
  <c r="AM74" i="1"/>
  <c r="AF74" i="1"/>
  <c r="AD74" i="1"/>
  <c r="AK74" i="1" s="1"/>
  <c r="AL74" i="1" s="1"/>
  <c r="U74" i="1"/>
  <c r="T74" i="1"/>
  <c r="S74" i="1"/>
  <c r="R74" i="1"/>
  <c r="K74" i="1"/>
  <c r="J74" i="1"/>
  <c r="A74" i="1"/>
  <c r="DG73" i="1"/>
  <c r="CZ73" i="1"/>
  <c r="CV73" i="1"/>
  <c r="CU73" i="1"/>
  <c r="DB73" i="1" s="1"/>
  <c r="CT73" i="1"/>
  <c r="CQ73" i="1"/>
  <c r="CN73" i="1" s="1"/>
  <c r="CM73" i="1"/>
  <c r="CR73" i="1" s="1"/>
  <c r="CF73" i="1"/>
  <c r="CC73" i="1"/>
  <c r="CB73" i="1"/>
  <c r="CG73" i="1" s="1"/>
  <c r="CA73" i="1"/>
  <c r="BZ73" i="1" s="1"/>
  <c r="BU73" i="1"/>
  <c r="BK73" i="1"/>
  <c r="BJ73" i="1"/>
  <c r="AM73" i="1"/>
  <c r="AF73" i="1"/>
  <c r="AD73" i="1" s="1"/>
  <c r="AK73" i="1" s="1"/>
  <c r="AL73" i="1" s="1"/>
  <c r="U73" i="1"/>
  <c r="T73" i="1"/>
  <c r="S73" i="1"/>
  <c r="R73" i="1"/>
  <c r="K73" i="1"/>
  <c r="J73" i="1"/>
  <c r="A73" i="1"/>
  <c r="DG72" i="1"/>
  <c r="CZ72" i="1"/>
  <c r="CU72" i="1"/>
  <c r="DA72" i="1" s="1"/>
  <c r="CT72" i="1"/>
  <c r="CV72" i="1" s="1"/>
  <c r="CQ72" i="1"/>
  <c r="CN72" i="1" s="1"/>
  <c r="CM72" i="1"/>
  <c r="CR72" i="1" s="1"/>
  <c r="CL72" i="1"/>
  <c r="CK72" i="1"/>
  <c r="CF72" i="1"/>
  <c r="BV72" i="1"/>
  <c r="BU72" i="1"/>
  <c r="BR72" i="1"/>
  <c r="BQ72" i="1"/>
  <c r="BP72" i="1" s="1"/>
  <c r="BO72" i="1" s="1"/>
  <c r="BK72" i="1"/>
  <c r="BJ72" i="1"/>
  <c r="AM72" i="1"/>
  <c r="AF72" i="1"/>
  <c r="AD72" i="1"/>
  <c r="AK72" i="1" s="1"/>
  <c r="AL72" i="1" s="1"/>
  <c r="U72" i="1"/>
  <c r="T72" i="1"/>
  <c r="S72" i="1"/>
  <c r="R72" i="1"/>
  <c r="K72" i="1"/>
  <c r="J72" i="1"/>
  <c r="A72" i="1"/>
  <c r="DG71" i="1"/>
  <c r="CZ71" i="1"/>
  <c r="CT71" i="1"/>
  <c r="CQ71" i="1"/>
  <c r="CM71" i="1" s="1"/>
  <c r="CR71" i="1" s="1"/>
  <c r="CN71" i="1"/>
  <c r="CL71" i="1"/>
  <c r="CK71" i="1"/>
  <c r="CF71" i="1"/>
  <c r="BU71" i="1"/>
  <c r="BR71" i="1"/>
  <c r="BQ71" i="1"/>
  <c r="BV71" i="1" s="1"/>
  <c r="BP71" i="1"/>
  <c r="BO71" i="1" s="1"/>
  <c r="BK71" i="1"/>
  <c r="BJ71" i="1"/>
  <c r="AM71" i="1"/>
  <c r="AF71" i="1"/>
  <c r="AD71" i="1"/>
  <c r="AK71" i="1" s="1"/>
  <c r="AL71" i="1" s="1"/>
  <c r="U71" i="1"/>
  <c r="T71" i="1"/>
  <c r="S71" i="1"/>
  <c r="R71" i="1"/>
  <c r="K71" i="1"/>
  <c r="J71" i="1"/>
  <c r="A71" i="1"/>
  <c r="DG70" i="1"/>
  <c r="CZ70" i="1"/>
  <c r="CT70" i="1"/>
  <c r="CV70" i="1" s="1"/>
  <c r="CQ70" i="1"/>
  <c r="CF70" i="1"/>
  <c r="CC70" i="1"/>
  <c r="CB70" i="1"/>
  <c r="CA70" i="1" s="1"/>
  <c r="BZ70" i="1" s="1"/>
  <c r="BV70" i="1"/>
  <c r="BU70" i="1"/>
  <c r="BQ70" i="1" s="1"/>
  <c r="BK70" i="1"/>
  <c r="BJ70" i="1"/>
  <c r="AM70" i="1"/>
  <c r="AF70" i="1"/>
  <c r="AD70" i="1" s="1"/>
  <c r="AK70" i="1" s="1"/>
  <c r="AL70" i="1" s="1"/>
  <c r="U70" i="1"/>
  <c r="T70" i="1"/>
  <c r="S70" i="1"/>
  <c r="R70" i="1"/>
  <c r="K70" i="1"/>
  <c r="J70" i="1"/>
  <c r="A70" i="1"/>
  <c r="DG69" i="1"/>
  <c r="CZ69" i="1"/>
  <c r="CT69" i="1"/>
  <c r="CQ69" i="1"/>
  <c r="CN69" i="1" s="1"/>
  <c r="CM69" i="1"/>
  <c r="CR69" i="1" s="1"/>
  <c r="CL69" i="1"/>
  <c r="CK69" i="1" s="1"/>
  <c r="CF69" i="1"/>
  <c r="BU69" i="1"/>
  <c r="BR69" i="1" s="1"/>
  <c r="BQ69" i="1"/>
  <c r="BV69" i="1" s="1"/>
  <c r="BP69" i="1"/>
  <c r="BO69" i="1" s="1"/>
  <c r="BK69" i="1"/>
  <c r="BJ69" i="1"/>
  <c r="AM69" i="1"/>
  <c r="AF69" i="1"/>
  <c r="AD69" i="1" s="1"/>
  <c r="AK69" i="1" s="1"/>
  <c r="AL69" i="1" s="1"/>
  <c r="U69" i="1"/>
  <c r="T69" i="1"/>
  <c r="S69" i="1"/>
  <c r="R69" i="1"/>
  <c r="K69" i="1"/>
  <c r="J69" i="1"/>
  <c r="A69" i="1"/>
  <c r="DG68" i="1"/>
  <c r="DB68" i="1"/>
  <c r="CZ68" i="1"/>
  <c r="CT68" i="1"/>
  <c r="CV68" i="1" s="1"/>
  <c r="CU68" i="1" s="1"/>
  <c r="DA68" i="1" s="1"/>
  <c r="CQ68" i="1"/>
  <c r="CN68" i="1"/>
  <c r="CM68" i="1"/>
  <c r="CR68" i="1" s="1"/>
  <c r="CF68" i="1"/>
  <c r="CB68" i="1" s="1"/>
  <c r="CG68" i="1" s="1"/>
  <c r="CC68" i="1"/>
  <c r="CA68" i="1"/>
  <c r="BZ68" i="1" s="1"/>
  <c r="BU68" i="1"/>
  <c r="BK68" i="1"/>
  <c r="BJ68" i="1"/>
  <c r="AM68" i="1"/>
  <c r="AF68" i="1"/>
  <c r="AD68" i="1" s="1"/>
  <c r="AK68" i="1" s="1"/>
  <c r="AL68" i="1" s="1"/>
  <c r="U68" i="1"/>
  <c r="T68" i="1"/>
  <c r="S68" i="1"/>
  <c r="R68" i="1"/>
  <c r="K68" i="1"/>
  <c r="J68" i="1"/>
  <c r="A68" i="1"/>
  <c r="DG67" i="1"/>
  <c r="CZ67" i="1"/>
  <c r="CT67" i="1"/>
  <c r="CQ67" i="1"/>
  <c r="CN67" i="1"/>
  <c r="CM67" i="1"/>
  <c r="CL67" i="1" s="1"/>
  <c r="CK67" i="1" s="1"/>
  <c r="CF67" i="1"/>
  <c r="BV67" i="1"/>
  <c r="BU67" i="1"/>
  <c r="BQ67" i="1" s="1"/>
  <c r="BR67" i="1"/>
  <c r="BK67" i="1"/>
  <c r="BJ67" i="1"/>
  <c r="AM67" i="1"/>
  <c r="AF67" i="1"/>
  <c r="AD67" i="1" s="1"/>
  <c r="AK67" i="1" s="1"/>
  <c r="AL67" i="1" s="1"/>
  <c r="U67" i="1"/>
  <c r="T67" i="1"/>
  <c r="S67" i="1"/>
  <c r="R67" i="1"/>
  <c r="K67" i="1"/>
  <c r="J67" i="1"/>
  <c r="A67" i="1"/>
  <c r="DG66" i="1"/>
  <c r="CZ66" i="1"/>
  <c r="CT66" i="1"/>
  <c r="CV66" i="1" s="1"/>
  <c r="CQ66" i="1"/>
  <c r="CM66" i="1" s="1"/>
  <c r="CR66" i="1" s="1"/>
  <c r="CN66" i="1"/>
  <c r="CL66" i="1" s="1"/>
  <c r="CK66" i="1" s="1"/>
  <c r="CF66" i="1"/>
  <c r="CC66" i="1" s="1"/>
  <c r="CB66" i="1"/>
  <c r="CG66" i="1" s="1"/>
  <c r="CA66" i="1"/>
  <c r="BZ66" i="1" s="1"/>
  <c r="BU66" i="1"/>
  <c r="BK66" i="1"/>
  <c r="BJ66" i="1"/>
  <c r="AM66" i="1"/>
  <c r="AL66" i="1"/>
  <c r="AF66" i="1"/>
  <c r="AD66" i="1"/>
  <c r="AK66" i="1" s="1"/>
  <c r="U66" i="1"/>
  <c r="T66" i="1"/>
  <c r="S66" i="1"/>
  <c r="R66" i="1"/>
  <c r="K66" i="1"/>
  <c r="J66" i="1"/>
  <c r="A66" i="1"/>
  <c r="DG65" i="1"/>
  <c r="DB65" i="1"/>
  <c r="CZ65" i="1"/>
  <c r="CU65" i="1"/>
  <c r="DA65" i="1" s="1"/>
  <c r="CT65" i="1"/>
  <c r="CV65" i="1" s="1"/>
  <c r="CQ65" i="1"/>
  <c r="CG65" i="1"/>
  <c r="CF65" i="1"/>
  <c r="CB65" i="1" s="1"/>
  <c r="CC65" i="1"/>
  <c r="CA65" i="1" s="1"/>
  <c r="BZ65" i="1" s="1"/>
  <c r="BU65" i="1"/>
  <c r="BR65" i="1" s="1"/>
  <c r="BQ65" i="1"/>
  <c r="BK65" i="1"/>
  <c r="BJ65" i="1"/>
  <c r="AF65" i="1"/>
  <c r="AD65" i="1" s="1"/>
  <c r="AK65" i="1" s="1"/>
  <c r="U65" i="1"/>
  <c r="T65" i="1"/>
  <c r="S65" i="1"/>
  <c r="R65" i="1"/>
  <c r="K65" i="1"/>
  <c r="J65" i="1"/>
  <c r="A65" i="1"/>
  <c r="DG64" i="1"/>
  <c r="DB64" i="1"/>
  <c r="DA64" i="1"/>
  <c r="CZ64" i="1"/>
  <c r="CT64" i="1"/>
  <c r="CV64" i="1" s="1"/>
  <c r="CU64" i="1" s="1"/>
  <c r="CQ64" i="1"/>
  <c r="CN64" i="1"/>
  <c r="CM64" i="1"/>
  <c r="CG64" i="1"/>
  <c r="CF64" i="1"/>
  <c r="CB64" i="1" s="1"/>
  <c r="CC64" i="1"/>
  <c r="CA64" i="1"/>
  <c r="BZ64" i="1" s="1"/>
  <c r="BU64" i="1"/>
  <c r="BQ64" i="1" s="1"/>
  <c r="BR64" i="1"/>
  <c r="BK64" i="1"/>
  <c r="BJ64" i="1"/>
  <c r="AF64" i="1"/>
  <c r="AD64" i="1"/>
  <c r="AK64" i="1" s="1"/>
  <c r="AL64" i="1" s="1"/>
  <c r="U64" i="1"/>
  <c r="T64" i="1"/>
  <c r="S64" i="1"/>
  <c r="R64" i="1"/>
  <c r="K64" i="1"/>
  <c r="J64" i="1"/>
  <c r="A64" i="1"/>
  <c r="DG63" i="1"/>
  <c r="DA63" i="1"/>
  <c r="CZ63" i="1"/>
  <c r="CV63" i="1"/>
  <c r="CU63" i="1"/>
  <c r="DB63" i="1" s="1"/>
  <c r="CT63" i="1"/>
  <c r="CQ63" i="1"/>
  <c r="CM63" i="1" s="1"/>
  <c r="CN63" i="1"/>
  <c r="CF63" i="1"/>
  <c r="CC63" i="1" s="1"/>
  <c r="CB63" i="1"/>
  <c r="CG63" i="1" s="1"/>
  <c r="CA63" i="1"/>
  <c r="BZ63" i="1"/>
  <c r="BU63" i="1"/>
  <c r="BR63" i="1"/>
  <c r="BQ63" i="1"/>
  <c r="BV63" i="1" s="1"/>
  <c r="BK63" i="1"/>
  <c r="BJ63" i="1"/>
  <c r="AF63" i="1"/>
  <c r="AD63" i="1"/>
  <c r="AK63" i="1" s="1"/>
  <c r="U63" i="1"/>
  <c r="T63" i="1"/>
  <c r="S63" i="1"/>
  <c r="R63" i="1"/>
  <c r="K63" i="1"/>
  <c r="J63" i="1"/>
  <c r="A63" i="1"/>
  <c r="DG62" i="1"/>
  <c r="CZ62" i="1"/>
  <c r="CV62" i="1"/>
  <c r="CU62" i="1"/>
  <c r="CT62" i="1"/>
  <c r="CQ62" i="1"/>
  <c r="CM62" i="1" s="1"/>
  <c r="CR62" i="1" s="1"/>
  <c r="CG62" i="1"/>
  <c r="CF62" i="1"/>
  <c r="CC62" i="1"/>
  <c r="CB62" i="1"/>
  <c r="CA62" i="1" s="1"/>
  <c r="BZ62" i="1" s="1"/>
  <c r="BV62" i="1"/>
  <c r="BU62" i="1"/>
  <c r="BQ62" i="1" s="1"/>
  <c r="BR62" i="1"/>
  <c r="BP62" i="1"/>
  <c r="BO62" i="1" s="1"/>
  <c r="BK62" i="1"/>
  <c r="BJ62" i="1"/>
  <c r="AM62" i="1"/>
  <c r="AF62" i="1"/>
  <c r="AD62" i="1" s="1"/>
  <c r="AK62" i="1" s="1"/>
  <c r="AL62" i="1" s="1"/>
  <c r="U62" i="1"/>
  <c r="T62" i="1"/>
  <c r="S62" i="1"/>
  <c r="R62" i="1"/>
  <c r="K62" i="1"/>
  <c r="J62" i="1"/>
  <c r="A62" i="1"/>
  <c r="DG61" i="1"/>
  <c r="CZ61" i="1"/>
  <c r="CV61" i="1"/>
  <c r="CU61" i="1" s="1"/>
  <c r="CT61" i="1"/>
  <c r="CQ61" i="1"/>
  <c r="CN61" i="1" s="1"/>
  <c r="CM61" i="1"/>
  <c r="CR61" i="1" s="1"/>
  <c r="CL61" i="1"/>
  <c r="CK61" i="1"/>
  <c r="CF61" i="1"/>
  <c r="BU61" i="1"/>
  <c r="BR61" i="1" s="1"/>
  <c r="BK61" i="1"/>
  <c r="BJ61" i="1"/>
  <c r="AM61" i="1"/>
  <c r="AF61" i="1"/>
  <c r="AD61" i="1" s="1"/>
  <c r="AK61" i="1" s="1"/>
  <c r="AL61" i="1" s="1"/>
  <c r="U61" i="1"/>
  <c r="T61" i="1"/>
  <c r="S61" i="1"/>
  <c r="R61" i="1"/>
  <c r="K61" i="1"/>
  <c r="J61" i="1"/>
  <c r="A61" i="1"/>
  <c r="DG60" i="1"/>
  <c r="CZ60" i="1"/>
  <c r="CT60" i="1"/>
  <c r="CV60" i="1" s="1"/>
  <c r="CU60" i="1" s="1"/>
  <c r="CR60" i="1"/>
  <c r="CQ60" i="1"/>
  <c r="CM60" i="1" s="1"/>
  <c r="CN60" i="1"/>
  <c r="CL60" i="1" s="1"/>
  <c r="CK60" i="1" s="1"/>
  <c r="CF60" i="1"/>
  <c r="BU60" i="1"/>
  <c r="BR60" i="1" s="1"/>
  <c r="BP60" i="1" s="1"/>
  <c r="BO60" i="1" s="1"/>
  <c r="BQ60" i="1"/>
  <c r="BV60" i="1" s="1"/>
  <c r="BK60" i="1"/>
  <c r="BJ60" i="1"/>
  <c r="AM60" i="1"/>
  <c r="AK60" i="1"/>
  <c r="AL60" i="1" s="1"/>
  <c r="AF60" i="1"/>
  <c r="AD60" i="1"/>
  <c r="U60" i="1"/>
  <c r="T60" i="1"/>
  <c r="S60" i="1"/>
  <c r="R60" i="1"/>
  <c r="K60" i="1"/>
  <c r="J60" i="1"/>
  <c r="A60" i="1"/>
  <c r="DG59" i="1"/>
  <c r="CZ59" i="1"/>
  <c r="CV59" i="1"/>
  <c r="CT59" i="1"/>
  <c r="CR59" i="1"/>
  <c r="CQ59" i="1"/>
  <c r="CN59" i="1"/>
  <c r="CM59" i="1"/>
  <c r="CF59" i="1"/>
  <c r="CC59" i="1" s="1"/>
  <c r="BU59" i="1"/>
  <c r="BR59" i="1"/>
  <c r="BQ59" i="1"/>
  <c r="BV59" i="1" s="1"/>
  <c r="BK59" i="1"/>
  <c r="BJ59" i="1"/>
  <c r="AM59" i="1"/>
  <c r="AF59" i="1"/>
  <c r="AD59" i="1" s="1"/>
  <c r="AK59" i="1" s="1"/>
  <c r="AL59" i="1" s="1"/>
  <c r="U59" i="1"/>
  <c r="T59" i="1"/>
  <c r="S59" i="1"/>
  <c r="R59" i="1"/>
  <c r="K59" i="1"/>
  <c r="J59" i="1"/>
  <c r="A59" i="1"/>
  <c r="DG58" i="1"/>
  <c r="CZ58" i="1"/>
  <c r="CT58" i="1"/>
  <c r="CR58" i="1"/>
  <c r="CQ58" i="1"/>
  <c r="CM58" i="1" s="1"/>
  <c r="CN58" i="1"/>
  <c r="CF58" i="1"/>
  <c r="BU58" i="1"/>
  <c r="BQ58" i="1" s="1"/>
  <c r="BV58" i="1" s="1"/>
  <c r="BR58" i="1"/>
  <c r="BP58" i="1" s="1"/>
  <c r="BO58" i="1" s="1"/>
  <c r="BK58" i="1"/>
  <c r="BJ58" i="1"/>
  <c r="AM58" i="1"/>
  <c r="AL58" i="1"/>
  <c r="AF58" i="1"/>
  <c r="AD58" i="1" s="1"/>
  <c r="AK58" i="1" s="1"/>
  <c r="U58" i="1"/>
  <c r="T58" i="1"/>
  <c r="S58" i="1"/>
  <c r="R58" i="1"/>
  <c r="K58" i="1"/>
  <c r="J58" i="1"/>
  <c r="A58" i="1"/>
  <c r="DG57" i="1"/>
  <c r="DB57" i="1"/>
  <c r="DA57" i="1"/>
  <c r="CZ57" i="1"/>
  <c r="CV57" i="1"/>
  <c r="CT57" i="1"/>
  <c r="CU57" i="1" s="1"/>
  <c r="CQ57" i="1"/>
  <c r="CN57" i="1" s="1"/>
  <c r="CM57" i="1"/>
  <c r="CR57" i="1" s="1"/>
  <c r="CL57" i="1"/>
  <c r="CK57" i="1" s="1"/>
  <c r="CF57" i="1"/>
  <c r="CC57" i="1"/>
  <c r="CB57" i="1"/>
  <c r="CG57" i="1" s="1"/>
  <c r="CA57" i="1"/>
  <c r="BZ57" i="1"/>
  <c r="BU57" i="1"/>
  <c r="BR57" i="1" s="1"/>
  <c r="BQ57" i="1"/>
  <c r="BV57" i="1" s="1"/>
  <c r="BP57" i="1"/>
  <c r="BO57" i="1" s="1"/>
  <c r="BK57" i="1"/>
  <c r="BJ57" i="1"/>
  <c r="AM57" i="1"/>
  <c r="AL57" i="1"/>
  <c r="AF57" i="1"/>
  <c r="AD57" i="1" s="1"/>
  <c r="AK57" i="1" s="1"/>
  <c r="U57" i="1"/>
  <c r="T57" i="1"/>
  <c r="S57" i="1"/>
  <c r="R57" i="1"/>
  <c r="K57" i="1"/>
  <c r="J57" i="1"/>
  <c r="A57" i="1"/>
  <c r="DG56" i="1"/>
  <c r="CZ56" i="1"/>
  <c r="CT56" i="1"/>
  <c r="CV56" i="1" s="1"/>
  <c r="CU56" i="1" s="1"/>
  <c r="CR56" i="1"/>
  <c r="CQ56" i="1"/>
  <c r="CN56" i="1"/>
  <c r="CM56" i="1"/>
  <c r="CL56" i="1"/>
  <c r="CK56" i="1" s="1"/>
  <c r="CG56" i="1"/>
  <c r="CF56" i="1"/>
  <c r="CB56" i="1" s="1"/>
  <c r="CC56" i="1"/>
  <c r="CA56" i="1" s="1"/>
  <c r="BZ56" i="1" s="1"/>
  <c r="BV56" i="1"/>
  <c r="BU56" i="1"/>
  <c r="BQ56" i="1" s="1"/>
  <c r="BK56" i="1"/>
  <c r="BJ56" i="1"/>
  <c r="AL56" i="1"/>
  <c r="AF56" i="1"/>
  <c r="AD56" i="1" s="1"/>
  <c r="AK56" i="1" s="1"/>
  <c r="AM56" i="1" s="1"/>
  <c r="U56" i="1"/>
  <c r="T56" i="1"/>
  <c r="S56" i="1"/>
  <c r="R56" i="1"/>
  <c r="K56" i="1"/>
  <c r="J56" i="1"/>
  <c r="A56" i="1"/>
  <c r="DG55" i="1"/>
  <c r="CZ55" i="1"/>
  <c r="CU55" i="1"/>
  <c r="CT55" i="1"/>
  <c r="CV55" i="1" s="1"/>
  <c r="CQ55" i="1"/>
  <c r="CN55" i="1"/>
  <c r="CM55" i="1"/>
  <c r="CR55" i="1" s="1"/>
  <c r="CL55" i="1"/>
  <c r="CK55" i="1"/>
  <c r="CF55" i="1"/>
  <c r="BU55" i="1"/>
  <c r="BQ55" i="1" s="1"/>
  <c r="BR55" i="1"/>
  <c r="BK55" i="1"/>
  <c r="BJ55" i="1"/>
  <c r="AM55" i="1"/>
  <c r="AL55" i="1"/>
  <c r="AF55" i="1"/>
  <c r="AD55" i="1"/>
  <c r="AK55" i="1" s="1"/>
  <c r="U55" i="1"/>
  <c r="T55" i="1"/>
  <c r="S55" i="1"/>
  <c r="R55" i="1"/>
  <c r="K55" i="1"/>
  <c r="J55" i="1"/>
  <c r="A55" i="1"/>
  <c r="DG54" i="1"/>
  <c r="CZ54" i="1"/>
  <c r="CT54" i="1"/>
  <c r="CV54" i="1" s="1"/>
  <c r="CU54" i="1" s="1"/>
  <c r="DB54" i="1" s="1"/>
  <c r="CQ54" i="1"/>
  <c r="CM54" i="1" s="1"/>
  <c r="CR54" i="1" s="1"/>
  <c r="CN54" i="1"/>
  <c r="CL54" i="1"/>
  <c r="CK54" i="1" s="1"/>
  <c r="CF54" i="1"/>
  <c r="CC54" i="1" s="1"/>
  <c r="BU54" i="1"/>
  <c r="BK54" i="1"/>
  <c r="BJ54" i="1"/>
  <c r="AM54" i="1"/>
  <c r="AL54" i="1"/>
  <c r="AF54" i="1"/>
  <c r="AD54" i="1" s="1"/>
  <c r="AK54" i="1" s="1"/>
  <c r="U54" i="1"/>
  <c r="T54" i="1"/>
  <c r="S54" i="1"/>
  <c r="R54" i="1"/>
  <c r="K54" i="1"/>
  <c r="J54" i="1"/>
  <c r="A54" i="1"/>
  <c r="DG53" i="1"/>
  <c r="CZ53" i="1"/>
  <c r="CT53" i="1"/>
  <c r="CV53" i="1" s="1"/>
  <c r="CQ53" i="1"/>
  <c r="CG53" i="1"/>
  <c r="CF53" i="1"/>
  <c r="CC53" i="1"/>
  <c r="CB53" i="1"/>
  <c r="CA53" i="1"/>
  <c r="BZ53" i="1"/>
  <c r="BU53" i="1"/>
  <c r="BK53" i="1"/>
  <c r="BJ53" i="1"/>
  <c r="AM53" i="1"/>
  <c r="AL53" i="1"/>
  <c r="AF53" i="1"/>
  <c r="AD53" i="1" s="1"/>
  <c r="AK53" i="1" s="1"/>
  <c r="U53" i="1"/>
  <c r="T53" i="1"/>
  <c r="S53" i="1"/>
  <c r="R53" i="1"/>
  <c r="K53" i="1"/>
  <c r="J53" i="1"/>
  <c r="A53" i="1"/>
  <c r="DG52" i="1"/>
  <c r="DB52" i="1"/>
  <c r="DA52" i="1"/>
  <c r="CZ52" i="1"/>
  <c r="CU52" i="1"/>
  <c r="CT52" i="1"/>
  <c r="CV52" i="1" s="1"/>
  <c r="CQ52" i="1"/>
  <c r="CM52" i="1" s="1"/>
  <c r="CN52" i="1"/>
  <c r="CG52" i="1"/>
  <c r="CF52" i="1"/>
  <c r="CB52" i="1" s="1"/>
  <c r="CC52" i="1"/>
  <c r="CA52" i="1"/>
  <c r="BZ52" i="1" s="1"/>
  <c r="BV52" i="1"/>
  <c r="BU52" i="1"/>
  <c r="BR52" i="1"/>
  <c r="BQ52" i="1"/>
  <c r="BP52" i="1"/>
  <c r="BO52" i="1"/>
  <c r="BK52" i="1"/>
  <c r="BJ52" i="1"/>
  <c r="AM52" i="1"/>
  <c r="AL52" i="1"/>
  <c r="AF52" i="1"/>
  <c r="AD52" i="1"/>
  <c r="AK52" i="1" s="1"/>
  <c r="U52" i="1"/>
  <c r="T52" i="1"/>
  <c r="S52" i="1"/>
  <c r="R52" i="1"/>
  <c r="K52" i="1"/>
  <c r="J52" i="1"/>
  <c r="A52" i="1"/>
  <c r="DG51" i="1"/>
  <c r="CZ51" i="1"/>
  <c r="CV51" i="1"/>
  <c r="CU51" i="1"/>
  <c r="DB51" i="1" s="1"/>
  <c r="CT51" i="1"/>
  <c r="CQ51" i="1"/>
  <c r="CN51" i="1"/>
  <c r="CM51" i="1"/>
  <c r="CF51" i="1"/>
  <c r="BV51" i="1"/>
  <c r="BU51" i="1"/>
  <c r="BQ51" i="1" s="1"/>
  <c r="BR51" i="1"/>
  <c r="BK51" i="1"/>
  <c r="BJ51" i="1"/>
  <c r="AM51" i="1"/>
  <c r="AL51" i="1"/>
  <c r="AF51" i="1"/>
  <c r="AD51" i="1"/>
  <c r="AK51" i="1" s="1"/>
  <c r="U51" i="1"/>
  <c r="T51" i="1"/>
  <c r="S51" i="1"/>
  <c r="R51" i="1"/>
  <c r="K51" i="1"/>
  <c r="J51" i="1"/>
  <c r="A51" i="1"/>
  <c r="DG50" i="1"/>
  <c r="CZ50" i="1"/>
  <c r="CT50" i="1"/>
  <c r="CV50" i="1" s="1"/>
  <c r="CQ50" i="1"/>
  <c r="CM50" i="1" s="1"/>
  <c r="CL50" i="1" s="1"/>
  <c r="CK50" i="1" s="1"/>
  <c r="CA50" i="1"/>
  <c r="CB50" i="1" s="1"/>
  <c r="CG50" i="1" s="1"/>
  <c r="BU50" i="1"/>
  <c r="BP50" i="1"/>
  <c r="BQ50" i="1" s="1"/>
  <c r="BV50" i="1" s="1"/>
  <c r="BO50" i="1"/>
  <c r="BK50" i="1"/>
  <c r="BJ50" i="1"/>
  <c r="AM50" i="1"/>
  <c r="AL50" i="1"/>
  <c r="AF50" i="1"/>
  <c r="AD50" i="1"/>
  <c r="AK50" i="1" s="1"/>
  <c r="U50" i="1"/>
  <c r="T50" i="1"/>
  <c r="S50" i="1"/>
  <c r="R50" i="1"/>
  <c r="K50" i="1"/>
  <c r="J50" i="1"/>
  <c r="A50" i="1"/>
  <c r="DG49" i="1"/>
  <c r="CZ49" i="1"/>
  <c r="CV49" i="1"/>
  <c r="CU49" i="1"/>
  <c r="CT49" i="1"/>
  <c r="CR49" i="1"/>
  <c r="CQ49" i="1"/>
  <c r="CM49" i="1" s="1"/>
  <c r="CN49" i="1"/>
  <c r="CL49" i="1"/>
  <c r="CK49" i="1" s="1"/>
  <c r="CG49" i="1"/>
  <c r="CF49" i="1"/>
  <c r="CC49" i="1"/>
  <c r="CB49" i="1"/>
  <c r="CA49" i="1"/>
  <c r="BZ49" i="1"/>
  <c r="BV49" i="1"/>
  <c r="BU49" i="1"/>
  <c r="BQ49" i="1" s="1"/>
  <c r="BR49" i="1"/>
  <c r="BP49" i="1" s="1"/>
  <c r="BO49" i="1" s="1"/>
  <c r="BK49" i="1"/>
  <c r="BJ49" i="1"/>
  <c r="AM49" i="1"/>
  <c r="AL49" i="1"/>
  <c r="AF49" i="1"/>
  <c r="AD49" i="1" s="1"/>
  <c r="AK49" i="1" s="1"/>
  <c r="U49" i="1"/>
  <c r="T49" i="1"/>
  <c r="S49" i="1"/>
  <c r="R49" i="1"/>
  <c r="K49" i="1"/>
  <c r="J49" i="1"/>
  <c r="A49" i="1"/>
  <c r="DG48" i="1"/>
  <c r="CZ48" i="1"/>
  <c r="CV48" i="1"/>
  <c r="CU48" i="1"/>
  <c r="CT48" i="1"/>
  <c r="CQ48" i="1"/>
  <c r="CN48" i="1" s="1"/>
  <c r="CM48" i="1"/>
  <c r="CR48" i="1" s="1"/>
  <c r="CL48" i="1"/>
  <c r="CK48" i="1" s="1"/>
  <c r="CF48" i="1"/>
  <c r="BU48" i="1"/>
  <c r="BK48" i="1"/>
  <c r="BJ48" i="1"/>
  <c r="AM48" i="1"/>
  <c r="AF48" i="1"/>
  <c r="AD48" i="1" s="1"/>
  <c r="AK48" i="1" s="1"/>
  <c r="AL48" i="1" s="1"/>
  <c r="U48" i="1"/>
  <c r="T48" i="1"/>
  <c r="S48" i="1"/>
  <c r="R48" i="1"/>
  <c r="K48" i="1"/>
  <c r="J48" i="1"/>
  <c r="A48" i="1"/>
  <c r="DG47" i="1"/>
  <c r="DB47" i="1"/>
  <c r="DA47" i="1"/>
  <c r="CZ47" i="1"/>
  <c r="CV47" i="1"/>
  <c r="CU47" i="1"/>
  <c r="CT47" i="1"/>
  <c r="CQ47" i="1"/>
  <c r="CF47" i="1"/>
  <c r="BU47" i="1"/>
  <c r="BR47" i="1"/>
  <c r="BQ47" i="1"/>
  <c r="BV47" i="1" s="1"/>
  <c r="BP47" i="1"/>
  <c r="BO47" i="1"/>
  <c r="BK47" i="1"/>
  <c r="BJ47" i="1"/>
  <c r="AM47" i="1"/>
  <c r="AK47" i="1"/>
  <c r="AL47" i="1" s="1"/>
  <c r="AF47" i="1"/>
  <c r="AD47" i="1"/>
  <c r="U47" i="1"/>
  <c r="T47" i="1"/>
  <c r="S47" i="1"/>
  <c r="R47" i="1"/>
  <c r="K47" i="1"/>
  <c r="J47" i="1"/>
  <c r="A47" i="1"/>
  <c r="DG46" i="1"/>
  <c r="DA46" i="1"/>
  <c r="CZ46" i="1"/>
  <c r="CV46" i="1"/>
  <c r="CU46" i="1"/>
  <c r="DB46" i="1" s="1"/>
  <c r="CT46" i="1"/>
  <c r="CQ46" i="1"/>
  <c r="CN46" i="1"/>
  <c r="CM46" i="1"/>
  <c r="CR46" i="1" s="1"/>
  <c r="CL46" i="1"/>
  <c r="CK46" i="1" s="1"/>
  <c r="CF46" i="1"/>
  <c r="CC46" i="1" s="1"/>
  <c r="BU46" i="1"/>
  <c r="BQ46" i="1" s="1"/>
  <c r="BV46" i="1" s="1"/>
  <c r="BK46" i="1"/>
  <c r="BJ46" i="1"/>
  <c r="AM46" i="1"/>
  <c r="AF46" i="1"/>
  <c r="AD46" i="1"/>
  <c r="AK46" i="1" s="1"/>
  <c r="AL46" i="1" s="1"/>
  <c r="U46" i="1"/>
  <c r="T46" i="1"/>
  <c r="S46" i="1"/>
  <c r="R46" i="1"/>
  <c r="K46" i="1"/>
  <c r="J46" i="1"/>
  <c r="A46" i="1"/>
  <c r="DG45" i="1"/>
  <c r="CZ45" i="1"/>
  <c r="CV45" i="1"/>
  <c r="CU45" i="1"/>
  <c r="CT45" i="1"/>
  <c r="CQ45" i="1"/>
  <c r="CM45" i="1" s="1"/>
  <c r="CR45" i="1" s="1"/>
  <c r="CN45" i="1"/>
  <c r="CF45" i="1"/>
  <c r="BU45" i="1"/>
  <c r="BQ45" i="1" s="1"/>
  <c r="BV45" i="1" s="1"/>
  <c r="BR45" i="1"/>
  <c r="BP45" i="1"/>
  <c r="BO45" i="1" s="1"/>
  <c r="BK45" i="1"/>
  <c r="BJ45" i="1"/>
  <c r="AM45" i="1"/>
  <c r="AF45" i="1"/>
  <c r="AD45" i="1" s="1"/>
  <c r="AK45" i="1" s="1"/>
  <c r="AL45" i="1" s="1"/>
  <c r="U45" i="1"/>
  <c r="T45" i="1"/>
  <c r="S45" i="1"/>
  <c r="R45" i="1"/>
  <c r="K45" i="1"/>
  <c r="J45" i="1"/>
  <c r="A45" i="1"/>
  <c r="DG44" i="1"/>
  <c r="DB44" i="1"/>
  <c r="DA44" i="1"/>
  <c r="CZ44" i="1"/>
  <c r="CV44" i="1"/>
  <c r="CU44" i="1"/>
  <c r="CT44" i="1"/>
  <c r="CQ44" i="1"/>
  <c r="CN44" i="1" s="1"/>
  <c r="CM44" i="1"/>
  <c r="CR44" i="1" s="1"/>
  <c r="CL44" i="1"/>
  <c r="CK44" i="1"/>
  <c r="CF44" i="1"/>
  <c r="CC44" i="1"/>
  <c r="CB44" i="1"/>
  <c r="CG44" i="1" s="1"/>
  <c r="CA44" i="1"/>
  <c r="BZ44" i="1" s="1"/>
  <c r="BU44" i="1"/>
  <c r="BR44" i="1" s="1"/>
  <c r="BQ44" i="1"/>
  <c r="BV44" i="1" s="1"/>
  <c r="BP44" i="1"/>
  <c r="BO44" i="1" s="1"/>
  <c r="BK44" i="1"/>
  <c r="BJ44" i="1"/>
  <c r="AM44" i="1"/>
  <c r="AF44" i="1"/>
  <c r="AD44" i="1" s="1"/>
  <c r="AK44" i="1" s="1"/>
  <c r="AL44" i="1" s="1"/>
  <c r="U44" i="1"/>
  <c r="T44" i="1"/>
  <c r="S44" i="1"/>
  <c r="R44" i="1"/>
  <c r="K44" i="1"/>
  <c r="J44" i="1"/>
  <c r="A44" i="1"/>
  <c r="DG43" i="1"/>
  <c r="CZ43" i="1"/>
  <c r="CV43" i="1"/>
  <c r="CU43" i="1"/>
  <c r="DA43" i="1" s="1"/>
  <c r="CT43" i="1"/>
  <c r="CS97" i="1" s="1"/>
  <c r="CQ43" i="1"/>
  <c r="CF43" i="1"/>
  <c r="BV43" i="1"/>
  <c r="BU43" i="1"/>
  <c r="BR43" i="1"/>
  <c r="BQ43" i="1"/>
  <c r="BP43" i="1" s="1"/>
  <c r="BO43" i="1" s="1"/>
  <c r="BK43" i="1"/>
  <c r="BJ43" i="1"/>
  <c r="AM43" i="1"/>
  <c r="AF43" i="1"/>
  <c r="AD43" i="1" s="1"/>
  <c r="AK43" i="1" s="1"/>
  <c r="AL43" i="1" s="1"/>
  <c r="U43" i="1"/>
  <c r="T43" i="1"/>
  <c r="S43" i="1"/>
  <c r="R43" i="1"/>
  <c r="K43" i="1"/>
  <c r="J43" i="1"/>
  <c r="A43" i="1"/>
  <c r="DG42" i="1"/>
  <c r="CZ42" i="1"/>
  <c r="CV42" i="1"/>
  <c r="CU42" i="1"/>
  <c r="DB42" i="1" s="1"/>
  <c r="CT42" i="1"/>
  <c r="CS96" i="1" s="1"/>
  <c r="CQ42" i="1"/>
  <c r="CN42" i="1"/>
  <c r="CM42" i="1"/>
  <c r="CF42" i="1"/>
  <c r="CC42" i="1" s="1"/>
  <c r="CB42" i="1"/>
  <c r="CG42" i="1" s="1"/>
  <c r="CA42" i="1"/>
  <c r="BZ42" i="1"/>
  <c r="BU42" i="1"/>
  <c r="BK42" i="1"/>
  <c r="BJ42" i="1"/>
  <c r="AM42" i="1"/>
  <c r="AF42" i="1"/>
  <c r="AD42" i="1"/>
  <c r="AK42" i="1" s="1"/>
  <c r="AL42" i="1" s="1"/>
  <c r="U42" i="1"/>
  <c r="T42" i="1"/>
  <c r="S42" i="1"/>
  <c r="R42" i="1"/>
  <c r="K42" i="1"/>
  <c r="J42" i="1"/>
  <c r="A42" i="1"/>
  <c r="DG41" i="1"/>
  <c r="CZ41" i="1"/>
  <c r="CV41" i="1"/>
  <c r="CU41" i="1"/>
  <c r="CT41" i="1"/>
  <c r="CQ41" i="1"/>
  <c r="CM41" i="1" s="1"/>
  <c r="CR41" i="1" s="1"/>
  <c r="CN41" i="1"/>
  <c r="CL41" i="1"/>
  <c r="CK41" i="1" s="1"/>
  <c r="CF41" i="1"/>
  <c r="BV41" i="1"/>
  <c r="BU41" i="1"/>
  <c r="BQ41" i="1" s="1"/>
  <c r="BR41" i="1"/>
  <c r="BP41" i="1"/>
  <c r="BO41" i="1" s="1"/>
  <c r="BK41" i="1"/>
  <c r="BJ41" i="1"/>
  <c r="AM41" i="1"/>
  <c r="AF41" i="1"/>
  <c r="AD41" i="1" s="1"/>
  <c r="AK41" i="1" s="1"/>
  <c r="AL41" i="1" s="1"/>
  <c r="U41" i="1"/>
  <c r="T41" i="1"/>
  <c r="S41" i="1"/>
  <c r="R41" i="1"/>
  <c r="K41" i="1"/>
  <c r="J41" i="1"/>
  <c r="A41" i="1"/>
  <c r="DG40" i="1"/>
  <c r="DB40" i="1"/>
  <c r="CZ40" i="1"/>
  <c r="CV40" i="1"/>
  <c r="CU40" i="1"/>
  <c r="DA40" i="1" s="1"/>
  <c r="CT40" i="1"/>
  <c r="CQ40" i="1"/>
  <c r="CN40" i="1" s="1"/>
  <c r="CM40" i="1"/>
  <c r="CR40" i="1" s="1"/>
  <c r="CL40" i="1"/>
  <c r="CK40" i="1"/>
  <c r="CF40" i="1"/>
  <c r="CB40" i="1" s="1"/>
  <c r="CC40" i="1"/>
  <c r="BU40" i="1"/>
  <c r="BR40" i="1" s="1"/>
  <c r="BQ40" i="1"/>
  <c r="BK40" i="1"/>
  <c r="BJ40" i="1"/>
  <c r="AM40" i="1"/>
  <c r="AF40" i="1"/>
  <c r="AD40" i="1" s="1"/>
  <c r="AK40" i="1" s="1"/>
  <c r="AL40" i="1" s="1"/>
  <c r="U40" i="1"/>
  <c r="T40" i="1"/>
  <c r="S40" i="1"/>
  <c r="R40" i="1"/>
  <c r="K40" i="1"/>
  <c r="J40" i="1"/>
  <c r="A40" i="1"/>
  <c r="DG39" i="1"/>
  <c r="DB39" i="1"/>
  <c r="DA39" i="1"/>
  <c r="CZ39" i="1"/>
  <c r="CV39" i="1"/>
  <c r="CU39" i="1"/>
  <c r="CT39" i="1"/>
  <c r="CQ39" i="1"/>
  <c r="CN39" i="1" s="1"/>
  <c r="CM39" i="1"/>
  <c r="CR39" i="1" s="1"/>
  <c r="CF39" i="1"/>
  <c r="CB39" i="1" s="1"/>
  <c r="CG39" i="1" s="1"/>
  <c r="CC39" i="1"/>
  <c r="CA39" i="1"/>
  <c r="BZ39" i="1" s="1"/>
  <c r="BV39" i="1"/>
  <c r="BU39" i="1"/>
  <c r="BR39" i="1"/>
  <c r="BQ39" i="1"/>
  <c r="BK39" i="1"/>
  <c r="BJ39" i="1"/>
  <c r="AM39" i="1"/>
  <c r="AF39" i="1"/>
  <c r="AD39" i="1"/>
  <c r="AK39" i="1" s="1"/>
  <c r="AL39" i="1" s="1"/>
  <c r="U39" i="1"/>
  <c r="T39" i="1"/>
  <c r="S39" i="1"/>
  <c r="R39" i="1"/>
  <c r="K39" i="1"/>
  <c r="J39" i="1"/>
  <c r="A39" i="1"/>
  <c r="DG38" i="1"/>
  <c r="CZ38" i="1"/>
  <c r="CT38" i="1"/>
  <c r="CV38" i="1" s="1"/>
  <c r="CR38" i="1"/>
  <c r="CQ38" i="1"/>
  <c r="CM38" i="1" s="1"/>
  <c r="CN38" i="1"/>
  <c r="CL38" i="1" s="1"/>
  <c r="CK38" i="1" s="1"/>
  <c r="CF38" i="1"/>
  <c r="CC38" i="1" s="1"/>
  <c r="CB38" i="1"/>
  <c r="BU38" i="1"/>
  <c r="BQ38" i="1" s="1"/>
  <c r="BR38" i="1"/>
  <c r="BK38" i="1"/>
  <c r="BJ38" i="1"/>
  <c r="AM38" i="1"/>
  <c r="AF38" i="1"/>
  <c r="AD38" i="1"/>
  <c r="AK38" i="1" s="1"/>
  <c r="AL38" i="1" s="1"/>
  <c r="U38" i="1"/>
  <c r="T38" i="1"/>
  <c r="S38" i="1"/>
  <c r="R38" i="1"/>
  <c r="K38" i="1"/>
  <c r="J38" i="1"/>
  <c r="A38" i="1"/>
  <c r="DG37" i="1"/>
  <c r="CZ37" i="1"/>
  <c r="CT37" i="1"/>
  <c r="CQ37" i="1"/>
  <c r="CF37" i="1"/>
  <c r="CC37" i="1"/>
  <c r="CB37" i="1"/>
  <c r="CG37" i="1" s="1"/>
  <c r="CA37" i="1"/>
  <c r="BZ37" i="1" s="1"/>
  <c r="BU37" i="1"/>
  <c r="BQ37" i="1" s="1"/>
  <c r="BV37" i="1" s="1"/>
  <c r="BK37" i="1"/>
  <c r="BJ37" i="1"/>
  <c r="AM37" i="1"/>
  <c r="AF37" i="1"/>
  <c r="AD37" i="1" s="1"/>
  <c r="AK37" i="1" s="1"/>
  <c r="AL37" i="1" s="1"/>
  <c r="U37" i="1"/>
  <c r="T37" i="1"/>
  <c r="S37" i="1"/>
  <c r="R37" i="1"/>
  <c r="K37" i="1"/>
  <c r="J37" i="1"/>
  <c r="A37" i="1"/>
  <c r="DG36" i="1"/>
  <c r="CZ36" i="1"/>
  <c r="CT36" i="1"/>
  <c r="CQ36" i="1"/>
  <c r="CN36" i="1" s="1"/>
  <c r="CG36" i="1"/>
  <c r="CF36" i="1"/>
  <c r="CC36" i="1"/>
  <c r="CB36" i="1"/>
  <c r="CA36" i="1"/>
  <c r="BZ36" i="1"/>
  <c r="BU36" i="1"/>
  <c r="BK36" i="1"/>
  <c r="BJ36" i="1"/>
  <c r="AM36" i="1"/>
  <c r="AK36" i="1"/>
  <c r="AL36" i="1" s="1"/>
  <c r="AF36" i="1"/>
  <c r="AD36" i="1" s="1"/>
  <c r="U36" i="1"/>
  <c r="T36" i="1"/>
  <c r="S36" i="1"/>
  <c r="R36" i="1"/>
  <c r="K36" i="1"/>
  <c r="J36" i="1"/>
  <c r="A36" i="1"/>
  <c r="DG35" i="1"/>
  <c r="DB35" i="1"/>
  <c r="CZ35" i="1"/>
  <c r="CV35" i="1"/>
  <c r="CU35" i="1"/>
  <c r="DA35" i="1" s="1"/>
  <c r="CT35" i="1"/>
  <c r="CQ35" i="1"/>
  <c r="CN35" i="1"/>
  <c r="CM35" i="1"/>
  <c r="CR35" i="1" s="1"/>
  <c r="CL35" i="1"/>
  <c r="CK35" i="1" s="1"/>
  <c r="CF35" i="1"/>
  <c r="BU35" i="1"/>
  <c r="BQ35" i="1" s="1"/>
  <c r="BV35" i="1" s="1"/>
  <c r="BR35" i="1"/>
  <c r="BP35" i="1"/>
  <c r="BO35" i="1"/>
  <c r="BK35" i="1"/>
  <c r="BJ35" i="1"/>
  <c r="AM35" i="1"/>
  <c r="AF35" i="1"/>
  <c r="AD35" i="1"/>
  <c r="AK35" i="1" s="1"/>
  <c r="AL35" i="1" s="1"/>
  <c r="U35" i="1"/>
  <c r="T35" i="1"/>
  <c r="S35" i="1"/>
  <c r="R35" i="1"/>
  <c r="K35" i="1"/>
  <c r="J35" i="1"/>
  <c r="A35" i="1"/>
  <c r="DG34" i="1"/>
  <c r="CZ34" i="1"/>
  <c r="CT34" i="1"/>
  <c r="CV34" i="1" s="1"/>
  <c r="CQ34" i="1"/>
  <c r="CM34" i="1" s="1"/>
  <c r="CR34" i="1" s="1"/>
  <c r="CN34" i="1"/>
  <c r="CL34" i="1"/>
  <c r="CK34" i="1" s="1"/>
  <c r="CG34" i="1"/>
  <c r="CF34" i="1"/>
  <c r="CC34" i="1" s="1"/>
  <c r="CB34" i="1"/>
  <c r="CA34" i="1" s="1"/>
  <c r="BZ34" i="1" s="1"/>
  <c r="BU34" i="1"/>
  <c r="BR34" i="1" s="1"/>
  <c r="BK34" i="1"/>
  <c r="BJ34" i="1"/>
  <c r="AM34" i="1"/>
  <c r="AF34" i="1"/>
  <c r="AD34" i="1"/>
  <c r="AK34" i="1" s="1"/>
  <c r="AL34" i="1" s="1"/>
  <c r="U34" i="1"/>
  <c r="T34" i="1"/>
  <c r="S34" i="1"/>
  <c r="R34" i="1"/>
  <c r="K34" i="1"/>
  <c r="J34" i="1"/>
  <c r="A34" i="1"/>
  <c r="DG33" i="1"/>
  <c r="CZ33" i="1"/>
  <c r="CT33" i="1"/>
  <c r="CV33" i="1" s="1"/>
  <c r="CQ33" i="1"/>
  <c r="CN33" i="1"/>
  <c r="CM33" i="1"/>
  <c r="CR33" i="1" s="1"/>
  <c r="CL33" i="1"/>
  <c r="CK33" i="1" s="1"/>
  <c r="CG33" i="1"/>
  <c r="CF33" i="1"/>
  <c r="CC33" i="1"/>
  <c r="CB33" i="1"/>
  <c r="CA33" i="1"/>
  <c r="BZ33" i="1"/>
  <c r="BV33" i="1"/>
  <c r="BU33" i="1"/>
  <c r="BR33" i="1" s="1"/>
  <c r="BQ33" i="1"/>
  <c r="BP33" i="1" s="1"/>
  <c r="BO33" i="1" s="1"/>
  <c r="BK33" i="1"/>
  <c r="BJ33" i="1"/>
  <c r="AM33" i="1"/>
  <c r="AF33" i="1"/>
  <c r="AD33" i="1"/>
  <c r="AK33" i="1" s="1"/>
  <c r="AL33" i="1" s="1"/>
  <c r="U33" i="1"/>
  <c r="T33" i="1"/>
  <c r="S33" i="1"/>
  <c r="R33" i="1"/>
  <c r="K33" i="1"/>
  <c r="J33" i="1"/>
  <c r="A33" i="1"/>
  <c r="DG32" i="1"/>
  <c r="CZ32" i="1"/>
  <c r="CT32" i="1"/>
  <c r="CV32" i="1" s="1"/>
  <c r="CQ32" i="1"/>
  <c r="CN32" i="1"/>
  <c r="CM32" i="1"/>
  <c r="CR32" i="1" s="1"/>
  <c r="CL32" i="1"/>
  <c r="CK32" i="1"/>
  <c r="CG32" i="1"/>
  <c r="CF32" i="1"/>
  <c r="CC32" i="1"/>
  <c r="CB32" i="1"/>
  <c r="CA32" i="1"/>
  <c r="BZ32" i="1"/>
  <c r="BU32" i="1"/>
  <c r="BR32" i="1" s="1"/>
  <c r="BK32" i="1"/>
  <c r="BJ32" i="1"/>
  <c r="AM32" i="1"/>
  <c r="AF32" i="1"/>
  <c r="AD32" i="1" s="1"/>
  <c r="AK32" i="1" s="1"/>
  <c r="AL32" i="1" s="1"/>
  <c r="U32" i="1"/>
  <c r="T32" i="1"/>
  <c r="S32" i="1"/>
  <c r="R32" i="1"/>
  <c r="K32" i="1"/>
  <c r="J32" i="1"/>
  <c r="A32" i="1"/>
  <c r="DG31" i="1"/>
  <c r="CZ31" i="1"/>
  <c r="CT31" i="1"/>
  <c r="CR31" i="1"/>
  <c r="CQ31" i="1"/>
  <c r="CN31" i="1"/>
  <c r="CM31" i="1"/>
  <c r="CL31" i="1"/>
  <c r="CK31" i="1"/>
  <c r="CG31" i="1"/>
  <c r="CF31" i="1"/>
  <c r="CB31" i="1" s="1"/>
  <c r="CC31" i="1"/>
  <c r="CA31" i="1" s="1"/>
  <c r="BZ31" i="1" s="1"/>
  <c r="BU31" i="1"/>
  <c r="BR31" i="1" s="1"/>
  <c r="BQ31" i="1"/>
  <c r="BV31" i="1" s="1"/>
  <c r="BP31" i="1"/>
  <c r="BO31" i="1" s="1"/>
  <c r="BK31" i="1"/>
  <c r="BJ31" i="1"/>
  <c r="AM31" i="1"/>
  <c r="AF31" i="1"/>
  <c r="AD31" i="1"/>
  <c r="AK31" i="1" s="1"/>
  <c r="AL31" i="1" s="1"/>
  <c r="U31" i="1"/>
  <c r="T31" i="1"/>
  <c r="S31" i="1"/>
  <c r="R31" i="1"/>
  <c r="K31" i="1"/>
  <c r="J31" i="1"/>
  <c r="A31" i="1"/>
  <c r="DG30" i="1"/>
  <c r="CZ30" i="1"/>
  <c r="CT30" i="1"/>
  <c r="CR30" i="1"/>
  <c r="CQ30" i="1"/>
  <c r="CN30" i="1"/>
  <c r="CM30" i="1"/>
  <c r="CL30" i="1"/>
  <c r="CK30" i="1"/>
  <c r="CF30" i="1"/>
  <c r="BU30" i="1"/>
  <c r="BR30" i="1" s="1"/>
  <c r="BK30" i="1"/>
  <c r="BJ30" i="1"/>
  <c r="AM30" i="1"/>
  <c r="AF30" i="1"/>
  <c r="AD30" i="1"/>
  <c r="AK30" i="1" s="1"/>
  <c r="AL30" i="1" s="1"/>
  <c r="U30" i="1"/>
  <c r="T30" i="1"/>
  <c r="S30" i="1"/>
  <c r="R30" i="1"/>
  <c r="K30" i="1"/>
  <c r="J30" i="1"/>
  <c r="A30" i="1"/>
  <c r="DG29" i="1"/>
  <c r="CZ29" i="1"/>
  <c r="CV29" i="1"/>
  <c r="CU29" i="1"/>
  <c r="CT29" i="1"/>
  <c r="CQ29" i="1"/>
  <c r="CM29" i="1" s="1"/>
  <c r="CL29" i="1" s="1"/>
  <c r="CK29" i="1" s="1"/>
  <c r="CN29" i="1"/>
  <c r="CF29" i="1"/>
  <c r="CC29" i="1" s="1"/>
  <c r="CB29" i="1"/>
  <c r="CG29" i="1" s="1"/>
  <c r="CA29" i="1"/>
  <c r="BZ29" i="1"/>
  <c r="BU29" i="1"/>
  <c r="BQ29" i="1" s="1"/>
  <c r="BV29" i="1" s="1"/>
  <c r="BR29" i="1"/>
  <c r="BP29" i="1"/>
  <c r="BO29" i="1"/>
  <c r="BK29" i="1"/>
  <c r="BJ29" i="1"/>
  <c r="AM29" i="1"/>
  <c r="AF29" i="1"/>
  <c r="AD29" i="1" s="1"/>
  <c r="AK29" i="1" s="1"/>
  <c r="AL29" i="1" s="1"/>
  <c r="U29" i="1"/>
  <c r="T29" i="1"/>
  <c r="S29" i="1"/>
  <c r="R29" i="1"/>
  <c r="K29" i="1"/>
  <c r="J29" i="1"/>
  <c r="A29" i="1"/>
  <c r="DG28" i="1"/>
  <c r="CZ28" i="1"/>
  <c r="CV28" i="1"/>
  <c r="CT28" i="1"/>
  <c r="CQ28" i="1"/>
  <c r="CN28" i="1"/>
  <c r="CM28" i="1"/>
  <c r="CR28" i="1" s="1"/>
  <c r="CL28" i="1"/>
  <c r="CK28" i="1" s="1"/>
  <c r="CF28" i="1"/>
  <c r="CC28" i="1"/>
  <c r="CB28" i="1"/>
  <c r="CG28" i="1" s="1"/>
  <c r="CA28" i="1"/>
  <c r="BZ28" i="1" s="1"/>
  <c r="BU28" i="1"/>
  <c r="BQ28" i="1" s="1"/>
  <c r="BR28" i="1"/>
  <c r="BK28" i="1"/>
  <c r="BJ28" i="1"/>
  <c r="AF28" i="1"/>
  <c r="AD28" i="1" s="1"/>
  <c r="AK28" i="1" s="1"/>
  <c r="U28" i="1"/>
  <c r="T28" i="1"/>
  <c r="S28" i="1"/>
  <c r="R28" i="1"/>
  <c r="K28" i="1"/>
  <c r="J28" i="1"/>
  <c r="A28" i="1"/>
  <c r="DG27" i="1"/>
  <c r="CZ27" i="1"/>
  <c r="CU27" i="1"/>
  <c r="CT27" i="1"/>
  <c r="CV27" i="1" s="1"/>
  <c r="CQ27" i="1"/>
  <c r="CN27" i="1"/>
  <c r="CM27" i="1"/>
  <c r="CR27" i="1" s="1"/>
  <c r="CL27" i="1"/>
  <c r="CK27" i="1" s="1"/>
  <c r="CG27" i="1"/>
  <c r="CF27" i="1"/>
  <c r="CB27" i="1" s="1"/>
  <c r="CC27" i="1"/>
  <c r="CA27" i="1"/>
  <c r="BZ27" i="1"/>
  <c r="BU27" i="1"/>
  <c r="BQ27" i="1" s="1"/>
  <c r="BR27" i="1"/>
  <c r="BK27" i="1"/>
  <c r="BJ27" i="1"/>
  <c r="AM27" i="1"/>
  <c r="AF27" i="1"/>
  <c r="AD27" i="1" s="1"/>
  <c r="AK27" i="1" s="1"/>
  <c r="AL27" i="1" s="1"/>
  <c r="U27" i="1"/>
  <c r="T27" i="1"/>
  <c r="S27" i="1"/>
  <c r="R27" i="1"/>
  <c r="K27" i="1"/>
  <c r="J27" i="1"/>
  <c r="A27" i="1"/>
  <c r="DG26" i="1"/>
  <c r="CZ26" i="1"/>
  <c r="CV26" i="1"/>
  <c r="CU26" i="1" s="1"/>
  <c r="CT26" i="1"/>
  <c r="CQ26" i="1"/>
  <c r="CN26" i="1"/>
  <c r="CM26" i="1"/>
  <c r="CR26" i="1" s="1"/>
  <c r="CF26" i="1"/>
  <c r="CC26" i="1" s="1"/>
  <c r="CB26" i="1"/>
  <c r="CG26" i="1" s="1"/>
  <c r="CA26" i="1"/>
  <c r="BZ26" i="1"/>
  <c r="BU26" i="1"/>
  <c r="BR26" i="1" s="1"/>
  <c r="BK26" i="1"/>
  <c r="BJ26" i="1"/>
  <c r="AM26" i="1"/>
  <c r="AF26" i="1"/>
  <c r="AD26" i="1" s="1"/>
  <c r="AK26" i="1" s="1"/>
  <c r="AL26" i="1" s="1"/>
  <c r="U26" i="1"/>
  <c r="T26" i="1"/>
  <c r="S26" i="1"/>
  <c r="R26" i="1"/>
  <c r="K26" i="1"/>
  <c r="J26" i="1"/>
  <c r="A26" i="1"/>
  <c r="DG25" i="1"/>
  <c r="CZ25" i="1"/>
  <c r="CT25" i="1"/>
  <c r="CV25" i="1" s="1"/>
  <c r="CQ25" i="1"/>
  <c r="CM25" i="1" s="1"/>
  <c r="CR25" i="1" s="1"/>
  <c r="CN25" i="1"/>
  <c r="CF25" i="1"/>
  <c r="CC25" i="1"/>
  <c r="CB25" i="1"/>
  <c r="BU25" i="1"/>
  <c r="BQ25" i="1" s="1"/>
  <c r="BV25" i="1" s="1"/>
  <c r="BK25" i="1"/>
  <c r="BJ25" i="1"/>
  <c r="AM25" i="1"/>
  <c r="AF25" i="1"/>
  <c r="AD25" i="1"/>
  <c r="AK25" i="1" s="1"/>
  <c r="AL25" i="1" s="1"/>
  <c r="U25" i="1"/>
  <c r="T25" i="1"/>
  <c r="S25" i="1"/>
  <c r="R25" i="1"/>
  <c r="K25" i="1"/>
  <c r="J25" i="1"/>
  <c r="A25" i="1"/>
  <c r="DG24" i="1"/>
  <c r="CZ24" i="1"/>
  <c r="CT24" i="1"/>
  <c r="CV24" i="1" s="1"/>
  <c r="CQ24" i="1"/>
  <c r="CM24" i="1" s="1"/>
  <c r="CF24" i="1"/>
  <c r="CB24" i="1" s="1"/>
  <c r="CG24" i="1" s="1"/>
  <c r="CC24" i="1"/>
  <c r="CA24" i="1"/>
  <c r="BZ24" i="1"/>
  <c r="BU24" i="1"/>
  <c r="BR24" i="1" s="1"/>
  <c r="BK24" i="1"/>
  <c r="BJ24" i="1"/>
  <c r="AM24" i="1"/>
  <c r="AL24" i="1"/>
  <c r="AF24" i="1"/>
  <c r="AD24" i="1" s="1"/>
  <c r="AK24" i="1" s="1"/>
  <c r="U24" i="1"/>
  <c r="T24" i="1"/>
  <c r="S24" i="1"/>
  <c r="R24" i="1"/>
  <c r="K24" i="1"/>
  <c r="J24" i="1"/>
  <c r="A24" i="1"/>
  <c r="DG23" i="1"/>
  <c r="CZ23" i="1"/>
  <c r="CT23" i="1"/>
  <c r="CV23" i="1" s="1"/>
  <c r="CQ23" i="1"/>
  <c r="CM23" i="1" s="1"/>
  <c r="CR23" i="1" s="1"/>
  <c r="CN23" i="1"/>
  <c r="CF23" i="1"/>
  <c r="CB23" i="1" s="1"/>
  <c r="BU23" i="1"/>
  <c r="BR23" i="1"/>
  <c r="BQ23" i="1"/>
  <c r="BP23" i="1" s="1"/>
  <c r="BO23" i="1" s="1"/>
  <c r="BK23" i="1"/>
  <c r="BJ23" i="1"/>
  <c r="AM23" i="1"/>
  <c r="AF23" i="1"/>
  <c r="AD23" i="1"/>
  <c r="AK23" i="1" s="1"/>
  <c r="AL23" i="1" s="1"/>
  <c r="U23" i="1"/>
  <c r="T23" i="1"/>
  <c r="S23" i="1"/>
  <c r="R23" i="1"/>
  <c r="K23" i="1"/>
  <c r="J23" i="1"/>
  <c r="A23" i="1"/>
  <c r="DG22" i="1"/>
  <c r="CZ22" i="1"/>
  <c r="CT22" i="1"/>
  <c r="CV22" i="1" s="1"/>
  <c r="CQ22" i="1"/>
  <c r="CM22" i="1" s="1"/>
  <c r="CN22" i="1"/>
  <c r="CA22" i="1"/>
  <c r="CB22" i="1" s="1"/>
  <c r="CG22" i="1" s="1"/>
  <c r="BZ22" i="1"/>
  <c r="BU22" i="1"/>
  <c r="BP22" i="1"/>
  <c r="BQ22" i="1" s="1"/>
  <c r="BV22" i="1" s="1"/>
  <c r="BO22" i="1"/>
  <c r="BK22" i="1"/>
  <c r="BJ22" i="1"/>
  <c r="AF22" i="1"/>
  <c r="AD22" i="1" s="1"/>
  <c r="AK22" i="1" s="1"/>
  <c r="U22" i="1"/>
  <c r="T22" i="1"/>
  <c r="S22" i="1"/>
  <c r="R22" i="1"/>
  <c r="K22" i="1"/>
  <c r="J22" i="1"/>
  <c r="A22" i="1"/>
  <c r="DG21" i="1"/>
  <c r="CZ21" i="1"/>
  <c r="CT21" i="1"/>
  <c r="CV21" i="1" s="1"/>
  <c r="CQ21" i="1"/>
  <c r="CN21" i="1" s="1"/>
  <c r="CL21" i="1" s="1"/>
  <c r="CK21" i="1" s="1"/>
  <c r="CM21" i="1"/>
  <c r="CR21" i="1" s="1"/>
  <c r="CF21" i="1"/>
  <c r="CC21" i="1"/>
  <c r="CB21" i="1"/>
  <c r="CG21" i="1" s="1"/>
  <c r="CA21" i="1"/>
  <c r="BZ21" i="1"/>
  <c r="BV21" i="1"/>
  <c r="BU21" i="1"/>
  <c r="BR21" i="1"/>
  <c r="BQ21" i="1"/>
  <c r="BP21" i="1"/>
  <c r="BO21" i="1"/>
  <c r="BK21" i="1"/>
  <c r="BJ21" i="1"/>
  <c r="AM21" i="1"/>
  <c r="AF21" i="1"/>
  <c r="AD21" i="1"/>
  <c r="AK21" i="1" s="1"/>
  <c r="AL21" i="1" s="1"/>
  <c r="U21" i="1"/>
  <c r="T21" i="1"/>
  <c r="S21" i="1"/>
  <c r="R21" i="1"/>
  <c r="K21" i="1"/>
  <c r="J21" i="1"/>
  <c r="A21" i="1"/>
  <c r="DG20" i="1"/>
  <c r="CZ20" i="1"/>
  <c r="CV20" i="1"/>
  <c r="CT20" i="1"/>
  <c r="CQ20" i="1"/>
  <c r="CM20" i="1" s="1"/>
  <c r="CR20" i="1" s="1"/>
  <c r="CN20" i="1"/>
  <c r="CL20" i="1"/>
  <c r="CK20" i="1" s="1"/>
  <c r="CF20" i="1"/>
  <c r="CC20" i="1"/>
  <c r="CB20" i="1"/>
  <c r="CG20" i="1" s="1"/>
  <c r="CA20" i="1"/>
  <c r="BZ20" i="1" s="1"/>
  <c r="BU20" i="1"/>
  <c r="BQ20" i="1" s="1"/>
  <c r="BV20" i="1" s="1"/>
  <c r="BK20" i="1"/>
  <c r="BJ20" i="1"/>
  <c r="AM20" i="1"/>
  <c r="AF20" i="1"/>
  <c r="AD20" i="1" s="1"/>
  <c r="AK20" i="1" s="1"/>
  <c r="AL20" i="1" s="1"/>
  <c r="U20" i="1"/>
  <c r="T20" i="1"/>
  <c r="S20" i="1"/>
  <c r="R20" i="1"/>
  <c r="K20" i="1"/>
  <c r="J20" i="1"/>
  <c r="A20" i="1"/>
  <c r="DG19" i="1"/>
  <c r="CZ19" i="1"/>
  <c r="CT19" i="1"/>
  <c r="CV19" i="1" s="1"/>
  <c r="CQ19" i="1"/>
  <c r="CN19" i="1"/>
  <c r="CM19" i="1"/>
  <c r="CF19" i="1"/>
  <c r="CC19" i="1"/>
  <c r="CB19" i="1"/>
  <c r="BU19" i="1"/>
  <c r="BR19" i="1"/>
  <c r="BQ19" i="1"/>
  <c r="BV19" i="1" s="1"/>
  <c r="BK19" i="1"/>
  <c r="BJ19" i="1"/>
  <c r="AM19" i="1"/>
  <c r="AF19" i="1"/>
  <c r="AD19" i="1" s="1"/>
  <c r="AK19" i="1" s="1"/>
  <c r="AL19" i="1" s="1"/>
  <c r="U19" i="1"/>
  <c r="T19" i="1"/>
  <c r="S19" i="1"/>
  <c r="R19" i="1"/>
  <c r="K19" i="1"/>
  <c r="J19" i="1"/>
  <c r="A19" i="1"/>
  <c r="DG18" i="1"/>
  <c r="CZ18" i="1"/>
  <c r="CT18" i="1"/>
  <c r="CQ18" i="1"/>
  <c r="CN18" i="1"/>
  <c r="CM18" i="1"/>
  <c r="CL18" i="1" s="1"/>
  <c r="CK18" i="1" s="1"/>
  <c r="CF18" i="1"/>
  <c r="CB18" i="1" s="1"/>
  <c r="CG18" i="1" s="1"/>
  <c r="CC18" i="1"/>
  <c r="CA18" i="1" s="1"/>
  <c r="BZ18" i="1" s="1"/>
  <c r="BU18" i="1"/>
  <c r="BR18" i="1"/>
  <c r="BQ18" i="1"/>
  <c r="BV18" i="1" s="1"/>
  <c r="BP18" i="1"/>
  <c r="BO18" i="1" s="1"/>
  <c r="BK18" i="1"/>
  <c r="BJ18" i="1"/>
  <c r="AM18" i="1"/>
  <c r="AF18" i="1"/>
  <c r="AD18" i="1" s="1"/>
  <c r="AK18" i="1" s="1"/>
  <c r="AL18" i="1" s="1"/>
  <c r="U18" i="1"/>
  <c r="T18" i="1"/>
  <c r="S18" i="1"/>
  <c r="R18" i="1"/>
  <c r="K18" i="1"/>
  <c r="J18" i="1"/>
  <c r="A18" i="1"/>
  <c r="DG17" i="1"/>
  <c r="CZ17" i="1"/>
  <c r="CT17" i="1"/>
  <c r="CV17" i="1" s="1"/>
  <c r="CQ17" i="1"/>
  <c r="CN17" i="1" s="1"/>
  <c r="CF17" i="1"/>
  <c r="CC17" i="1"/>
  <c r="CB17" i="1"/>
  <c r="CG17" i="1" s="1"/>
  <c r="CA17" i="1"/>
  <c r="BZ17" i="1" s="1"/>
  <c r="BU17" i="1"/>
  <c r="BR17" i="1"/>
  <c r="BQ17" i="1"/>
  <c r="BV17" i="1" s="1"/>
  <c r="BP17" i="1"/>
  <c r="BO17" i="1" s="1"/>
  <c r="BK17" i="1"/>
  <c r="BJ17" i="1"/>
  <c r="AM17" i="1"/>
  <c r="AF17" i="1"/>
  <c r="AD17" i="1"/>
  <c r="AK17" i="1" s="1"/>
  <c r="AL17" i="1" s="1"/>
  <c r="U17" i="1"/>
  <c r="T17" i="1"/>
  <c r="S17" i="1"/>
  <c r="R17" i="1"/>
  <c r="K17" i="1"/>
  <c r="J17" i="1"/>
  <c r="A17" i="1"/>
  <c r="DG16" i="1"/>
  <c r="CZ16" i="1"/>
  <c r="CV16" i="1"/>
  <c r="CU16" i="1" s="1"/>
  <c r="CT16" i="1"/>
  <c r="CQ16" i="1"/>
  <c r="CF16" i="1"/>
  <c r="CB16" i="1" s="1"/>
  <c r="CG16" i="1" s="1"/>
  <c r="CC16" i="1"/>
  <c r="BU16" i="1"/>
  <c r="BQ16" i="1" s="1"/>
  <c r="BR16" i="1"/>
  <c r="BK16" i="1"/>
  <c r="BJ16" i="1"/>
  <c r="AF16" i="1"/>
  <c r="AD16" i="1" s="1"/>
  <c r="AK16" i="1" s="1"/>
  <c r="AL16" i="1" s="1"/>
  <c r="U16" i="1"/>
  <c r="T16" i="1"/>
  <c r="S16" i="1"/>
  <c r="R16" i="1"/>
  <c r="K16" i="1"/>
  <c r="J16" i="1"/>
  <c r="A16" i="1"/>
  <c r="DG15" i="1"/>
  <c r="CZ15" i="1"/>
  <c r="CT15" i="1"/>
  <c r="CV15" i="1" s="1"/>
  <c r="CQ15" i="1"/>
  <c r="CF15" i="1"/>
  <c r="CC15" i="1" s="1"/>
  <c r="CB15" i="1"/>
  <c r="CG15" i="1" s="1"/>
  <c r="CA15" i="1"/>
  <c r="BZ15" i="1"/>
  <c r="BU15" i="1"/>
  <c r="BQ15" i="1" s="1"/>
  <c r="BK15" i="1"/>
  <c r="BJ15" i="1"/>
  <c r="AM15" i="1"/>
  <c r="AF15" i="1"/>
  <c r="AD15" i="1" s="1"/>
  <c r="AK15" i="1" s="1"/>
  <c r="AL15" i="1" s="1"/>
  <c r="U15" i="1"/>
  <c r="T15" i="1"/>
  <c r="S15" i="1"/>
  <c r="R15" i="1"/>
  <c r="K15" i="1"/>
  <c r="J15" i="1"/>
  <c r="A15" i="1"/>
  <c r="DG14" i="1"/>
  <c r="CZ14" i="1"/>
  <c r="CU14" i="1"/>
  <c r="DA14" i="1" s="1"/>
  <c r="CT14" i="1"/>
  <c r="CV14" i="1" s="1"/>
  <c r="CQ14" i="1"/>
  <c r="CF14" i="1"/>
  <c r="BU14" i="1"/>
  <c r="BQ14" i="1" s="1"/>
  <c r="BV14" i="1" s="1"/>
  <c r="BR14" i="1"/>
  <c r="BK14" i="1"/>
  <c r="BJ14" i="1"/>
  <c r="AM14" i="1"/>
  <c r="AF14" i="1"/>
  <c r="AD14" i="1"/>
  <c r="AK14" i="1" s="1"/>
  <c r="AL14" i="1" s="1"/>
  <c r="U14" i="1"/>
  <c r="T14" i="1"/>
  <c r="S14" i="1"/>
  <c r="R14" i="1"/>
  <c r="K14" i="1"/>
  <c r="J14" i="1"/>
  <c r="A14" i="1"/>
  <c r="DG13" i="1"/>
  <c r="CZ13" i="1"/>
  <c r="CT13" i="1"/>
  <c r="CQ13" i="1"/>
  <c r="CF13" i="1"/>
  <c r="CB13" i="1" s="1"/>
  <c r="CG13" i="1" s="1"/>
  <c r="BU13" i="1"/>
  <c r="BQ13" i="1" s="1"/>
  <c r="BV13" i="1" s="1"/>
  <c r="BK13" i="1"/>
  <c r="BJ13" i="1"/>
  <c r="AM13" i="1"/>
  <c r="AF13" i="1"/>
  <c r="AD13" i="1" s="1"/>
  <c r="AK13" i="1" s="1"/>
  <c r="AL13" i="1" s="1"/>
  <c r="U13" i="1"/>
  <c r="T13" i="1"/>
  <c r="S13" i="1"/>
  <c r="R13" i="1"/>
  <c r="K13" i="1"/>
  <c r="J13" i="1"/>
  <c r="A13" i="1"/>
  <c r="DG12" i="1"/>
  <c r="CZ12" i="1"/>
  <c r="CV12" i="1"/>
  <c r="CU12" i="1" s="1"/>
  <c r="CT12" i="1"/>
  <c r="CQ12" i="1"/>
  <c r="CM12" i="1" s="1"/>
  <c r="CR12" i="1" s="1"/>
  <c r="CG12" i="1"/>
  <c r="CF12" i="1"/>
  <c r="CC12" i="1"/>
  <c r="CB12" i="1"/>
  <c r="CA12" i="1"/>
  <c r="BZ12" i="1"/>
  <c r="BV12" i="1"/>
  <c r="BU12" i="1"/>
  <c r="BQ12" i="1" s="1"/>
  <c r="BR12" i="1"/>
  <c r="BP12" i="1" s="1"/>
  <c r="BO12" i="1" s="1"/>
  <c r="BK12" i="1"/>
  <c r="BJ12" i="1"/>
  <c r="AM12" i="1"/>
  <c r="AF12" i="1"/>
  <c r="AD12" i="1" s="1"/>
  <c r="AK12" i="1" s="1"/>
  <c r="AL12" i="1" s="1"/>
  <c r="U12" i="1"/>
  <c r="T12" i="1"/>
  <c r="S12" i="1"/>
  <c r="R12" i="1"/>
  <c r="K12" i="1"/>
  <c r="J12" i="1"/>
  <c r="A12" i="1"/>
  <c r="DG11" i="1"/>
  <c r="DB11" i="1"/>
  <c r="DA11" i="1"/>
  <c r="CZ11" i="1"/>
  <c r="CV11" i="1"/>
  <c r="CU11" i="1"/>
  <c r="CT11" i="1"/>
  <c r="CQ11" i="1"/>
  <c r="CN11" i="1" s="1"/>
  <c r="CL11" i="1" s="1"/>
  <c r="CK11" i="1" s="1"/>
  <c r="CM11" i="1"/>
  <c r="CR11" i="1" s="1"/>
  <c r="CF11" i="1"/>
  <c r="CC11" i="1"/>
  <c r="CB11" i="1"/>
  <c r="CG11" i="1" s="1"/>
  <c r="CA11" i="1"/>
  <c r="BZ11" i="1" s="1"/>
  <c r="BU11" i="1"/>
  <c r="BR11" i="1"/>
  <c r="BQ11" i="1"/>
  <c r="BV11" i="1" s="1"/>
  <c r="BP11" i="1"/>
  <c r="BO11" i="1"/>
  <c r="BK11" i="1"/>
  <c r="BJ11" i="1"/>
  <c r="AM11" i="1"/>
  <c r="AF11" i="1"/>
  <c r="AD11" i="1" s="1"/>
  <c r="AK11" i="1" s="1"/>
  <c r="AL11" i="1" s="1"/>
  <c r="U11" i="1"/>
  <c r="T11" i="1"/>
  <c r="S11" i="1"/>
  <c r="R11" i="1"/>
  <c r="K11" i="1"/>
  <c r="J11" i="1"/>
  <c r="A11" i="1"/>
  <c r="DG10" i="1"/>
  <c r="CZ10" i="1"/>
  <c r="CU10" i="1"/>
  <c r="DA10" i="1" s="1"/>
  <c r="CT10" i="1"/>
  <c r="CV10" i="1" s="1"/>
  <c r="CQ10" i="1"/>
  <c r="CN10" i="1" s="1"/>
  <c r="CM10" i="1"/>
  <c r="CR10" i="1" s="1"/>
  <c r="CL10" i="1"/>
  <c r="CK10" i="1"/>
  <c r="CF10" i="1"/>
  <c r="CB10" i="1" s="1"/>
  <c r="CG10" i="1" s="1"/>
  <c r="BV10" i="1"/>
  <c r="BU10" i="1"/>
  <c r="BR10" i="1"/>
  <c r="BQ10" i="1"/>
  <c r="BP10" i="1"/>
  <c r="BO10" i="1"/>
  <c r="BK10" i="1"/>
  <c r="BJ10" i="1"/>
  <c r="AM10" i="1"/>
  <c r="AF10" i="1"/>
  <c r="AD10" i="1"/>
  <c r="AK10" i="1" s="1"/>
  <c r="AL10" i="1" s="1"/>
  <c r="U10" i="1"/>
  <c r="T10" i="1"/>
  <c r="S10" i="1"/>
  <c r="R10" i="1"/>
  <c r="K10" i="1"/>
  <c r="J10" i="1"/>
  <c r="A10" i="1"/>
  <c r="DG9" i="1"/>
  <c r="CZ9" i="1"/>
  <c r="CT9" i="1"/>
  <c r="CQ9" i="1"/>
  <c r="CN9" i="1" s="1"/>
  <c r="CL9" i="1" s="1"/>
  <c r="CK9" i="1" s="1"/>
  <c r="CM9" i="1"/>
  <c r="CR9" i="1" s="1"/>
  <c r="CF9" i="1"/>
  <c r="CC9" i="1"/>
  <c r="CB9" i="1"/>
  <c r="CG9" i="1" s="1"/>
  <c r="CA9" i="1"/>
  <c r="BZ9" i="1" s="1"/>
  <c r="BV9" i="1"/>
  <c r="BU9" i="1"/>
  <c r="BR9" i="1"/>
  <c r="BQ9" i="1"/>
  <c r="BP9" i="1"/>
  <c r="BO9" i="1"/>
  <c r="BK9" i="1"/>
  <c r="BJ9" i="1"/>
  <c r="AM9" i="1"/>
  <c r="AF9" i="1"/>
  <c r="AD9" i="1" s="1"/>
  <c r="AK9" i="1" s="1"/>
  <c r="AL9" i="1" s="1"/>
  <c r="U9" i="1"/>
  <c r="T9" i="1"/>
  <c r="S9" i="1"/>
  <c r="R9" i="1"/>
  <c r="K9" i="1"/>
  <c r="J9" i="1"/>
  <c r="A9" i="1"/>
  <c r="DG8" i="1"/>
  <c r="CZ8" i="1"/>
  <c r="CV8" i="1"/>
  <c r="CT8" i="1"/>
  <c r="CU8" i="1" s="1"/>
  <c r="DA8" i="1" s="1"/>
  <c r="CQ8" i="1"/>
  <c r="CM8" i="1" s="1"/>
  <c r="CR8" i="1" s="1"/>
  <c r="CN8" i="1"/>
  <c r="CL8" i="1"/>
  <c r="CK8" i="1" s="1"/>
  <c r="CF8" i="1"/>
  <c r="CC8" i="1"/>
  <c r="CB8" i="1"/>
  <c r="CG8" i="1" s="1"/>
  <c r="CA8" i="1"/>
  <c r="BZ8" i="1" s="1"/>
  <c r="BV8" i="1"/>
  <c r="BU8" i="1"/>
  <c r="BQ8" i="1" s="1"/>
  <c r="BR8" i="1"/>
  <c r="BP8" i="1"/>
  <c r="BO8" i="1"/>
  <c r="BK8" i="1"/>
  <c r="BJ8" i="1"/>
  <c r="AM8" i="1"/>
  <c r="AF8" i="1"/>
  <c r="AD8" i="1" s="1"/>
  <c r="AK8" i="1" s="1"/>
  <c r="AL8" i="1" s="1"/>
  <c r="U8" i="1"/>
  <c r="T8" i="1"/>
  <c r="S8" i="1"/>
  <c r="R8" i="1"/>
  <c r="K8" i="1"/>
  <c r="J8" i="1"/>
  <c r="A8" i="1"/>
  <c r="DG7" i="1"/>
  <c r="CZ7" i="1"/>
  <c r="CT7" i="1"/>
  <c r="CV7" i="1" s="1"/>
  <c r="CU7" i="1" s="1"/>
  <c r="DB7" i="1" s="1"/>
  <c r="CQ7" i="1"/>
  <c r="CN7" i="1"/>
  <c r="CM7" i="1"/>
  <c r="CF7" i="1"/>
  <c r="CC7" i="1"/>
  <c r="CB7" i="1"/>
  <c r="CA7" i="1" s="1"/>
  <c r="BZ7" i="1" s="1"/>
  <c r="BU7" i="1"/>
  <c r="BR7" i="1"/>
  <c r="BQ7" i="1"/>
  <c r="BV7" i="1" s="1"/>
  <c r="BP7" i="1"/>
  <c r="BO7" i="1" s="1"/>
  <c r="BK7" i="1"/>
  <c r="BJ7" i="1"/>
  <c r="AM7" i="1"/>
  <c r="AF7" i="1"/>
  <c r="AD7" i="1" s="1"/>
  <c r="AK7" i="1" s="1"/>
  <c r="AL7" i="1" s="1"/>
  <c r="U7" i="1"/>
  <c r="T7" i="1"/>
  <c r="S7" i="1"/>
  <c r="R7" i="1"/>
  <c r="K7" i="1"/>
  <c r="J7" i="1"/>
  <c r="A7" i="1"/>
  <c r="DG6" i="1"/>
  <c r="CZ6" i="1"/>
  <c r="CT6" i="1"/>
  <c r="CV6" i="1" s="1"/>
  <c r="CQ6" i="1"/>
  <c r="CN6" i="1"/>
  <c r="CM6" i="1"/>
  <c r="CF6" i="1"/>
  <c r="CB6" i="1" s="1"/>
  <c r="CG6" i="1" s="1"/>
  <c r="CC6" i="1"/>
  <c r="CA6" i="1"/>
  <c r="BZ6" i="1" s="1"/>
  <c r="BU6" i="1"/>
  <c r="BR6" i="1"/>
  <c r="BQ6" i="1"/>
  <c r="BV6" i="1" s="1"/>
  <c r="BP6" i="1"/>
  <c r="BO6" i="1" s="1"/>
  <c r="BK6" i="1"/>
  <c r="BJ6" i="1"/>
  <c r="AM6" i="1"/>
  <c r="AF6" i="1"/>
  <c r="AD6" i="1" s="1"/>
  <c r="AK6" i="1" s="1"/>
  <c r="AL6" i="1" s="1"/>
  <c r="U6" i="1"/>
  <c r="T6" i="1"/>
  <c r="R6" i="1"/>
  <c r="K6" i="1"/>
  <c r="J6" i="1"/>
  <c r="A6" i="1"/>
  <c r="DG5" i="1"/>
  <c r="CZ5" i="1"/>
  <c r="CV5" i="1"/>
  <c r="CU5" i="1" s="1"/>
  <c r="CT5" i="1"/>
  <c r="CQ5" i="1"/>
  <c r="CN5" i="1"/>
  <c r="CM5" i="1"/>
  <c r="CR5" i="1" s="1"/>
  <c r="CF5" i="1"/>
  <c r="CC5" i="1"/>
  <c r="CB5" i="1"/>
  <c r="CG5" i="1" s="1"/>
  <c r="CA5" i="1"/>
  <c r="BZ5" i="1" s="1"/>
  <c r="BU5" i="1"/>
  <c r="BR5" i="1"/>
  <c r="BQ5" i="1"/>
  <c r="BV5" i="1" s="1"/>
  <c r="BP5" i="1"/>
  <c r="BO5" i="1" s="1"/>
  <c r="BK5" i="1"/>
  <c r="BJ5" i="1"/>
  <c r="AM5" i="1"/>
  <c r="AL5" i="1"/>
  <c r="AF5" i="1"/>
  <c r="AD5" i="1"/>
  <c r="AK5" i="1" s="1"/>
  <c r="U5" i="1"/>
  <c r="T5" i="1"/>
  <c r="S5" i="1"/>
  <c r="R5" i="1"/>
  <c r="K5" i="1"/>
  <c r="J5" i="1"/>
  <c r="A5" i="1"/>
  <c r="DG4" i="1"/>
  <c r="CZ4" i="1"/>
  <c r="CT4" i="1"/>
  <c r="CV4" i="1" s="1"/>
  <c r="CQ4" i="1"/>
  <c r="CN4" i="1" s="1"/>
  <c r="CA4" i="1"/>
  <c r="BZ4" i="1" s="1"/>
  <c r="BU4" i="1"/>
  <c r="BP4" i="1"/>
  <c r="BQ4" i="1" s="1"/>
  <c r="BV4" i="1" s="1"/>
  <c r="BO4" i="1"/>
  <c r="BK4" i="1"/>
  <c r="BJ4" i="1"/>
  <c r="AM4" i="1"/>
  <c r="AF4" i="1"/>
  <c r="AD4" i="1" s="1"/>
  <c r="AK4" i="1" s="1"/>
  <c r="AL4" i="1" s="1"/>
  <c r="U4" i="1"/>
  <c r="T4" i="1"/>
  <c r="S4" i="1"/>
  <c r="R4" i="1"/>
  <c r="K4" i="1"/>
  <c r="J4" i="1"/>
  <c r="A4" i="1"/>
  <c r="DG3" i="1"/>
  <c r="CV3" i="1"/>
  <c r="CU3" i="1"/>
  <c r="CQ3" i="1"/>
  <c r="CN3" i="1"/>
  <c r="CM3" i="1"/>
  <c r="CR3" i="1" s="1"/>
  <c r="CL3" i="1"/>
  <c r="CK3" i="1" s="1"/>
  <c r="CF3" i="1"/>
  <c r="CC3" i="1"/>
  <c r="CB3" i="1"/>
  <c r="CG3" i="1" s="1"/>
  <c r="CA3" i="1"/>
  <c r="BZ3" i="1"/>
  <c r="BU3" i="1"/>
  <c r="BR3" i="1" s="1"/>
  <c r="BP3" i="1" s="1"/>
  <c r="BO3" i="1" s="1"/>
  <c r="BQ3" i="1"/>
  <c r="BV3" i="1" s="1"/>
  <c r="BK3" i="1"/>
  <c r="BJ3" i="1"/>
  <c r="AM3" i="1"/>
  <c r="AF3" i="1"/>
  <c r="AD3" i="1" s="1" a="1"/>
  <c r="AD3" i="1" s="1"/>
  <c r="AK3" i="1" s="1"/>
  <c r="U3" i="1"/>
  <c r="T3" i="1"/>
  <c r="S3" i="1"/>
  <c r="R3" i="1"/>
  <c r="K3" i="1"/>
  <c r="J3" i="1"/>
  <c r="A3" i="1"/>
  <c r="AM199" i="1" l="1"/>
  <c r="AL199" i="1"/>
  <c r="AL65" i="1"/>
  <c r="AM65" i="1"/>
  <c r="AL201" i="1"/>
  <c r="AM94" i="1"/>
  <c r="BV27" i="1"/>
  <c r="BP27" i="1"/>
  <c r="BO27" i="1" s="1"/>
  <c r="BP38" i="1"/>
  <c r="BO38" i="1" s="1"/>
  <c r="BV38" i="1"/>
  <c r="DB56" i="1"/>
  <c r="DA56" i="1"/>
  <c r="DA5" i="1"/>
  <c r="DB5" i="1"/>
  <c r="DA76" i="1"/>
  <c r="DB76" i="1"/>
  <c r="DB12" i="1"/>
  <c r="DA12" i="1"/>
  <c r="BV28" i="1"/>
  <c r="BP28" i="1"/>
  <c r="BO28" i="1" s="1"/>
  <c r="DB26" i="1"/>
  <c r="DA26" i="1"/>
  <c r="BV64" i="1"/>
  <c r="BP64" i="1"/>
  <c r="BO64" i="1" s="1"/>
  <c r="AM98" i="1"/>
  <c r="AL98" i="1"/>
  <c r="DB61" i="1"/>
  <c r="DA61" i="1"/>
  <c r="CT3" i="1"/>
  <c r="DB16" i="1"/>
  <c r="DA16" i="1"/>
  <c r="CC71" i="1"/>
  <c r="CB71" i="1"/>
  <c r="CM77" i="1"/>
  <c r="CN77" i="1"/>
  <c r="CG102" i="1"/>
  <c r="CA102" i="1"/>
  <c r="BZ102" i="1" s="1"/>
  <c r="CC104" i="1"/>
  <c r="CB104" i="1"/>
  <c r="BV244" i="1"/>
  <c r="BR244" i="1"/>
  <c r="CB72" i="1"/>
  <c r="CC72" i="1"/>
  <c r="CC125" i="1"/>
  <c r="CB125" i="1"/>
  <c r="BQ157" i="1"/>
  <c r="BR157" i="1"/>
  <c r="DB14" i="1"/>
  <c r="CL89" i="1"/>
  <c r="CK89" i="1" s="1"/>
  <c r="CR89" i="1"/>
  <c r="CL103" i="1"/>
  <c r="CK103" i="1" s="1"/>
  <c r="CR103" i="1"/>
  <c r="BQ123" i="1"/>
  <c r="BR123" i="1"/>
  <c r="CN125" i="1"/>
  <c r="CM125" i="1"/>
  <c r="BR153" i="1"/>
  <c r="BQ153" i="1"/>
  <c r="CA195" i="1"/>
  <c r="BZ195" i="1" s="1"/>
  <c r="CG195" i="1"/>
  <c r="CV9" i="1"/>
  <c r="CU9" i="1" s="1"/>
  <c r="CA10" i="1"/>
  <c r="BZ10" i="1" s="1"/>
  <c r="CC13" i="1"/>
  <c r="CA13" i="1" s="1"/>
  <c r="BZ13" i="1" s="1"/>
  <c r="BR15" i="1"/>
  <c r="AM16" i="1"/>
  <c r="CG19" i="1"/>
  <c r="CA19" i="1"/>
  <c r="BZ19" i="1" s="1"/>
  <c r="BP20" i="1"/>
  <c r="BO20" i="1" s="1"/>
  <c r="CU20" i="1"/>
  <c r="CU25" i="1"/>
  <c r="DB29" i="1"/>
  <c r="DA29" i="1"/>
  <c r="CU34" i="1"/>
  <c r="BP37" i="1"/>
  <c r="BO37" i="1" s="1"/>
  <c r="CV37" i="1"/>
  <c r="CU37" i="1" s="1"/>
  <c r="CG38" i="1"/>
  <c r="CA38" i="1"/>
  <c r="BZ38" i="1" s="1"/>
  <c r="CN43" i="1"/>
  <c r="CM43" i="1"/>
  <c r="BR48" i="1"/>
  <c r="BQ48" i="1"/>
  <c r="BR53" i="1"/>
  <c r="BQ53" i="1"/>
  <c r="CL58" i="1"/>
  <c r="CK58" i="1" s="1"/>
  <c r="CB59" i="1"/>
  <c r="CN62" i="1"/>
  <c r="CL62" i="1" s="1"/>
  <c r="CK62" i="1" s="1"/>
  <c r="BR70" i="1"/>
  <c r="CL73" i="1"/>
  <c r="CK73" i="1" s="1"/>
  <c r="CV78" i="1"/>
  <c r="CU78" i="1" s="1"/>
  <c r="CR79" i="1"/>
  <c r="CT97" i="1"/>
  <c r="CC101" i="1"/>
  <c r="CB101" i="1"/>
  <c r="CR107" i="1"/>
  <c r="CC139" i="1"/>
  <c r="CB139" i="1"/>
  <c r="BV182" i="1"/>
  <c r="BP182" i="1"/>
  <c r="BO182" i="1" s="1"/>
  <c r="BQ215" i="1"/>
  <c r="BR215" i="1"/>
  <c r="CG23" i="1"/>
  <c r="CU36" i="1"/>
  <c r="CM37" i="1"/>
  <c r="CN37" i="1"/>
  <c r="DB41" i="1"/>
  <c r="DA41" i="1"/>
  <c r="CL64" i="1"/>
  <c r="CK64" i="1" s="1"/>
  <c r="CR64" i="1"/>
  <c r="CR108" i="1"/>
  <c r="CL108" i="1"/>
  <c r="CK108" i="1" s="1"/>
  <c r="CU15" i="1"/>
  <c r="CV31" i="1"/>
  <c r="CU31" i="1"/>
  <c r="CG103" i="1"/>
  <c r="CA103" i="1"/>
  <c r="BZ103" i="1" s="1"/>
  <c r="CR29" i="1"/>
  <c r="CM78" i="1"/>
  <c r="CN78" i="1"/>
  <c r="BV243" i="1"/>
  <c r="BR243" i="1"/>
  <c r="CG7" i="1"/>
  <c r="DB45" i="1"/>
  <c r="DA45" i="1"/>
  <c r="CN65" i="1"/>
  <c r="CM65" i="1"/>
  <c r="CR90" i="1"/>
  <c r="CL90" i="1"/>
  <c r="CK90" i="1" s="1"/>
  <c r="CR97" i="1"/>
  <c r="CC140" i="1"/>
  <c r="CB140" i="1"/>
  <c r="BP197" i="1"/>
  <c r="BO197" i="1" s="1"/>
  <c r="BV197" i="1"/>
  <c r="CL5" i="1"/>
  <c r="CK5" i="1" s="1"/>
  <c r="CR7" i="1"/>
  <c r="CL7" i="1"/>
  <c r="CK7" i="1" s="1"/>
  <c r="CC10" i="1"/>
  <c r="BV15" i="1"/>
  <c r="BP15" i="1"/>
  <c r="BO15" i="1" s="1"/>
  <c r="CR18" i="1"/>
  <c r="BR20" i="1"/>
  <c r="CU23" i="1"/>
  <c r="CN24" i="1"/>
  <c r="BR25" i="1"/>
  <c r="BP25" i="1" s="1"/>
  <c r="BO25" i="1" s="1"/>
  <c r="CL26" i="1"/>
  <c r="CK26" i="1" s="1"/>
  <c r="BQ32" i="1"/>
  <c r="BQ34" i="1"/>
  <c r="BR37" i="1"/>
  <c r="BZ50" i="1"/>
  <c r="BP51" i="1"/>
  <c r="BO51" i="1" s="1"/>
  <c r="DA51" i="1"/>
  <c r="DA54" i="1"/>
  <c r="BQ61" i="1"/>
  <c r="CL68" i="1"/>
  <c r="CK68" i="1" s="1"/>
  <c r="BP70" i="1"/>
  <c r="BO70" i="1" s="1"/>
  <c r="CV71" i="1"/>
  <c r="CU71" i="1"/>
  <c r="CL75" i="1"/>
  <c r="CK75" i="1" s="1"/>
  <c r="BP82" i="1"/>
  <c r="BO82" i="1" s="1"/>
  <c r="DA89" i="1"/>
  <c r="DB89" i="1"/>
  <c r="CC110" i="1"/>
  <c r="CB110" i="1"/>
  <c r="CG134" i="1"/>
  <c r="CA134" i="1"/>
  <c r="BZ134" i="1" s="1"/>
  <c r="CB147" i="1"/>
  <c r="BV220" i="1"/>
  <c r="BP220" i="1"/>
  <c r="BO220" i="1" s="1"/>
  <c r="BP13" i="1"/>
  <c r="BO13" i="1" s="1"/>
  <c r="CU21" i="1"/>
  <c r="CU22" i="1"/>
  <c r="CC30" i="1"/>
  <c r="CB30" i="1"/>
  <c r="CV36" i="1"/>
  <c r="CL91" i="1"/>
  <c r="CK91" i="1" s="1"/>
  <c r="CR91" i="1"/>
  <c r="BR94" i="1"/>
  <c r="BQ94" i="1"/>
  <c r="CC225" i="1"/>
  <c r="CB225" i="1"/>
  <c r="CB43" i="1"/>
  <c r="CC43" i="1"/>
  <c r="CU53" i="1"/>
  <c r="CM128" i="1"/>
  <c r="CN128" i="1"/>
  <c r="CG201" i="1"/>
  <c r="DB10" i="1"/>
  <c r="BP14" i="1"/>
  <c r="BO14" i="1" s="1"/>
  <c r="CN13" i="1"/>
  <c r="CM13" i="1"/>
  <c r="CV18" i="1"/>
  <c r="CU18" i="1"/>
  <c r="AM28" i="1"/>
  <c r="AL28" i="1"/>
  <c r="BR42" i="1"/>
  <c r="BQ42" i="1"/>
  <c r="DB86" i="1"/>
  <c r="DA86" i="1"/>
  <c r="CR113" i="1"/>
  <c r="CL113" i="1"/>
  <c r="CK113" i="1" s="1"/>
  <c r="BQ236" i="1"/>
  <c r="BO236" i="1"/>
  <c r="DB8" i="1"/>
  <c r="DB27" i="1"/>
  <c r="DA27" i="1"/>
  <c r="CB60" i="1"/>
  <c r="CC60" i="1"/>
  <c r="DB62" i="1"/>
  <c r="DA62" i="1"/>
  <c r="CU67" i="1"/>
  <c r="BR98" i="1"/>
  <c r="BQ98" i="1"/>
  <c r="CL88" i="1"/>
  <c r="CK88" i="1" s="1"/>
  <c r="CR88" i="1"/>
  <c r="BR91" i="1"/>
  <c r="BQ91" i="1"/>
  <c r="CN94" i="1"/>
  <c r="CM94" i="1"/>
  <c r="CA146" i="1"/>
  <c r="BZ146" i="1" s="1"/>
  <c r="CG146" i="1"/>
  <c r="CC171" i="1"/>
  <c r="CB171" i="1"/>
  <c r="CN53" i="1"/>
  <c r="CM53" i="1"/>
  <c r="BR68" i="1"/>
  <c r="BQ68" i="1"/>
  <c r="BV76" i="1"/>
  <c r="BP76" i="1"/>
  <c r="BO76" i="1" s="1"/>
  <c r="CL25" i="1"/>
  <c r="CK25" i="1" s="1"/>
  <c r="CU33" i="1"/>
  <c r="CC58" i="1"/>
  <c r="CB58" i="1"/>
  <c r="CR126" i="1"/>
  <c r="CL126" i="1"/>
  <c r="CK126" i="1" s="1"/>
  <c r="CM16" i="1"/>
  <c r="CN16" i="1"/>
  <c r="BV124" i="1"/>
  <c r="BP124" i="1"/>
  <c r="BO124" i="1" s="1"/>
  <c r="CR24" i="1"/>
  <c r="CL24" i="1"/>
  <c r="CK24" i="1" s="1"/>
  <c r="CC41" i="1"/>
  <c r="CB41" i="1"/>
  <c r="BV246" i="1"/>
  <c r="BR246" i="1"/>
  <c r="CB4" i="1"/>
  <c r="CG4" i="1" s="1"/>
  <c r="CB14" i="1"/>
  <c r="CC14" i="1"/>
  <c r="CL63" i="1"/>
  <c r="CK63" i="1" s="1"/>
  <c r="CV67" i="1"/>
  <c r="DB43" i="1"/>
  <c r="CC45" i="1"/>
  <c r="CB45" i="1"/>
  <c r="CU50" i="1"/>
  <c r="CC51" i="1"/>
  <c r="CB51" i="1"/>
  <c r="CR63" i="1"/>
  <c r="BV65" i="1"/>
  <c r="BP65" i="1"/>
  <c r="BO65" i="1" s="1"/>
  <c r="DB72" i="1"/>
  <c r="CA82" i="1"/>
  <c r="BZ82" i="1" s="1"/>
  <c r="CG82" i="1"/>
  <c r="BV86" i="1"/>
  <c r="CR87" i="1"/>
  <c r="DB93" i="1"/>
  <c r="DA93" i="1"/>
  <c r="CN117" i="1"/>
  <c r="CM117" i="1"/>
  <c r="BV132" i="1"/>
  <c r="BP132" i="1"/>
  <c r="BO132" i="1" s="1"/>
  <c r="CU17" i="1"/>
  <c r="CL23" i="1"/>
  <c r="CK23" i="1" s="1"/>
  <c r="BR36" i="1"/>
  <c r="BQ36" i="1"/>
  <c r="CA40" i="1"/>
  <c r="BZ40" i="1" s="1"/>
  <c r="DB60" i="1"/>
  <c r="DA60" i="1"/>
  <c r="AM64" i="1"/>
  <c r="CA112" i="1"/>
  <c r="BZ112" i="1" s="1"/>
  <c r="CG112" i="1"/>
  <c r="CG40" i="1"/>
  <c r="BQ84" i="1"/>
  <c r="BR84" i="1"/>
  <c r="CC93" i="1"/>
  <c r="CB93" i="1"/>
  <c r="DA42" i="1"/>
  <c r="CB47" i="1"/>
  <c r="CC47" i="1"/>
  <c r="DB55" i="1"/>
  <c r="DA55" i="1"/>
  <c r="AM63" i="1"/>
  <c r="AL63" i="1"/>
  <c r="CR67" i="1"/>
  <c r="CC69" i="1"/>
  <c r="CB69" i="1"/>
  <c r="CM84" i="1"/>
  <c r="CN84" i="1"/>
  <c r="BQ122" i="1"/>
  <c r="BR122" i="1"/>
  <c r="CC130" i="1"/>
  <c r="CB130" i="1"/>
  <c r="CB169" i="1"/>
  <c r="CC169" i="1"/>
  <c r="CR19" i="1"/>
  <c r="CL19" i="1"/>
  <c r="CK19" i="1" s="1"/>
  <c r="CU32" i="1"/>
  <c r="BV79" i="1"/>
  <c r="BP79" i="1"/>
  <c r="BO79" i="1" s="1"/>
  <c r="BP167" i="1"/>
  <c r="BO167" i="1" s="1"/>
  <c r="BV167" i="1"/>
  <c r="BP16" i="1"/>
  <c r="BO16" i="1" s="1"/>
  <c r="CU24" i="1"/>
  <c r="DB49" i="1"/>
  <c r="DA49" i="1"/>
  <c r="CL52" i="1"/>
  <c r="CK52" i="1" s="1"/>
  <c r="CR52" i="1"/>
  <c r="DB84" i="1"/>
  <c r="DA84" i="1"/>
  <c r="BV16" i="1"/>
  <c r="BV23" i="1"/>
  <c r="CG25" i="1"/>
  <c r="CA25" i="1"/>
  <c r="BZ25" i="1" s="1"/>
  <c r="CM4" i="1"/>
  <c r="DA7" i="1"/>
  <c r="CV13" i="1"/>
  <c r="CU13" i="1" s="1"/>
  <c r="CM17" i="1"/>
  <c r="CL22" i="1"/>
  <c r="CK22" i="1" s="1"/>
  <c r="BQ24" i="1"/>
  <c r="BQ26" i="1"/>
  <c r="CU28" i="1"/>
  <c r="BQ30" i="1"/>
  <c r="CM36" i="1"/>
  <c r="CU38" i="1"/>
  <c r="BR46" i="1"/>
  <c r="BP46" i="1" s="1"/>
  <c r="BO46" i="1" s="1"/>
  <c r="CL51" i="1"/>
  <c r="CK51" i="1" s="1"/>
  <c r="CR51" i="1"/>
  <c r="CB54" i="1"/>
  <c r="BP55" i="1"/>
  <c r="BO55" i="1" s="1"/>
  <c r="BV55" i="1"/>
  <c r="BR56" i="1"/>
  <c r="CU59" i="1"/>
  <c r="CG70" i="1"/>
  <c r="BR80" i="1"/>
  <c r="BQ80" i="1"/>
  <c r="CG86" i="1"/>
  <c r="CA86" i="1"/>
  <c r="BZ86" i="1" s="1"/>
  <c r="DA92" i="1"/>
  <c r="DB92" i="1"/>
  <c r="CC98" i="1"/>
  <c r="CB98" i="1"/>
  <c r="CC121" i="1"/>
  <c r="BV128" i="1"/>
  <c r="BP128" i="1"/>
  <c r="BO128" i="1" s="1"/>
  <c r="BV161" i="1"/>
  <c r="BP161" i="1"/>
  <c r="BO161" i="1" s="1"/>
  <c r="BP171" i="1"/>
  <c r="BO171" i="1" s="1"/>
  <c r="BV171" i="1"/>
  <c r="CG182" i="1"/>
  <c r="CA182" i="1"/>
  <c r="BZ182" i="1" s="1"/>
  <c r="CC48" i="1"/>
  <c r="CB48" i="1"/>
  <c r="CU30" i="1"/>
  <c r="CV30" i="1"/>
  <c r="CN47" i="1"/>
  <c r="CM47" i="1"/>
  <c r="CN14" i="1"/>
  <c r="CM14" i="1"/>
  <c r="CR6" i="1"/>
  <c r="CL6" i="1"/>
  <c r="CK6" i="1" s="1"/>
  <c r="BR13" i="1"/>
  <c r="CN15" i="1"/>
  <c r="CM15" i="1"/>
  <c r="CA16" i="1"/>
  <c r="BZ16" i="1" s="1"/>
  <c r="BP19" i="1"/>
  <c r="BO19" i="1" s="1"/>
  <c r="CU19" i="1"/>
  <c r="AL22" i="1"/>
  <c r="AM22" i="1"/>
  <c r="CR22" i="1"/>
  <c r="CC23" i="1"/>
  <c r="CA23" i="1" s="1"/>
  <c r="BZ23" i="1" s="1"/>
  <c r="CC35" i="1"/>
  <c r="CB35" i="1"/>
  <c r="CL39" i="1"/>
  <c r="CK39" i="1" s="1"/>
  <c r="BV40" i="1"/>
  <c r="BP40" i="1"/>
  <c r="BO40" i="1" s="1"/>
  <c r="CR42" i="1"/>
  <c r="CL42" i="1"/>
  <c r="CK42" i="1" s="1"/>
  <c r="CL45" i="1"/>
  <c r="CK45" i="1" s="1"/>
  <c r="BP56" i="1"/>
  <c r="BO56" i="1" s="1"/>
  <c r="BP59" i="1"/>
  <c r="BO59" i="1" s="1"/>
  <c r="BP63" i="1"/>
  <c r="BO63" i="1" s="1"/>
  <c r="BR73" i="1"/>
  <c r="BQ73" i="1"/>
  <c r="DA73" i="1"/>
  <c r="DB80" i="1"/>
  <c r="CC83" i="1"/>
  <c r="CB83" i="1"/>
  <c r="CL85" i="1"/>
  <c r="CK85" i="1" s="1"/>
  <c r="CL106" i="1"/>
  <c r="CK106" i="1" s="1"/>
  <c r="CM109" i="1"/>
  <c r="CN109" i="1"/>
  <c r="CL116" i="1"/>
  <c r="CK116" i="1" s="1"/>
  <c r="CG121" i="1"/>
  <c r="CA121" i="1"/>
  <c r="BZ121" i="1" s="1"/>
  <c r="AM123" i="1"/>
  <c r="AL123" i="1"/>
  <c r="CL129" i="1"/>
  <c r="CK129" i="1" s="1"/>
  <c r="CR133" i="1"/>
  <c r="CL133" i="1"/>
  <c r="CK133" i="1" s="1"/>
  <c r="CV58" i="1"/>
  <c r="CU58" i="1"/>
  <c r="CC61" i="1"/>
  <c r="CB61" i="1"/>
  <c r="BP67" i="1"/>
  <c r="BO67" i="1" s="1"/>
  <c r="CV69" i="1"/>
  <c r="CU69" i="1"/>
  <c r="CC76" i="1"/>
  <c r="CB76" i="1"/>
  <c r="CC88" i="1"/>
  <c r="CB88" i="1"/>
  <c r="CN99" i="1"/>
  <c r="CM99" i="1"/>
  <c r="CC137" i="1"/>
  <c r="CB137" i="1"/>
  <c r="BP142" i="1"/>
  <c r="BO142" i="1" s="1"/>
  <c r="BR181" i="1"/>
  <c r="BQ181" i="1"/>
  <c r="BV194" i="1"/>
  <c r="BP194" i="1"/>
  <c r="BO194" i="1" s="1"/>
  <c r="CM70" i="1"/>
  <c r="CN70" i="1"/>
  <c r="CA165" i="1"/>
  <c r="BZ165" i="1" s="1"/>
  <c r="CG165" i="1"/>
  <c r="CG174" i="1"/>
  <c r="CA174" i="1"/>
  <c r="BZ174" i="1" s="1"/>
  <c r="CG176" i="1"/>
  <c r="CA176" i="1"/>
  <c r="BZ176" i="1" s="1"/>
  <c r="BP187" i="1"/>
  <c r="BO187" i="1" s="1"/>
  <c r="BV187" i="1"/>
  <c r="CU4" i="1"/>
  <c r="CN12" i="1"/>
  <c r="CL12" i="1" s="1"/>
  <c r="CK12" i="1" s="1"/>
  <c r="BP39" i="1"/>
  <c r="BO39" i="1" s="1"/>
  <c r="CB46" i="1"/>
  <c r="CN50" i="1"/>
  <c r="CL59" i="1"/>
  <c r="CK59" i="1" s="1"/>
  <c r="CU66" i="1"/>
  <c r="CC67" i="1"/>
  <c r="CB67" i="1"/>
  <c r="CC84" i="1"/>
  <c r="CB84" i="1"/>
  <c r="CV90" i="1"/>
  <c r="CU90" i="1"/>
  <c r="CV94" i="1"/>
  <c r="CU94" i="1" s="1"/>
  <c r="CA106" i="1"/>
  <c r="BZ106" i="1" s="1"/>
  <c r="CG106" i="1"/>
  <c r="BV113" i="1"/>
  <c r="BP113" i="1"/>
  <c r="BO113" i="1" s="1"/>
  <c r="CR119" i="1"/>
  <c r="CL119" i="1"/>
  <c r="CK119" i="1" s="1"/>
  <c r="BV214" i="1"/>
  <c r="BP214" i="1"/>
  <c r="BO214" i="1" s="1"/>
  <c r="CN95" i="1"/>
  <c r="CM95" i="1"/>
  <c r="DB48" i="1"/>
  <c r="DA48" i="1"/>
  <c r="BQ66" i="1"/>
  <c r="BR66" i="1"/>
  <c r="BR83" i="1"/>
  <c r="BQ83" i="1"/>
  <c r="BV89" i="1"/>
  <c r="BP93" i="1"/>
  <c r="BO93" i="1" s="1"/>
  <c r="BV93" i="1"/>
  <c r="BQ100" i="1"/>
  <c r="BR100" i="1"/>
  <c r="BR108" i="1"/>
  <c r="BQ108" i="1"/>
  <c r="BR110" i="1"/>
  <c r="BQ110" i="1"/>
  <c r="BR135" i="1"/>
  <c r="BQ135" i="1"/>
  <c r="BR149" i="1"/>
  <c r="BQ149" i="1"/>
  <c r="BP154" i="1"/>
  <c r="BO154" i="1" s="1"/>
  <c r="BV154" i="1"/>
  <c r="BR173" i="1"/>
  <c r="BP173" i="1" s="1"/>
  <c r="BO173" i="1" s="1"/>
  <c r="CB233" i="1"/>
  <c r="CC234" i="1"/>
  <c r="CG234" i="1"/>
  <c r="BV97" i="1"/>
  <c r="BP97" i="1"/>
  <c r="BO97" i="1" s="1"/>
  <c r="CU6" i="1"/>
  <c r="CR50" i="1"/>
  <c r="BQ54" i="1"/>
  <c r="BR54" i="1"/>
  <c r="CC55" i="1"/>
  <c r="CB55" i="1"/>
  <c r="CU70" i="1"/>
  <c r="DB75" i="1"/>
  <c r="DA77" i="1"/>
  <c r="BP90" i="1"/>
  <c r="BO90" i="1" s="1"/>
  <c r="CV95" i="1"/>
  <c r="CU95" i="1" s="1"/>
  <c r="BV112" i="1"/>
  <c r="BR125" i="1"/>
  <c r="BQ125" i="1"/>
  <c r="BP134" i="1"/>
  <c r="BO134" i="1" s="1"/>
  <c r="CB124" i="1"/>
  <c r="CC124" i="1"/>
  <c r="CL144" i="1"/>
  <c r="CK144" i="1" s="1"/>
  <c r="CA157" i="1"/>
  <c r="BZ157" i="1" s="1"/>
  <c r="CG157" i="1"/>
  <c r="CA173" i="1"/>
  <c r="BZ173" i="1" s="1"/>
  <c r="CG173" i="1"/>
  <c r="CU79" i="1"/>
  <c r="CA89" i="1"/>
  <c r="BZ89" i="1" s="1"/>
  <c r="AM91" i="1"/>
  <c r="AL91" i="1"/>
  <c r="CC111" i="1"/>
  <c r="CB111" i="1"/>
  <c r="CC133" i="1"/>
  <c r="CB133" i="1"/>
  <c r="BR141" i="1"/>
  <c r="BQ141" i="1"/>
  <c r="CR144" i="1"/>
  <c r="BR165" i="1"/>
  <c r="BQ165" i="1"/>
  <c r="BR192" i="1"/>
  <c r="BQ192" i="1"/>
  <c r="CC129" i="1"/>
  <c r="CB129" i="1"/>
  <c r="BQ148" i="1"/>
  <c r="BR148" i="1"/>
  <c r="BR189" i="1"/>
  <c r="BQ189" i="1"/>
  <c r="CF224" i="1"/>
  <c r="CB224" i="1" s="1"/>
  <c r="CU87" i="1"/>
  <c r="CU91" i="1"/>
  <c r="BR114" i="1"/>
  <c r="BQ114" i="1"/>
  <c r="CB120" i="1"/>
  <c r="CC120" i="1"/>
  <c r="BR137" i="1"/>
  <c r="BQ137" i="1"/>
  <c r="BV140" i="1"/>
  <c r="CC152" i="1"/>
  <c r="CB152" i="1"/>
  <c r="BP176" i="1"/>
  <c r="BO176" i="1" s="1"/>
  <c r="BV176" i="1"/>
  <c r="CG179" i="1"/>
  <c r="CA179" i="1"/>
  <c r="BZ179" i="1" s="1"/>
  <c r="CU81" i="1"/>
  <c r="CV87" i="1"/>
  <c r="CV91" i="1"/>
  <c r="CR93" i="1"/>
  <c r="CN131" i="1"/>
  <c r="CM131" i="1"/>
  <c r="BV136" i="1"/>
  <c r="BP136" i="1"/>
  <c r="BO136" i="1" s="1"/>
  <c r="BV201" i="1"/>
  <c r="BP201" i="1"/>
  <c r="BO201" i="1" s="1"/>
  <c r="BP207" i="1"/>
  <c r="BO207" i="1" s="1"/>
  <c r="BV207" i="1"/>
  <c r="BQ230" i="1"/>
  <c r="CN135" i="1"/>
  <c r="CM135" i="1"/>
  <c r="CR235" i="1"/>
  <c r="CR137" i="1"/>
  <c r="CN138" i="1"/>
  <c r="CM138" i="1"/>
  <c r="CA175" i="1"/>
  <c r="BZ175" i="1" s="1"/>
  <c r="CA181" i="1"/>
  <c r="BZ181" i="1" s="1"/>
  <c r="CG181" i="1"/>
  <c r="CA189" i="1"/>
  <c r="BZ189" i="1" s="1"/>
  <c r="CG189" i="1"/>
  <c r="BP191" i="1"/>
  <c r="BO191" i="1" s="1"/>
  <c r="CC226" i="1"/>
  <c r="CB226" i="1"/>
  <c r="CG226" i="1" s="1"/>
  <c r="CB91" i="1"/>
  <c r="CB95" i="1"/>
  <c r="CL98" i="1"/>
  <c r="CK98" i="1" s="1"/>
  <c r="CC99" i="1"/>
  <c r="CA99" i="1" s="1"/>
  <c r="BZ99" i="1" s="1"/>
  <c r="BP102" i="1"/>
  <c r="BO102" i="1" s="1"/>
  <c r="CM110" i="1"/>
  <c r="CB118" i="1"/>
  <c r="BR144" i="1"/>
  <c r="BP144" i="1" s="1"/>
  <c r="BO144" i="1" s="1"/>
  <c r="BP150" i="1"/>
  <c r="BO150" i="1" s="1"/>
  <c r="CA167" i="1"/>
  <c r="BZ167" i="1" s="1"/>
  <c r="BP185" i="1"/>
  <c r="BO185" i="1" s="1"/>
  <c r="BQ188" i="1"/>
  <c r="BU231" i="1"/>
  <c r="BQ231" i="1" s="1"/>
  <c r="BR231" i="1"/>
  <c r="CR114" i="1"/>
  <c r="BQ130" i="1"/>
  <c r="BR130" i="1"/>
  <c r="CG183" i="1"/>
  <c r="CA183" i="1"/>
  <c r="BZ183" i="1" s="1"/>
  <c r="BQ126" i="1"/>
  <c r="BR126" i="1"/>
  <c r="BR127" i="1"/>
  <c r="BQ127" i="1"/>
  <c r="BR131" i="1"/>
  <c r="BQ131" i="1"/>
  <c r="BR143" i="1"/>
  <c r="BQ143" i="1"/>
  <c r="CG175" i="1"/>
  <c r="BV191" i="1"/>
  <c r="BR193" i="1"/>
  <c r="BQ193" i="1"/>
  <c r="BQ133" i="1"/>
  <c r="CB135" i="1"/>
  <c r="CB177" i="1"/>
  <c r="CA207" i="1"/>
  <c r="BZ207" i="1" s="1"/>
  <c r="BR240" i="1"/>
  <c r="BV240" i="1"/>
  <c r="CN142" i="1"/>
  <c r="CL142" i="1" s="1"/>
  <c r="CK142" i="1" s="1"/>
  <c r="BR155" i="1"/>
  <c r="BP155" i="1" s="1"/>
  <c r="BO155" i="1" s="1"/>
  <c r="BP163" i="1"/>
  <c r="BO163" i="1" s="1"/>
  <c r="BV163" i="1"/>
  <c r="BQ172" i="1"/>
  <c r="BP175" i="1"/>
  <c r="BO175" i="1" s="1"/>
  <c r="BR183" i="1"/>
  <c r="BQ183" i="1"/>
  <c r="BR195" i="1"/>
  <c r="BQ196" i="1"/>
  <c r="BP199" i="1"/>
  <c r="BO199" i="1" s="1"/>
  <c r="BV199" i="1"/>
  <c r="BV227" i="1"/>
  <c r="BR227" i="1"/>
  <c r="CN127" i="1"/>
  <c r="CM127" i="1"/>
  <c r="CM148" i="1"/>
  <c r="CN148" i="1"/>
  <c r="CN149" i="1"/>
  <c r="CM149" i="1"/>
  <c r="BP195" i="1"/>
  <c r="BO195" i="1" s="1"/>
  <c r="BP174" i="1"/>
  <c r="BO174" i="1" s="1"/>
  <c r="BP179" i="1"/>
  <c r="BO179" i="1" s="1"/>
  <c r="BV179" i="1"/>
  <c r="BV195" i="1"/>
  <c r="CB203" i="1"/>
  <c r="CC203" i="1"/>
  <c r="CG207" i="1"/>
  <c r="BP219" i="1"/>
  <c r="BO219" i="1" s="1"/>
  <c r="CA153" i="1"/>
  <c r="BZ153" i="1" s="1"/>
  <c r="CC154" i="1"/>
  <c r="CA154" i="1" s="1"/>
  <c r="BZ154" i="1" s="1"/>
  <c r="BQ169" i="1"/>
  <c r="BP178" i="1"/>
  <c r="BO178" i="1" s="1"/>
  <c r="BP203" i="1"/>
  <c r="BO203" i="1" s="1"/>
  <c r="BV203" i="1"/>
  <c r="CA205" i="1"/>
  <c r="BZ205" i="1" s="1"/>
  <c r="CG214" i="1"/>
  <c r="CA214" i="1"/>
  <c r="BZ214" i="1" s="1"/>
  <c r="BP159" i="1"/>
  <c r="BO159" i="1" s="1"/>
  <c r="CB162" i="1"/>
  <c r="BP177" i="1"/>
  <c r="BO177" i="1" s="1"/>
  <c r="BQ184" i="1"/>
  <c r="AM187" i="1"/>
  <c r="AL187" i="1"/>
  <c r="CG205" i="1"/>
  <c r="CA209" i="1"/>
  <c r="BZ209" i="1" s="1"/>
  <c r="CA217" i="1"/>
  <c r="BZ217" i="1" s="1"/>
  <c r="CG217" i="1"/>
  <c r="CA218" i="1"/>
  <c r="BZ218" i="1" s="1"/>
  <c r="BQ222" i="1"/>
  <c r="BV229" i="1"/>
  <c r="BP229" i="1"/>
  <c r="BO229" i="1" s="1"/>
  <c r="BR233" i="1"/>
  <c r="BV233" i="1"/>
  <c r="BR168" i="1"/>
  <c r="BQ168" i="1"/>
  <c r="CA185" i="1"/>
  <c r="BZ185" i="1" s="1"/>
  <c r="CG185" i="1"/>
  <c r="CC213" i="1"/>
  <c r="CB213" i="1"/>
  <c r="CB191" i="1"/>
  <c r="CB193" i="1"/>
  <c r="CB197" i="1"/>
  <c r="BQ209" i="1"/>
  <c r="BQ211" i="1"/>
  <c r="CA215" i="1"/>
  <c r="BZ215" i="1" s="1"/>
  <c r="BP225" i="1"/>
  <c r="BO225" i="1" s="1"/>
  <c r="BR229" i="1"/>
  <c r="CG242" i="1"/>
  <c r="CC242" i="1"/>
  <c r="CB190" i="1"/>
  <c r="BQ208" i="1"/>
  <c r="BQ212" i="1"/>
  <c r="CC215" i="1"/>
  <c r="BV225" i="1"/>
  <c r="CC227" i="1"/>
  <c r="CC239" i="1"/>
  <c r="CG240" i="1"/>
  <c r="CC240" i="1"/>
  <c r="BV245" i="1"/>
  <c r="BR245" i="1"/>
  <c r="CQ224" i="1"/>
  <c r="CN224" i="1" s="1"/>
  <c r="CC246" i="1"/>
  <c r="CG224" i="1" l="1"/>
  <c r="DB37" i="1"/>
  <c r="DA37" i="1"/>
  <c r="DB9" i="1"/>
  <c r="DA9" i="1"/>
  <c r="DA94" i="1"/>
  <c r="DB94" i="1"/>
  <c r="DB78" i="1"/>
  <c r="DA78" i="1"/>
  <c r="DB13" i="1"/>
  <c r="DA13" i="1"/>
  <c r="BV231" i="1"/>
  <c r="BP231" i="1"/>
  <c r="BO231" i="1" s="1"/>
  <c r="DB95" i="1"/>
  <c r="DA95" i="1"/>
  <c r="BV184" i="1"/>
  <c r="BP184" i="1"/>
  <c r="BO184" i="1" s="1"/>
  <c r="BP230" i="1"/>
  <c r="BO230" i="1" s="1"/>
  <c r="BV230" i="1"/>
  <c r="BP54" i="1"/>
  <c r="BO54" i="1" s="1"/>
  <c r="BV54" i="1"/>
  <c r="DB58" i="1"/>
  <c r="DA58" i="1"/>
  <c r="CL17" i="1"/>
  <c r="CK17" i="1" s="1"/>
  <c r="CR17" i="1"/>
  <c r="CG104" i="1"/>
  <c r="CA104" i="1"/>
  <c r="BZ104" i="1" s="1"/>
  <c r="BV133" i="1"/>
  <c r="BP133" i="1"/>
  <c r="BO133" i="1" s="1"/>
  <c r="BV209" i="1"/>
  <c r="BP209" i="1"/>
  <c r="BO209" i="1" s="1"/>
  <c r="DB91" i="1"/>
  <c r="DA91" i="1"/>
  <c r="CA83" i="1"/>
  <c r="BZ83" i="1" s="1"/>
  <c r="CG83" i="1"/>
  <c r="DA24" i="1"/>
  <c r="DB24" i="1"/>
  <c r="BV165" i="1"/>
  <c r="BP165" i="1"/>
  <c r="BO165" i="1" s="1"/>
  <c r="CA88" i="1"/>
  <c r="BZ88" i="1" s="1"/>
  <c r="CG88" i="1"/>
  <c r="BP68" i="1"/>
  <c r="BO68" i="1" s="1"/>
  <c r="BV68" i="1"/>
  <c r="BV94" i="1"/>
  <c r="BP94" i="1"/>
  <c r="BO94" i="1" s="1"/>
  <c r="BV53" i="1"/>
  <c r="BP53" i="1"/>
  <c r="BO53" i="1" s="1"/>
  <c r="BV212" i="1"/>
  <c r="BP212" i="1"/>
  <c r="BO212" i="1" s="1"/>
  <c r="CA193" i="1"/>
  <c r="BZ193" i="1" s="1"/>
  <c r="CG193" i="1"/>
  <c r="BP222" i="1"/>
  <c r="BO222" i="1" s="1"/>
  <c r="BV222" i="1"/>
  <c r="CA203" i="1"/>
  <c r="BZ203" i="1" s="1"/>
  <c r="CG203" i="1"/>
  <c r="CL110" i="1"/>
  <c r="CK110" i="1" s="1"/>
  <c r="CR110" i="1"/>
  <c r="CC224" i="1"/>
  <c r="CA224" i="1" s="1"/>
  <c r="BZ224" i="1" s="1"/>
  <c r="BP66" i="1"/>
  <c r="BO66" i="1" s="1"/>
  <c r="BV66" i="1"/>
  <c r="CG46" i="1"/>
  <c r="CA46" i="1"/>
  <c r="BZ46" i="1" s="1"/>
  <c r="BP122" i="1"/>
  <c r="BO122" i="1" s="1"/>
  <c r="BV122" i="1"/>
  <c r="BV36" i="1"/>
  <c r="BP36" i="1"/>
  <c r="BO36" i="1" s="1"/>
  <c r="BV236" i="1"/>
  <c r="BR236" i="1"/>
  <c r="BV61" i="1"/>
  <c r="BP61" i="1"/>
  <c r="BO61" i="1" s="1"/>
  <c r="CA101" i="1"/>
  <c r="BZ101" i="1" s="1"/>
  <c r="CG101" i="1"/>
  <c r="DB25" i="1"/>
  <c r="DA25" i="1"/>
  <c r="BP114" i="1"/>
  <c r="BO114" i="1" s="1"/>
  <c r="BV114" i="1"/>
  <c r="DB30" i="1"/>
  <c r="DA30" i="1"/>
  <c r="CL99" i="1"/>
  <c r="CK99" i="1" s="1"/>
  <c r="CR99" i="1"/>
  <c r="CA162" i="1"/>
  <c r="BZ162" i="1" s="1"/>
  <c r="CG162" i="1"/>
  <c r="CR127" i="1"/>
  <c r="CL127" i="1"/>
  <c r="CK127" i="1" s="1"/>
  <c r="BP193" i="1"/>
  <c r="BO193" i="1" s="1"/>
  <c r="BV193" i="1"/>
  <c r="DB6" i="1"/>
  <c r="DA6" i="1"/>
  <c r="CR15" i="1"/>
  <c r="CL15" i="1"/>
  <c r="CK15" i="1" s="1"/>
  <c r="CG140" i="1"/>
  <c r="CA140" i="1"/>
  <c r="BZ140" i="1" s="1"/>
  <c r="CA197" i="1"/>
  <c r="BZ197" i="1" s="1"/>
  <c r="CG197" i="1"/>
  <c r="CA118" i="1"/>
  <c r="BZ118" i="1" s="1"/>
  <c r="CG118" i="1"/>
  <c r="DB87" i="1"/>
  <c r="DA87" i="1"/>
  <c r="DA79" i="1"/>
  <c r="DB79" i="1"/>
  <c r="BP110" i="1"/>
  <c r="BO110" i="1" s="1"/>
  <c r="BV110" i="1"/>
  <c r="CL4" i="1"/>
  <c r="CK4" i="1" s="1"/>
  <c r="CR4" i="1"/>
  <c r="CA47" i="1"/>
  <c r="BZ47" i="1" s="1"/>
  <c r="CG47" i="1"/>
  <c r="CL13" i="1"/>
  <c r="CK13" i="1" s="1"/>
  <c r="CR13" i="1"/>
  <c r="CG147" i="1"/>
  <c r="CA147" i="1"/>
  <c r="BZ147" i="1" s="1"/>
  <c r="DB23" i="1"/>
  <c r="DA23" i="1"/>
  <c r="CL78" i="1"/>
  <c r="CK78" i="1" s="1"/>
  <c r="CR78" i="1"/>
  <c r="BV208" i="1"/>
  <c r="BP208" i="1"/>
  <c r="BO208" i="1" s="1"/>
  <c r="CG191" i="1"/>
  <c r="CA191" i="1"/>
  <c r="BZ191" i="1" s="1"/>
  <c r="BP130" i="1"/>
  <c r="BO130" i="1" s="1"/>
  <c r="BV130" i="1"/>
  <c r="CG152" i="1"/>
  <c r="CA152" i="1"/>
  <c r="BZ152" i="1" s="1"/>
  <c r="BP108" i="1"/>
  <c r="BO108" i="1" s="1"/>
  <c r="BV108" i="1"/>
  <c r="CR70" i="1"/>
  <c r="CL70" i="1"/>
  <c r="CK70" i="1" s="1"/>
  <c r="CG76" i="1"/>
  <c r="CA76" i="1"/>
  <c r="BZ76" i="1" s="1"/>
  <c r="CA35" i="1"/>
  <c r="BZ35" i="1" s="1"/>
  <c r="CG35" i="1"/>
  <c r="DB38" i="1"/>
  <c r="DA38" i="1"/>
  <c r="CA93" i="1"/>
  <c r="BZ93" i="1" s="1"/>
  <c r="CG93" i="1"/>
  <c r="CR53" i="1"/>
  <c r="CL53" i="1"/>
  <c r="CK53" i="1" s="1"/>
  <c r="BV98" i="1"/>
  <c r="BP98" i="1"/>
  <c r="BO98" i="1" s="1"/>
  <c r="CL37" i="1"/>
  <c r="CK37" i="1" s="1"/>
  <c r="CR37" i="1"/>
  <c r="BV48" i="1"/>
  <c r="BP48" i="1"/>
  <c r="BO48" i="1" s="1"/>
  <c r="BP153" i="1"/>
  <c r="BO153" i="1" s="1"/>
  <c r="BV153" i="1"/>
  <c r="BV157" i="1"/>
  <c r="BP157" i="1"/>
  <c r="BO157" i="1" s="1"/>
  <c r="CR77" i="1"/>
  <c r="CL77" i="1"/>
  <c r="CK77" i="1" s="1"/>
  <c r="CG135" i="1"/>
  <c r="CA135" i="1"/>
  <c r="BZ135" i="1" s="1"/>
  <c r="DB81" i="1"/>
  <c r="DA81" i="1"/>
  <c r="CG98" i="1"/>
  <c r="CA98" i="1"/>
  <c r="BZ98" i="1" s="1"/>
  <c r="DB50" i="1"/>
  <c r="DA50" i="1"/>
  <c r="CA43" i="1"/>
  <c r="BZ43" i="1" s="1"/>
  <c r="CG43" i="1"/>
  <c r="DB71" i="1"/>
  <c r="DA71" i="1"/>
  <c r="BP172" i="1"/>
  <c r="BO172" i="1" s="1"/>
  <c r="BV172" i="1"/>
  <c r="BV126" i="1"/>
  <c r="BP126" i="1"/>
  <c r="BO126" i="1" s="1"/>
  <c r="BP192" i="1"/>
  <c r="BO192" i="1" s="1"/>
  <c r="BV192" i="1"/>
  <c r="BV135" i="1"/>
  <c r="BP135" i="1"/>
  <c r="BO135" i="1" s="1"/>
  <c r="DB66" i="1"/>
  <c r="DA66" i="1"/>
  <c r="CA45" i="1"/>
  <c r="BZ45" i="1" s="1"/>
  <c r="CG45" i="1"/>
  <c r="BP91" i="1"/>
  <c r="BO91" i="1" s="1"/>
  <c r="BV91" i="1"/>
  <c r="DB18" i="1"/>
  <c r="DA18" i="1"/>
  <c r="CA139" i="1"/>
  <c r="BZ139" i="1" s="1"/>
  <c r="CG139" i="1"/>
  <c r="DB34" i="1"/>
  <c r="DA34" i="1"/>
  <c r="CG190" i="1"/>
  <c r="CA190" i="1"/>
  <c r="BZ190" i="1" s="1"/>
  <c r="BV73" i="1"/>
  <c r="BP73" i="1"/>
  <c r="BO73" i="1" s="1"/>
  <c r="CL16" i="1"/>
  <c r="CK16" i="1" s="1"/>
  <c r="CR16" i="1"/>
  <c r="CG110" i="1"/>
  <c r="CA110" i="1"/>
  <c r="BZ110" i="1" s="1"/>
  <c r="CG233" i="1"/>
  <c r="CC233" i="1"/>
  <c r="DA90" i="1"/>
  <c r="DB90" i="1"/>
  <c r="CA171" i="1"/>
  <c r="BZ171" i="1" s="1"/>
  <c r="CG171" i="1"/>
  <c r="CR65" i="1"/>
  <c r="CL65" i="1"/>
  <c r="CK65" i="1" s="1"/>
  <c r="DB31" i="1"/>
  <c r="DA31" i="1"/>
  <c r="BV131" i="1"/>
  <c r="BP131" i="1"/>
  <c r="BO131" i="1" s="1"/>
  <c r="CG133" i="1"/>
  <c r="CA133" i="1"/>
  <c r="BZ133" i="1" s="1"/>
  <c r="BP100" i="1"/>
  <c r="BO100" i="1" s="1"/>
  <c r="BV100" i="1"/>
  <c r="BP181" i="1"/>
  <c r="BO181" i="1" s="1"/>
  <c r="BV181" i="1"/>
  <c r="DB32" i="1"/>
  <c r="DA32" i="1"/>
  <c r="CG30" i="1"/>
  <c r="CA30" i="1"/>
  <c r="BZ30" i="1" s="1"/>
  <c r="CA177" i="1"/>
  <c r="BZ177" i="1" s="1"/>
  <c r="CG177" i="1"/>
  <c r="CA91" i="1"/>
  <c r="BZ91" i="1" s="1"/>
  <c r="CG91" i="1"/>
  <c r="CG55" i="1"/>
  <c r="CA55" i="1"/>
  <c r="BZ55" i="1" s="1"/>
  <c r="CA84" i="1"/>
  <c r="BZ84" i="1" s="1"/>
  <c r="CG84" i="1"/>
  <c r="CL47" i="1"/>
  <c r="CK47" i="1" s="1"/>
  <c r="CR47" i="1"/>
  <c r="DB59" i="1"/>
  <c r="DA59" i="1"/>
  <c r="BV26" i="1"/>
  <c r="BP26" i="1"/>
  <c r="BO26" i="1" s="1"/>
  <c r="CA58" i="1"/>
  <c r="BZ58" i="1" s="1"/>
  <c r="CG58" i="1"/>
  <c r="BV42" i="1"/>
  <c r="BP42" i="1"/>
  <c r="BO42" i="1" s="1"/>
  <c r="CR128" i="1"/>
  <c r="CL128" i="1"/>
  <c r="CK128" i="1" s="1"/>
  <c r="DA15" i="1"/>
  <c r="DB15" i="1"/>
  <c r="CA72" i="1"/>
  <c r="BZ72" i="1" s="1"/>
  <c r="CG72" i="1"/>
  <c r="CA213" i="1"/>
  <c r="BZ213" i="1" s="1"/>
  <c r="CG213" i="1"/>
  <c r="BV143" i="1"/>
  <c r="BP143" i="1"/>
  <c r="BO143" i="1" s="1"/>
  <c r="CL138" i="1"/>
  <c r="CK138" i="1" s="1"/>
  <c r="CR138" i="1"/>
  <c r="BV80" i="1"/>
  <c r="BP80" i="1"/>
  <c r="BO80" i="1" s="1"/>
  <c r="CG71" i="1"/>
  <c r="CA71" i="1"/>
  <c r="BZ71" i="1" s="1"/>
  <c r="CR234" i="1"/>
  <c r="CR131" i="1"/>
  <c r="CL131" i="1"/>
  <c r="CK131" i="1" s="1"/>
  <c r="BP189" i="1"/>
  <c r="BO189" i="1" s="1"/>
  <c r="BV189" i="1"/>
  <c r="CA69" i="1"/>
  <c r="BZ69" i="1" s="1"/>
  <c r="CG69" i="1"/>
  <c r="DA70" i="1"/>
  <c r="DB70" i="1"/>
  <c r="DB28" i="1"/>
  <c r="DA28" i="1"/>
  <c r="BP84" i="1"/>
  <c r="BO84" i="1" s="1"/>
  <c r="BV84" i="1"/>
  <c r="BP168" i="1"/>
  <c r="BO168" i="1" s="1"/>
  <c r="BV168" i="1"/>
  <c r="BP169" i="1"/>
  <c r="BO169" i="1" s="1"/>
  <c r="BV169" i="1"/>
  <c r="CR149" i="1"/>
  <c r="CL149" i="1"/>
  <c r="CK149" i="1" s="1"/>
  <c r="BP183" i="1"/>
  <c r="BO183" i="1" s="1"/>
  <c r="BV183" i="1"/>
  <c r="BV127" i="1"/>
  <c r="BP127" i="1"/>
  <c r="BO127" i="1" s="1"/>
  <c r="BP188" i="1"/>
  <c r="BO188" i="1" s="1"/>
  <c r="BV188" i="1"/>
  <c r="CR135" i="1"/>
  <c r="CL135" i="1"/>
  <c r="CK135" i="1" s="1"/>
  <c r="BP148" i="1"/>
  <c r="BO148" i="1" s="1"/>
  <c r="BV148" i="1"/>
  <c r="CA111" i="1"/>
  <c r="BZ111" i="1" s="1"/>
  <c r="CG111" i="1"/>
  <c r="CA124" i="1"/>
  <c r="BZ124" i="1" s="1"/>
  <c r="CG124" i="1"/>
  <c r="CG61" i="1"/>
  <c r="CA61" i="1"/>
  <c r="BZ61" i="1" s="1"/>
  <c r="BV24" i="1"/>
  <c r="BP24" i="1"/>
  <c r="BO24" i="1" s="1"/>
  <c r="CR117" i="1"/>
  <c r="CL117" i="1"/>
  <c r="CK117" i="1" s="1"/>
  <c r="CG51" i="1"/>
  <c r="CA51" i="1"/>
  <c r="BZ51" i="1" s="1"/>
  <c r="DB53" i="1"/>
  <c r="DA53" i="1"/>
  <c r="DB22" i="1"/>
  <c r="DA22" i="1"/>
  <c r="BP34" i="1"/>
  <c r="BO34" i="1" s="1"/>
  <c r="BV34" i="1"/>
  <c r="BP215" i="1"/>
  <c r="BO215" i="1" s="1"/>
  <c r="BV215" i="1"/>
  <c r="BV123" i="1"/>
  <c r="BP123" i="1"/>
  <c r="BO123" i="1" s="1"/>
  <c r="CA169" i="1"/>
  <c r="BZ169" i="1" s="1"/>
  <c r="CG169" i="1"/>
  <c r="BP211" i="1"/>
  <c r="BO211" i="1" s="1"/>
  <c r="BV211" i="1"/>
  <c r="CR148" i="1"/>
  <c r="CL148" i="1"/>
  <c r="CK148" i="1" s="1"/>
  <c r="BP125" i="1"/>
  <c r="BO125" i="1" s="1"/>
  <c r="BV125" i="1"/>
  <c r="BP83" i="1"/>
  <c r="BO83" i="1" s="1"/>
  <c r="BV83" i="1"/>
  <c r="CG48" i="1"/>
  <c r="CA48" i="1"/>
  <c r="BZ48" i="1" s="1"/>
  <c r="CG54" i="1"/>
  <c r="CA54" i="1"/>
  <c r="BZ54" i="1" s="1"/>
  <c r="CG130" i="1"/>
  <c r="CA130" i="1"/>
  <c r="BZ130" i="1" s="1"/>
  <c r="CA225" i="1"/>
  <c r="BZ225" i="1" s="1"/>
  <c r="CG225" i="1"/>
  <c r="CG59" i="1"/>
  <c r="CA59" i="1"/>
  <c r="BZ59" i="1" s="1"/>
  <c r="BV141" i="1"/>
  <c r="BP141" i="1"/>
  <c r="BO141" i="1" s="1"/>
  <c r="CR36" i="1"/>
  <c r="CL36" i="1"/>
  <c r="CK36" i="1" s="1"/>
  <c r="CL84" i="1"/>
  <c r="CK84" i="1" s="1"/>
  <c r="CR84" i="1"/>
  <c r="DA36" i="1"/>
  <c r="DB36" i="1"/>
  <c r="DB20" i="1"/>
  <c r="DA20" i="1"/>
  <c r="CG125" i="1"/>
  <c r="CA125" i="1"/>
  <c r="BZ125" i="1" s="1"/>
  <c r="CL95" i="1"/>
  <c r="CK95" i="1" s="1"/>
  <c r="CR95" i="1"/>
  <c r="CS3" i="1"/>
  <c r="DA4" i="1"/>
  <c r="DB4" i="1"/>
  <c r="DB69" i="1"/>
  <c r="DA69" i="1"/>
  <c r="CL14" i="1"/>
  <c r="CK14" i="1" s="1"/>
  <c r="CR14" i="1"/>
  <c r="BP30" i="1"/>
  <c r="BO30" i="1" s="1"/>
  <c r="BV30" i="1"/>
  <c r="DB17" i="1"/>
  <c r="DA17" i="1"/>
  <c r="CG14" i="1"/>
  <c r="CA14" i="1"/>
  <c r="BZ14" i="1" s="1"/>
  <c r="DB67" i="1"/>
  <c r="DA67" i="1"/>
  <c r="CR43" i="1"/>
  <c r="CL43" i="1"/>
  <c r="CK43" i="1" s="1"/>
  <c r="CL125" i="1"/>
  <c r="CK125" i="1" s="1"/>
  <c r="CR125" i="1"/>
  <c r="BV196" i="1"/>
  <c r="BP196" i="1"/>
  <c r="BO196" i="1" s="1"/>
  <c r="CA95" i="1"/>
  <c r="BZ95" i="1" s="1"/>
  <c r="CG95" i="1"/>
  <c r="BP137" i="1"/>
  <c r="BO137" i="1" s="1"/>
  <c r="BV137" i="1"/>
  <c r="CM224" i="1"/>
  <c r="CG120" i="1"/>
  <c r="CA120" i="1"/>
  <c r="BZ120" i="1" s="1"/>
  <c r="CG129" i="1"/>
  <c r="CA129" i="1"/>
  <c r="BZ129" i="1" s="1"/>
  <c r="BV149" i="1"/>
  <c r="BP149" i="1"/>
  <c r="BO149" i="1" s="1"/>
  <c r="CG67" i="1"/>
  <c r="CA67" i="1"/>
  <c r="BZ67" i="1" s="1"/>
  <c r="CG137" i="1"/>
  <c r="CA137" i="1"/>
  <c r="BZ137" i="1" s="1"/>
  <c r="CL109" i="1"/>
  <c r="CK109" i="1" s="1"/>
  <c r="CR109" i="1"/>
  <c r="DB19" i="1"/>
  <c r="DA19" i="1"/>
  <c r="CA41" i="1"/>
  <c r="BZ41" i="1" s="1"/>
  <c r="CG41" i="1"/>
  <c r="DB33" i="1"/>
  <c r="DA33" i="1"/>
  <c r="CR94" i="1"/>
  <c r="CL94" i="1"/>
  <c r="CK94" i="1" s="1"/>
  <c r="CA60" i="1"/>
  <c r="BZ60" i="1" s="1"/>
  <c r="CG60" i="1"/>
  <c r="DB21" i="1"/>
  <c r="DA21" i="1"/>
  <c r="BV32" i="1"/>
  <c r="BP32" i="1"/>
  <c r="BO32" i="1" s="1"/>
  <c r="CL224" i="1" l="1"/>
  <c r="CK224" i="1" s="1"/>
  <c r="CR2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TB-NTB-087</author>
    <author>백기훈</author>
    <author>TBELL</author>
    <author>TBELL-LT004</author>
  </authors>
  <commentList>
    <comment ref="AY2" authorId="0" shapeId="0" xr:uid="{F0382CB1-D097-4371-9889-945D338043CA}">
      <text>
        <r>
          <rPr>
            <sz val="11"/>
            <color theme="1"/>
            <rFont val="Arial"/>
            <family val="2"/>
          </rPr>
          <t>======
ID#AAAAH2z9KKk
TBELL    (2020-12-01 01:16:03)
ITSQF(IT Sectoral Qualifications Framework)</t>
        </r>
        <r>
          <rPr>
            <sz val="11"/>
            <color theme="1"/>
            <rFont val="돋움"/>
            <family val="3"/>
            <charset val="129"/>
          </rPr>
          <t>직무체계</t>
        </r>
        <r>
          <rPr>
            <sz val="11"/>
            <color theme="1"/>
            <rFont val="Arial"/>
            <family val="2"/>
          </rPr>
          <t xml:space="preserve"> </t>
        </r>
        <r>
          <rPr>
            <sz val="11"/>
            <color theme="1"/>
            <rFont val="돋움"/>
            <family val="3"/>
            <charset val="129"/>
          </rPr>
          <t>기준</t>
        </r>
      </text>
    </comment>
    <comment ref="CJ2" authorId="1" shapeId="0" xr:uid="{36AF5633-705E-4F70-BCA6-202BFB30AE18}">
      <text>
        <r>
          <rPr>
            <b/>
            <sz val="9"/>
            <color indexed="81"/>
            <rFont val="돋움"/>
            <family val="3"/>
            <charset val="129"/>
          </rPr>
          <t xml:space="preserve">통상임금 조정 전 연봉
</t>
        </r>
      </text>
    </comment>
    <comment ref="R6" authorId="2" shapeId="0" xr:uid="{9BD7440B-2A55-48F1-BD8A-70260766E6D9}">
      <text>
        <r>
          <rPr>
            <b/>
            <sz val="10"/>
            <color indexed="81"/>
            <rFont val="Tahoma"/>
            <family val="2"/>
          </rPr>
          <t>3</t>
        </r>
        <r>
          <rPr>
            <b/>
            <sz val="10"/>
            <color indexed="81"/>
            <rFont val="돋움"/>
            <family val="3"/>
            <charset val="129"/>
          </rPr>
          <t>월</t>
        </r>
        <r>
          <rPr>
            <b/>
            <sz val="10"/>
            <color indexed="81"/>
            <rFont val="Tahoma"/>
            <family val="2"/>
          </rPr>
          <t>25</t>
        </r>
        <r>
          <rPr>
            <b/>
            <sz val="10"/>
            <color indexed="81"/>
            <rFont val="돋움"/>
            <family val="3"/>
            <charset val="129"/>
          </rPr>
          <t>일
음력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생일로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</t>
        </r>
      </text>
    </comment>
    <comment ref="AE8" authorId="3" shapeId="0" xr:uid="{7CDD6E1D-CA32-4712-A590-90C29DDEE871}">
      <text>
        <r>
          <rPr>
            <sz val="9"/>
            <color indexed="81"/>
            <rFont val="돋움"/>
            <family val="3"/>
            <charset val="129"/>
          </rPr>
          <t>경력잘못됐엇음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</t>
        </r>
      </text>
    </comment>
    <comment ref="DD8" authorId="2" shapeId="0" xr:uid="{D358349B-16E7-475D-8807-1831EA65E900}">
      <text>
        <r>
          <rPr>
            <b/>
            <sz val="10"/>
            <color indexed="81"/>
            <rFont val="돋움"/>
            <family val="3"/>
            <charset val="129"/>
          </rPr>
          <t>입사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초창기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부터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지속된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지각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개선의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여지가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없으며
</t>
        </r>
        <r>
          <rPr>
            <b/>
            <sz val="10"/>
            <color indexed="81"/>
            <rFont val="Tahoma"/>
            <family val="2"/>
          </rPr>
          <t>2023</t>
        </r>
        <r>
          <rPr>
            <b/>
            <sz val="10"/>
            <color indexed="81"/>
            <rFont val="돋움"/>
            <family val="3"/>
            <charset val="129"/>
          </rPr>
          <t>년</t>
        </r>
        <r>
          <rPr>
            <b/>
            <sz val="10"/>
            <color indexed="81"/>
            <rFont val="Tahoma"/>
            <family val="2"/>
          </rPr>
          <t xml:space="preserve"> SKT AI 2</t>
        </r>
        <r>
          <rPr>
            <b/>
            <sz val="10"/>
            <color indexed="81"/>
            <rFont val="돋움"/>
            <family val="3"/>
            <charset val="129"/>
          </rPr>
          <t>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팀장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당시에도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객관적인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업무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평가가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아닌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친분을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우선시한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업무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평가</t>
        </r>
        <r>
          <rPr>
            <b/>
            <sz val="10"/>
            <color indexed="81"/>
            <rFont val="Tahoma"/>
            <family val="2"/>
          </rPr>
          <t xml:space="preserve"> 
</t>
        </r>
        <r>
          <rPr>
            <b/>
            <sz val="10"/>
            <color indexed="81"/>
            <rFont val="돋움"/>
            <family val="3"/>
            <charset val="129"/>
          </rPr>
          <t>한혜림</t>
        </r>
        <r>
          <rPr>
            <b/>
            <sz val="10"/>
            <color indexed="81"/>
            <rFont val="Tahoma"/>
            <family val="2"/>
          </rPr>
          <t xml:space="preserve"> A </t>
        </r>
        <r>
          <rPr>
            <b/>
            <sz val="10"/>
            <color indexed="81"/>
            <rFont val="돋움"/>
            <family val="3"/>
            <charset val="129"/>
          </rPr>
          <t>등급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평가진행
이후</t>
        </r>
        <r>
          <rPr>
            <b/>
            <sz val="10"/>
            <color indexed="81"/>
            <rFont val="Tahoma"/>
            <family val="2"/>
          </rPr>
          <t xml:space="preserve"> HDC</t>
        </r>
        <r>
          <rPr>
            <b/>
            <sz val="10"/>
            <color indexed="81"/>
            <rFont val="돋움"/>
            <family val="3"/>
            <charset val="129"/>
          </rPr>
          <t>랩스</t>
        </r>
        <r>
          <rPr>
            <b/>
            <sz val="10"/>
            <color indexed="81"/>
            <rFont val="Tahoma"/>
            <family val="2"/>
          </rPr>
          <t xml:space="preserve"> 1</t>
        </r>
        <r>
          <rPr>
            <b/>
            <sz val="10"/>
            <color indexed="81"/>
            <rFont val="돋움"/>
            <family val="3"/>
            <charset val="129"/>
          </rPr>
          <t>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에서도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지속되는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지각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문제가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있음</t>
        </r>
      </text>
    </comment>
    <comment ref="L79" authorId="2" shapeId="0" xr:uid="{D0281C83-4768-4FC7-BECF-D0572BDD75FA}">
      <text>
        <r>
          <rPr>
            <b/>
            <sz val="10"/>
            <color indexed="81"/>
            <rFont val="Tahoma"/>
            <family val="2"/>
          </rPr>
          <t xml:space="preserve">8/1~8/31
</t>
        </r>
        <r>
          <rPr>
            <b/>
            <sz val="10"/>
            <color indexed="81"/>
            <rFont val="돋움"/>
            <family val="3"/>
            <charset val="129"/>
          </rPr>
          <t>어머니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명의
</t>
        </r>
        <r>
          <rPr>
            <b/>
            <sz val="10"/>
            <color indexed="81"/>
            <rFont val="Tahoma"/>
            <family val="2"/>
          </rPr>
          <t xml:space="preserve">9/1 </t>
        </r>
        <r>
          <rPr>
            <b/>
            <sz val="10"/>
            <color indexed="81"/>
            <rFont val="돋움"/>
            <family val="3"/>
            <charset val="129"/>
          </rPr>
          <t>정규직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전환</t>
        </r>
      </text>
    </comment>
    <comment ref="BB79" authorId="1" shapeId="0" xr:uid="{BB1E3E66-3A3C-42B6-A143-7230213BB312}">
      <text>
        <r>
          <rPr>
            <b/>
            <sz val="9"/>
            <color indexed="81"/>
            <rFont val="돋움"/>
            <family val="3"/>
            <charset val="129"/>
          </rPr>
          <t>정보
이름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황영숙
계좌</t>
        </r>
        <r>
          <rPr>
            <b/>
            <sz val="9"/>
            <color indexed="81"/>
            <rFont val="Tahoma"/>
            <family val="2"/>
          </rPr>
          <t xml:space="preserve"> : 1000-7442-7826(</t>
        </r>
        <r>
          <rPr>
            <b/>
            <sz val="9"/>
            <color indexed="81"/>
            <rFont val="돋움"/>
            <family val="3"/>
            <charset val="129"/>
          </rPr>
          <t>토스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95" authorId="4" shapeId="0" xr:uid="{1323B0D5-D96B-4D7F-A138-5B824A3B56E8}">
      <text>
        <r>
          <rPr>
            <b/>
            <sz val="9"/>
            <color indexed="81"/>
            <rFont val="Tahoma"/>
            <family val="2"/>
          </rPr>
          <t>25.10.30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육아휴직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출산전후휴가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통합본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N140" authorId="1" shapeId="0" xr:uid="{A79DB64D-D826-48B2-863D-D80A78C8048D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미포함</t>
        </r>
        <r>
          <rPr>
            <b/>
            <sz val="9"/>
            <color indexed="81"/>
            <rFont val="Tahoma"/>
            <family val="2"/>
          </rPr>
          <t xml:space="preserve"> (360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Y140" authorId="1" shapeId="0" xr:uid="{9F5FD3E0-B7A6-4242-8933-FFD106085D99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미포함</t>
        </r>
        <r>
          <rPr>
            <b/>
            <sz val="9"/>
            <color indexed="81"/>
            <rFont val="Tahoma"/>
            <family val="2"/>
          </rPr>
          <t xml:space="preserve"> (360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J140" authorId="1" shapeId="0" xr:uid="{AA4368C8-DCFA-4C27-ADF8-7697C45AD550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미포함</t>
        </r>
        <r>
          <rPr>
            <b/>
            <sz val="9"/>
            <color indexed="81"/>
            <rFont val="Tahoma"/>
            <family val="2"/>
          </rPr>
          <t xml:space="preserve"> (360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I169" authorId="1" shapeId="0" xr:uid="{85C9B986-9470-4ABF-ABAD-DD4CFFCF229D}">
      <text>
        <r>
          <rPr>
            <b/>
            <sz val="9"/>
            <color indexed="81"/>
            <rFont val="돋움"/>
            <family val="3"/>
            <charset val="129"/>
          </rPr>
          <t>재학중</t>
        </r>
      </text>
    </comment>
    <comment ref="BN170" authorId="1" shapeId="0" xr:uid="{02130D68-6D66-4F81-AD32-098BA3AA4DA3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BY170" authorId="1" shapeId="0" xr:uid="{CACAACD9-B61B-40DA-9829-B1AA47D79B43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</text>
    </comment>
    <comment ref="C174" authorId="1" shapeId="0" xr:uid="{8F8441F7-8A08-4FFC-B8F2-9191AC724481}">
      <text>
        <r>
          <rPr>
            <b/>
            <sz val="9"/>
            <color indexed="81"/>
            <rFont val="Tahoma"/>
            <family val="2"/>
          </rPr>
          <t>25.06.16~25.09.30</t>
        </r>
        <r>
          <rPr>
            <b/>
            <sz val="9"/>
            <color indexed="81"/>
            <rFont val="돋움"/>
            <family val="3"/>
            <charset val="129"/>
          </rPr>
          <t>까지는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프리랜서
이후에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정규직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전환예정</t>
        </r>
      </text>
    </comment>
    <comment ref="BN174" authorId="1" shapeId="0" xr:uid="{9BD15334-FE1E-46F6-81CF-EBA0548CFCC1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고정지급</t>
        </r>
      </text>
    </comment>
    <comment ref="BY174" authorId="1" shapeId="0" xr:uid="{877CAED1-7FF6-41BB-B9B9-B9419CB5C195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360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고정지급</t>
        </r>
      </text>
    </comment>
    <comment ref="C175" authorId="1" shapeId="0" xr:uid="{0B224247-7C4E-42BB-AA59-322260125737}">
      <text>
        <r>
          <rPr>
            <b/>
            <sz val="9"/>
            <color indexed="81"/>
            <rFont val="돋움"/>
            <family val="3"/>
            <charset val="129"/>
          </rPr>
          <t>우리카드 투입인력 프로필 제출로 인하여 사대보험 취득(25.06), 실제 입사는 8월 적용</t>
        </r>
      </text>
    </comment>
    <comment ref="BR175" authorId="1" shapeId="0" xr:uid="{8E83A7E7-911A-447B-AF81-EF79426C38CF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CC175" authorId="1" shapeId="0" xr:uid="{22CC7C1E-558E-49AF-82A5-1802D508FBB2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C176" authorId="1" shapeId="0" xr:uid="{B844FC44-B052-4834-AD10-7487E90F61A1}">
      <text>
        <r>
          <rPr>
            <b/>
            <sz val="9"/>
            <color indexed="81"/>
            <rFont val="돋움"/>
            <family val="3"/>
            <charset val="129"/>
          </rPr>
          <t>매력일자리사업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매칭데이</t>
        </r>
        <r>
          <rPr>
            <b/>
            <sz val="9"/>
            <color indexed="81"/>
            <rFont val="Tahoma"/>
            <family val="2"/>
          </rPr>
          <t>)
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정규직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]
1) </t>
        </r>
        <r>
          <rPr>
            <b/>
            <sz val="9"/>
            <color indexed="81"/>
            <rFont val="돋움"/>
            <family val="3"/>
            <charset val="129"/>
          </rPr>
          <t>계약직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기간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2,461,811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(4</t>
        </r>
        <r>
          <rPr>
            <b/>
            <sz val="9"/>
            <color indexed="81"/>
            <rFont val="돋움"/>
            <family val="3"/>
            <charset val="129"/>
          </rPr>
          <t>대보험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식대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비과세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 xml:space="preserve">)
2) </t>
        </r>
        <r>
          <rPr>
            <b/>
            <sz val="9"/>
            <color indexed="81"/>
            <rFont val="돋움"/>
            <family val="3"/>
            <charset val="129"/>
          </rPr>
          <t>정규직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기간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연봉</t>
        </r>
        <r>
          <rPr>
            <b/>
            <sz val="9"/>
            <color indexed="81"/>
            <rFont val="Tahoma"/>
            <family val="2"/>
          </rPr>
          <t xml:space="preserve"> 2,800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식대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비과세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AI176" authorId="1" shapeId="0" xr:uid="{7F0E0E28-0130-4DE3-A17E-AA4AF63D4846}">
      <text>
        <r>
          <rPr>
            <b/>
            <sz val="9"/>
            <color indexed="81"/>
            <rFont val="돋움"/>
            <family val="3"/>
            <charset val="129"/>
          </rPr>
          <t>제적</t>
        </r>
      </text>
    </comment>
    <comment ref="BN178" authorId="4" shapeId="0" xr:uid="{757EA7D8-A569-41E5-9FD2-F1089D9DAD4D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지급
</t>
        </r>
      </text>
    </comment>
    <comment ref="BY178" authorId="4" shapeId="0" xr:uid="{87BE7FD8-FCD5-48B1-8965-22D73D54565A}">
      <text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지급
</t>
        </r>
      </text>
    </comment>
    <comment ref="C189" authorId="4" shapeId="0" xr:uid="{335DB2C1-8EB0-4585-8986-D1EF8A755F27}">
      <text>
        <r>
          <rPr>
            <b/>
            <sz val="9"/>
            <color indexed="81"/>
            <rFont val="돋움"/>
            <family val="3"/>
            <charset val="129"/>
          </rPr>
          <t>연봉에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별도지급</t>
        </r>
        <r>
          <rPr>
            <b/>
            <sz val="9"/>
            <color indexed="81"/>
            <rFont val="Tahoma"/>
            <family val="2"/>
          </rPr>
          <t xml:space="preserve">X)
</t>
        </r>
      </text>
    </comment>
    <comment ref="C225" authorId="4" shapeId="0" xr:uid="{3370DBD4-6C52-4A42-82F6-23EE7034DF20}">
      <text>
        <r>
          <rPr>
            <b/>
            <sz val="9"/>
            <color indexed="81"/>
            <rFont val="Tahoma"/>
            <family val="2"/>
          </rPr>
          <t>TBELL-LT004: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R232" authorId="1" shapeId="0" xr:uid="{30AE0732-ABB9-4268-8B91-04987C39264A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CC232" authorId="1" shapeId="0" xr:uid="{ADDEED25-8624-4B7D-9483-08603F708C29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BR233" authorId="1" shapeId="0" xr:uid="{08B99054-97C2-406E-8FEA-C4E878054A7A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CC233" authorId="1" shapeId="0" xr:uid="{838E9C0F-D673-492C-A34D-4FBCE4944C88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BR234" authorId="1" shapeId="0" xr:uid="{EC76CCB5-3629-4EE8-B99D-3D746C5F57C8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CC234" authorId="1" shapeId="0" xr:uid="{D3E4366E-9CBF-4F15-82CA-CA2BB9615478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BR235" authorId="1" shapeId="0" xr:uid="{45B50EC6-49B2-4DB0-89F6-B2A39923A31D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  <comment ref="CC235" authorId="1" shapeId="0" xr:uid="{C7DDFE87-9A4E-44BB-97BC-4B6D2E82BCF3}">
      <text>
        <r>
          <rPr>
            <b/>
            <sz val="9"/>
            <color indexed="81"/>
            <rFont val="돋움"/>
            <family val="3"/>
            <charset val="129"/>
          </rPr>
          <t>프리랜서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월보수액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신고액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월급여</t>
        </r>
        <r>
          <rPr>
            <b/>
            <sz val="9"/>
            <color indexed="81"/>
            <rFont val="Tahoma"/>
            <family val="2"/>
          </rPr>
          <t>*84.3%)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<sst xmlns="http://schemas.openxmlformats.org/spreadsheetml/2006/main" count="6722" uniqueCount="2861">
  <si>
    <t>1</t>
    <phoneticPr fontId="6" type="noConversion"/>
  </si>
  <si>
    <t>2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</si>
  <si>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</si>
  <si>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</si>
  <si>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</si>
  <si>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</si>
  <si>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</si>
  <si>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</si>
  <si>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</si>
  <si>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</si>
  <si>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</si>
  <si>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</si>
  <si>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</si>
  <si>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</si>
  <si>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</si>
  <si>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</si>
  <si>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</si>
  <si>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</si>
  <si>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</si>
  <si>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</si>
  <si>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</si>
  <si>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</si>
  <si>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</si>
  <si>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</si>
  <si>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</si>
  <si>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</si>
  <si>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</si>
  <si>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</si>
  <si>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</si>
  <si>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</si>
  <si>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</si>
  <si>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</si>
  <si>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</si>
  <si>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</si>
  <si>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</si>
  <si>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</si>
  <si>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</si>
  <si>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</si>
  <si>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</si>
  <si>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</si>
  <si>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</si>
  <si>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</si>
  <si>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</si>
  <si>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</si>
  <si>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</si>
  <si>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</si>
  <si>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</si>
  <si>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</si>
  <si>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</si>
  <si>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</si>
  <si>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</si>
  <si>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</si>
  <si>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</si>
  <si>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</si>
  <si>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</si>
  <si>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</si>
  <si>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</si>
  <si>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</si>
  <si>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</si>
  <si>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</si>
  <si>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</si>
  <si>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</si>
  <si>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</si>
  <si>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</si>
  <si>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</si>
  <si>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</si>
  <si>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</si>
  <si>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</si>
  <si>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</si>
  <si>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</si>
  <si>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</si>
  <si>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</si>
  <si>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</si>
  <si>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</si>
  <si>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</si>
  <si>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</si>
  <si>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</si>
  <si>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</si>
  <si>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</si>
  <si>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</si>
  <si>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</si>
  <si>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</si>
  <si>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</si>
  <si>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</si>
  <si>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</si>
  <si>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</si>
  <si>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</si>
  <si>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</si>
  <si>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</si>
  <si>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</si>
  <si>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</si>
  <si>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</si>
  <si>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</si>
  <si>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</si>
  <si>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</si>
  <si>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</si>
  <si>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순번</t>
    <phoneticPr fontId="6" type="noConversion"/>
  </si>
  <si>
    <t>사번</t>
    <phoneticPr fontId="6" type="noConversion"/>
  </si>
  <si>
    <t>성명</t>
    <phoneticPr fontId="6" type="noConversion"/>
  </si>
  <si>
    <t>직책</t>
    <phoneticPr fontId="6" type="noConversion"/>
  </si>
  <si>
    <t>직급</t>
    <phoneticPr fontId="6" type="noConversion"/>
  </si>
  <si>
    <t>고용형태</t>
    <phoneticPr fontId="6" type="noConversion"/>
  </si>
  <si>
    <t>직무</t>
    <phoneticPr fontId="6" type="noConversion"/>
  </si>
  <si>
    <t>실</t>
    <phoneticPr fontId="6" type="noConversion"/>
  </si>
  <si>
    <t>팀</t>
    <phoneticPr fontId="6" type="noConversion"/>
  </si>
  <si>
    <t>팀 위치</t>
    <phoneticPr fontId="6" type="noConversion"/>
  </si>
  <si>
    <t>팀 권역</t>
    <phoneticPr fontId="6" type="noConversion"/>
  </si>
  <si>
    <t>최초입사일</t>
  </si>
  <si>
    <t>정규전환일</t>
    <phoneticPr fontId="6" type="noConversion"/>
  </si>
  <si>
    <t>적치적용일</t>
    <phoneticPr fontId="6" type="noConversion"/>
  </si>
  <si>
    <t>퇴직일자</t>
    <phoneticPr fontId="6" type="noConversion"/>
  </si>
  <si>
    <t>영문명</t>
  </si>
  <si>
    <t>주민번호</t>
  </si>
  <si>
    <t>생년월일</t>
    <phoneticPr fontId="6" type="noConversion"/>
  </si>
  <si>
    <t>생일월</t>
    <phoneticPr fontId="6" type="noConversion"/>
  </si>
  <si>
    <t>성별</t>
    <phoneticPr fontId="6" type="noConversion"/>
  </si>
  <si>
    <t>나이</t>
    <phoneticPr fontId="6" type="noConversion"/>
  </si>
  <si>
    <t>양력/음력</t>
    <phoneticPr fontId="6" type="noConversion"/>
  </si>
  <si>
    <t>국적</t>
    <phoneticPr fontId="6" type="noConversion"/>
  </si>
  <si>
    <t>전화번호</t>
    <phoneticPr fontId="6" type="noConversion"/>
  </si>
  <si>
    <t>재직구분</t>
    <phoneticPr fontId="6" type="noConversion"/>
  </si>
  <si>
    <t>결혼유무</t>
    <phoneticPr fontId="6" type="noConversion"/>
  </si>
  <si>
    <t>결혼기념일</t>
    <phoneticPr fontId="6" type="noConversion"/>
  </si>
  <si>
    <t>법인</t>
    <phoneticPr fontId="6" type="noConversion"/>
  </si>
  <si>
    <t>한자명</t>
    <phoneticPr fontId="6" type="noConversion"/>
  </si>
  <si>
    <t>총업무경력</t>
  </si>
  <si>
    <t>전SW경력</t>
  </si>
  <si>
    <t>재직기간</t>
  </si>
  <si>
    <t>최종학교</t>
  </si>
  <si>
    <t>전공</t>
    <phoneticPr fontId="6" type="noConversion"/>
  </si>
  <si>
    <t>최종학력</t>
  </si>
  <si>
    <t>졸업일</t>
    <phoneticPr fontId="6" type="noConversion"/>
  </si>
  <si>
    <t>지우면안돼</t>
  </si>
  <si>
    <t>등급(경력+학력)</t>
  </si>
  <si>
    <t>등급(자격증)</t>
    <phoneticPr fontId="6" type="noConversion"/>
  </si>
  <si>
    <t>CSTS</t>
    <phoneticPr fontId="6" type="noConversion"/>
  </si>
  <si>
    <t>취득일</t>
    <phoneticPr fontId="6" type="noConversion"/>
  </si>
  <si>
    <t>ISTQB</t>
    <phoneticPr fontId="6" type="noConversion"/>
  </si>
  <si>
    <t>취득일2</t>
    <phoneticPr fontId="6" type="noConversion"/>
  </si>
  <si>
    <t>정보처리기사</t>
    <phoneticPr fontId="6" type="noConversion"/>
  </si>
  <si>
    <t>취득일3</t>
    <phoneticPr fontId="6" type="noConversion"/>
  </si>
  <si>
    <t>정보처리산업기사</t>
    <phoneticPr fontId="6" type="noConversion"/>
  </si>
  <si>
    <t>취득일4</t>
    <phoneticPr fontId="6" type="noConversion"/>
  </si>
  <si>
    <t>기타</t>
    <phoneticPr fontId="6" type="noConversion"/>
  </si>
  <si>
    <t>발행기관</t>
  </si>
  <si>
    <t>취득년월</t>
    <phoneticPr fontId="6" type="noConversion"/>
  </si>
  <si>
    <t>분야</t>
  </si>
  <si>
    <t>직무2</t>
  </si>
  <si>
    <t>은행</t>
    <phoneticPr fontId="6" type="noConversion"/>
  </si>
  <si>
    <t>계좌번호</t>
  </si>
  <si>
    <t>본인과의 관계</t>
  </si>
  <si>
    <t>비상연락처</t>
  </si>
  <si>
    <t>그룹웨어 이메일</t>
    <phoneticPr fontId="6" type="noConversion"/>
  </si>
  <si>
    <t>주요시도</t>
    <phoneticPr fontId="6" type="noConversion"/>
  </si>
  <si>
    <t>자치시구</t>
    <phoneticPr fontId="6" type="noConversion"/>
  </si>
  <si>
    <t>상세주소</t>
    <phoneticPr fontId="6" type="noConversion"/>
  </si>
  <si>
    <t>상세주소3</t>
  </si>
  <si>
    <t>거주지역</t>
    <phoneticPr fontId="6" type="noConversion"/>
  </si>
  <si>
    <t>상세주소4</t>
  </si>
  <si>
    <t>기준일</t>
    <phoneticPr fontId="6" type="noConversion"/>
  </si>
  <si>
    <t>실근무일</t>
    <phoneticPr fontId="6" type="noConversion"/>
  </si>
  <si>
    <t>2026연봉</t>
    <phoneticPr fontId="6" type="noConversion"/>
  </si>
  <si>
    <t>실수령연봉</t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</si>
  <si>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월</t>
    </r>
    <r>
      <rPr>
        <b/>
        <sz val="10"/>
        <color theme="0"/>
        <rFont val="맑은 고딕"/>
        <family val="2"/>
        <scheme val="minor"/>
      </rPr>
      <t xml:space="preserve"> </t>
    </r>
    <r>
      <rPr>
        <b/>
        <sz val="10"/>
        <color theme="0"/>
        <rFont val="맑은 고딕"/>
        <family val="3"/>
        <charset val="129"/>
        <scheme val="minor"/>
      </rPr>
      <t>급여액</t>
    </r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</si>
  <si>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기본급</t>
    </r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</si>
  <si>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연장근로수당</t>
    </r>
    <phoneticPr fontId="6" type="noConversion"/>
  </si>
  <si>
    <t>식대</t>
    <phoneticPr fontId="6" type="noConversion"/>
  </si>
  <si>
    <t>법정근로시간</t>
    <phoneticPr fontId="6" type="noConversion"/>
  </si>
  <si>
    <t>연장시간</t>
    <phoneticPr fontId="6" type="noConversion"/>
  </si>
  <si>
    <t>25최저임금</t>
    <phoneticPr fontId="6" type="noConversion"/>
  </si>
  <si>
    <t>2025연봉</t>
    <phoneticPr fontId="6" type="noConversion"/>
  </si>
  <si>
    <t>2024연봉</t>
    <phoneticPr fontId="6" type="noConversion"/>
  </si>
  <si>
    <t>최저임금</t>
    <phoneticPr fontId="6" type="noConversion"/>
  </si>
  <si>
    <t>2023연봉</t>
    <phoneticPr fontId="6" type="noConversion"/>
  </si>
  <si>
    <t>월 급여액2</t>
  </si>
  <si>
    <t>기본급3</t>
  </si>
  <si>
    <t>연장근로수당4</t>
  </si>
  <si>
    <t>식대2</t>
    <phoneticPr fontId="6" type="noConversion"/>
  </si>
  <si>
    <t>법정근로시간2</t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</si>
  <si>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연장근로시간</t>
    </r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</si>
  <si>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총</t>
    </r>
    <r>
      <rPr>
        <b/>
        <sz val="10"/>
        <color theme="0"/>
        <rFont val="맑은 고딕"/>
        <family val="2"/>
        <scheme val="minor"/>
      </rPr>
      <t xml:space="preserve"> </t>
    </r>
    <r>
      <rPr>
        <b/>
        <sz val="10"/>
        <color theme="0"/>
        <rFont val="맑은 고딕"/>
        <family val="3"/>
        <charset val="129"/>
        <scheme val="minor"/>
      </rPr>
      <t>근로시간</t>
    </r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</si>
  <si>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최저시급</t>
    </r>
    <r>
      <rPr>
        <b/>
        <sz val="10"/>
        <color theme="0"/>
        <rFont val="맑은 고딕"/>
        <family val="2"/>
        <scheme val="minor"/>
      </rPr>
      <t>(9,620)</t>
    </r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</si>
  <si>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통상임금</t>
    </r>
    <phoneticPr fontId="6" type="noConversion"/>
  </si>
  <si>
    <t>기준연도</t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</si>
  <si>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비고</t>
    </r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</si>
  <si>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퇴직사유</t>
    </r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</si>
  <si>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내채공가입일</t>
    </r>
    <phoneticPr fontId="6" type="noConversion"/>
  </si>
  <si>
    <r>
      <rPr>
        <b/>
        <sz val="10"/>
        <color theme="0"/>
        <rFont val="맑은 고딕"/>
        <family val="3"/>
        <charset val="129"/>
        <scheme val="minor"/>
      </rPr>
      <t>내채공만기일</t>
    </r>
    <phoneticPr fontId="6" type="noConversion"/>
  </si>
  <si>
    <t>인재추천자</t>
    <phoneticPr fontId="6" type="noConversion"/>
  </si>
  <si>
    <r>
      <rPr>
        <b/>
        <sz val="10"/>
        <color theme="1"/>
        <rFont val="맑은 고딕"/>
        <family val="3"/>
        <charset val="129"/>
      </rPr>
      <t>지원시기</t>
    </r>
    <r>
      <rPr>
        <b/>
        <sz val="10"/>
        <color theme="1"/>
        <rFont val="맑은 고딕"/>
        <family val="2"/>
        <scheme val="minor"/>
      </rPr>
      <t xml:space="preserve"> 1</t>
    </r>
    <r>
      <rPr>
        <b/>
        <sz val="10"/>
        <color theme="1"/>
        <rFont val="맑은 고딕"/>
        <family val="3"/>
        <charset val="129"/>
      </rPr>
      <t>차</t>
    </r>
    <phoneticPr fontId="6" type="noConversion"/>
  </si>
  <si>
    <t>지원금 1차</t>
    <phoneticPr fontId="6" type="noConversion"/>
  </si>
  <si>
    <t>지원시기 2차</t>
    <phoneticPr fontId="6" type="noConversion"/>
  </si>
  <si>
    <r>
      <rPr>
        <b/>
        <sz val="10"/>
        <color theme="1"/>
        <rFont val="맑은 고딕"/>
        <family val="3"/>
        <charset val="129"/>
      </rPr>
      <t>지원금</t>
    </r>
    <r>
      <rPr>
        <b/>
        <sz val="10"/>
        <color theme="1"/>
        <rFont val="맑은 고딕"/>
        <family val="2"/>
        <scheme val="minor"/>
      </rPr>
      <t xml:space="preserve"> 2</t>
    </r>
    <r>
      <rPr>
        <b/>
        <sz val="10"/>
        <color theme="1"/>
        <rFont val="Arial Unicode MS"/>
        <family val="2"/>
        <charset val="129"/>
      </rPr>
      <t>차</t>
    </r>
    <phoneticPr fontId="6" type="noConversion"/>
  </si>
  <si>
    <t>김종균</t>
    <phoneticPr fontId="6" type="noConversion"/>
  </si>
  <si>
    <t>대표이사</t>
  </si>
  <si>
    <t>임원</t>
  </si>
  <si>
    <t>정규직</t>
  </si>
  <si>
    <t>대표</t>
  </si>
  <si>
    <t>경영전략실</t>
  </si>
  <si>
    <t>831124-1113419</t>
    <phoneticPr fontId="6" type="noConversion"/>
  </si>
  <si>
    <t>양력</t>
    <phoneticPr fontId="6" type="noConversion"/>
  </si>
  <si>
    <t>한국</t>
    <phoneticPr fontId="6" type="noConversion"/>
  </si>
  <si>
    <t>010-5749-8009</t>
    <phoneticPr fontId="6" type="noConversion"/>
  </si>
  <si>
    <t>TBELL</t>
    <phoneticPr fontId="6" type="noConversion"/>
  </si>
  <si>
    <t>0년0개월</t>
    <phoneticPr fontId="6" type="noConversion"/>
  </si>
  <si>
    <t>전문학사</t>
    <phoneticPr fontId="6" type="noConversion"/>
  </si>
  <si>
    <t>특급</t>
    <phoneticPr fontId="6" type="noConversion"/>
  </si>
  <si>
    <t>정보기술컨설팅</t>
    <phoneticPr fontId="6" type="noConversion"/>
  </si>
  <si>
    <t>처</t>
    <phoneticPr fontId="6" type="noConversion"/>
  </si>
  <si>
    <t>010-5749-8009</t>
  </si>
  <si>
    <t>jg.kim@tbell.co.kr</t>
    <phoneticPr fontId="6" type="noConversion"/>
  </si>
  <si>
    <t>서울시</t>
    <phoneticPr fontId="6" type="noConversion"/>
  </si>
  <si>
    <t>서대문구</t>
    <phoneticPr fontId="6" type="noConversion"/>
  </si>
  <si>
    <t>세무서8길 30 홍제역 효성해링턴플레이스 113동 1802호</t>
    <phoneticPr fontId="6" type="noConversion"/>
  </si>
  <si>
    <t>강현규</t>
    <phoneticPr fontId="6" type="noConversion"/>
  </si>
  <si>
    <t>실장</t>
  </si>
  <si>
    <t>지원관리</t>
  </si>
  <si>
    <t>1실</t>
  </si>
  <si>
    <t>1실장</t>
  </si>
  <si>
    <t>KANG, HyeonKyu</t>
  </si>
  <si>
    <t>821030-1012027</t>
    <phoneticPr fontId="6" type="noConversion"/>
  </si>
  <si>
    <t>010-6388-7664</t>
    <phoneticPr fontId="6" type="noConversion"/>
  </si>
  <si>
    <t>유</t>
    <phoneticPr fontId="6" type="noConversion"/>
  </si>
  <si>
    <t>10년 10개월</t>
    <phoneticPr fontId="6" type="noConversion"/>
  </si>
  <si>
    <t>동국대학교전산원</t>
    <phoneticPr fontId="6" type="noConversion"/>
  </si>
  <si>
    <t>멀티미디어</t>
    <phoneticPr fontId="6" type="noConversion"/>
  </si>
  <si>
    <t xml:space="preserve">
 컴퓨터활용능력
 워드프로세서</t>
    <phoneticPr fontId="6" type="noConversion"/>
  </si>
  <si>
    <t>ISTQB</t>
  </si>
  <si>
    <t>아키텍처</t>
    <phoneticPr fontId="6" type="noConversion"/>
  </si>
  <si>
    <t>경영지원</t>
    <phoneticPr fontId="6" type="noConversion"/>
  </si>
  <si>
    <t>기업은행</t>
    <phoneticPr fontId="5" type="noConversion"/>
  </si>
  <si>
    <t>122-068082-01-018</t>
    <phoneticPr fontId="6" type="noConversion"/>
  </si>
  <si>
    <t>010-9126-0218</t>
  </si>
  <si>
    <t>hk.kang@tbell.co.kr</t>
    <phoneticPr fontId="6" type="noConversion"/>
  </si>
  <si>
    <t>경기도</t>
    <phoneticPr fontId="6" type="noConversion"/>
  </si>
  <si>
    <t>고양시</t>
    <phoneticPr fontId="6" type="noConversion"/>
  </si>
  <si>
    <t>덕양구</t>
  </si>
  <si>
    <t>덕양구 성신로99, 1909 1501호(행신동, 햇빛마을 19단지 공무원 아파트)</t>
    <phoneticPr fontId="6" type="noConversion"/>
  </si>
  <si>
    <t>강성희</t>
    <phoneticPr fontId="6" type="noConversion"/>
  </si>
  <si>
    <t>선임</t>
  </si>
  <si>
    <t>테스터</t>
  </si>
  <si>
    <t>3실</t>
  </si>
  <si>
    <t>GS리테일 1팀</t>
  </si>
  <si>
    <t>830509-2065313</t>
    <phoneticPr fontId="6" type="noConversion"/>
  </si>
  <si>
    <t>010-9589-5859</t>
    <phoneticPr fontId="6" type="noConversion"/>
  </si>
  <si>
    <t>4년 9개월</t>
    <phoneticPr fontId="6" type="noConversion"/>
  </si>
  <si>
    <t>동원대학교</t>
    <phoneticPr fontId="6" type="noConversion"/>
  </si>
  <si>
    <t>교육서비스문헌정보과</t>
    <phoneticPr fontId="6" type="noConversion"/>
  </si>
  <si>
    <t>워드프로세스 2급
컴퓨터활용능력 3급</t>
  </si>
  <si>
    <t>대한상공회의소
대한상공회의소</t>
  </si>
  <si>
    <t>1999.11
2001.06</t>
  </si>
  <si>
    <t>IT기획 및 품질관리</t>
    <phoneticPr fontId="6" type="noConversion"/>
  </si>
  <si>
    <t>테스팅 엔지니어</t>
    <phoneticPr fontId="6" type="noConversion"/>
  </si>
  <si>
    <t>248-009498-01-029</t>
    <phoneticPr fontId="6" type="noConversion"/>
  </si>
  <si>
    <t>모</t>
    <phoneticPr fontId="6" type="noConversion"/>
  </si>
  <si>
    <t>010-2588-0245</t>
  </si>
  <si>
    <t>sh.kang@tbell.co.kr</t>
    <phoneticPr fontId="6" type="noConversion"/>
  </si>
  <si>
    <t>금천구</t>
    <phoneticPr fontId="6" type="noConversion"/>
  </si>
  <si>
    <t>시흥대로94길 33-4 3층 (독산동 1058-20)</t>
    <phoneticPr fontId="6" type="noConversion"/>
  </si>
  <si>
    <t>서동한</t>
    <phoneticPr fontId="6" type="noConversion"/>
  </si>
  <si>
    <t>2실</t>
  </si>
  <si>
    <t>삼성카드 1팀</t>
  </si>
  <si>
    <t>Seo, Dang Han</t>
    <phoneticPr fontId="6" type="noConversion"/>
  </si>
  <si>
    <t>890218-1054222</t>
    <phoneticPr fontId="6" type="noConversion"/>
  </si>
  <si>
    <t>음력</t>
    <phoneticPr fontId="6" type="noConversion"/>
  </si>
  <si>
    <t>010-4101-4909</t>
    <phoneticPr fontId="6" type="noConversion"/>
  </si>
  <si>
    <t>무</t>
    <phoneticPr fontId="6" type="noConversion"/>
  </si>
  <si>
    <t>0년2개월</t>
    <phoneticPr fontId="6" type="noConversion"/>
  </si>
  <si>
    <t>한신대학교</t>
    <phoneticPr fontId="6" type="noConversion"/>
  </si>
  <si>
    <t>정보통신학</t>
    <phoneticPr fontId="6" type="noConversion"/>
  </si>
  <si>
    <t>학사</t>
    <phoneticPr fontId="6" type="noConversion"/>
  </si>
  <si>
    <t>네트워크관리사 2급
자동차운전면허 1종 보통</t>
  </si>
  <si>
    <t>한국정보통신자격협회
경기지방경찰청</t>
  </si>
  <si>
    <t>2012.12.11
2012.02.14</t>
    <phoneticPr fontId="6" type="noConversion"/>
  </si>
  <si>
    <t>326-119130-01-010</t>
    <phoneticPr fontId="6" type="noConversion"/>
  </si>
  <si>
    <t>부</t>
    <phoneticPr fontId="6" type="noConversion"/>
  </si>
  <si>
    <t>010-5287-1237</t>
  </si>
  <si>
    <t>dh.seo@tbell.co.kr</t>
    <phoneticPr fontId="6" type="noConversion"/>
  </si>
  <si>
    <t>안산시</t>
    <phoneticPr fontId="6" type="noConversion"/>
  </si>
  <si>
    <t>단원구</t>
    <phoneticPr fontId="5" type="noConversion"/>
  </si>
  <si>
    <t>단원구 광덕3로 241, 4층 (고잔동 760-2)</t>
    <phoneticPr fontId="6" type="noConversion"/>
  </si>
  <si>
    <t>조현균</t>
    <phoneticPr fontId="6" type="noConversion"/>
  </si>
  <si>
    <t>팀장</t>
  </si>
  <si>
    <t>책임</t>
  </si>
  <si>
    <t>Cho, Hyun Gyun</t>
    <phoneticPr fontId="6" type="noConversion"/>
  </si>
  <si>
    <t>860429-1382113</t>
    <phoneticPr fontId="6" type="noConversion"/>
  </si>
  <si>
    <t>010-8903-8016</t>
    <phoneticPr fontId="6" type="noConversion"/>
  </si>
  <si>
    <t>8년 5개월</t>
    <phoneticPr fontId="6" type="noConversion"/>
  </si>
  <si>
    <t>두원공과대</t>
    <phoneticPr fontId="6" type="noConversion"/>
  </si>
  <si>
    <t>정보통신미디어계열</t>
    <phoneticPr fontId="6" type="noConversion"/>
  </si>
  <si>
    <t>KSTQB
한국정보통신기술협회</t>
    <phoneticPr fontId="6" type="noConversion"/>
  </si>
  <si>
    <t>2020.07
2021.09.03</t>
    <phoneticPr fontId="6" type="noConversion"/>
  </si>
  <si>
    <t>607-022578-01-018</t>
    <phoneticPr fontId="6" type="noConversion"/>
  </si>
  <si>
    <t>010-4931-8016</t>
  </si>
  <si>
    <t>hg.cho@tbell.co.kr</t>
    <phoneticPr fontId="6" type="noConversion"/>
  </si>
  <si>
    <t>수원시</t>
    <phoneticPr fontId="6" type="noConversion"/>
  </si>
  <si>
    <t>팔달구</t>
    <phoneticPr fontId="5" type="noConversion"/>
  </si>
  <si>
    <t>경수대로 534, 102동 401호 (인계동 945, 인계극동스타클래스)</t>
    <phoneticPr fontId="6" type="noConversion"/>
  </si>
  <si>
    <t>조소영</t>
    <phoneticPr fontId="6" type="noConversion"/>
  </si>
  <si>
    <t>GS리테일 6팀</t>
  </si>
  <si>
    <t>Jo, So Young</t>
    <phoneticPr fontId="6" type="noConversion"/>
  </si>
  <si>
    <t>900424-2163820</t>
    <phoneticPr fontId="6" type="noConversion"/>
  </si>
  <si>
    <t>010-9189-7381</t>
    <phoneticPr fontId="6" type="noConversion"/>
  </si>
  <si>
    <t>4년 8개월</t>
    <phoneticPr fontId="6" type="noConversion"/>
  </si>
  <si>
    <t>용인송담대학교</t>
    <phoneticPr fontId="6" type="noConversion"/>
  </si>
  <si>
    <t>멀티미디어영상과</t>
    <phoneticPr fontId="6" type="noConversion"/>
  </si>
  <si>
    <t>워드프로세스
MOS Excel 2003
MOS Powerpoint 2003</t>
  </si>
  <si>
    <t>대한상공회의소
MS
MS</t>
  </si>
  <si>
    <t>2001.12.26
2010.09.17
2010.10.01</t>
  </si>
  <si>
    <t>065-135562-01-013</t>
    <phoneticPr fontId="6" type="noConversion"/>
  </si>
  <si>
    <t>010-5039-9118</t>
  </si>
  <si>
    <t>sy.jo@tbell.co.kr</t>
    <phoneticPr fontId="6" type="noConversion"/>
  </si>
  <si>
    <t>권선구</t>
    <phoneticPr fontId="5" type="noConversion"/>
  </si>
  <si>
    <t>경수대로 302번길 29, 4동 501호 (권선제2동 1185-1, 권선삼성아파트)</t>
    <phoneticPr fontId="6" type="noConversion"/>
  </si>
  <si>
    <t>동결</t>
    <phoneticPr fontId="6" type="noConversion"/>
  </si>
  <si>
    <t>정성우</t>
    <phoneticPr fontId="6" type="noConversion"/>
  </si>
  <si>
    <t>반티바 1팀</t>
  </si>
  <si>
    <t>Jung, Sung Woo</t>
    <phoneticPr fontId="6" type="noConversion"/>
  </si>
  <si>
    <t>810306-1167610</t>
    <phoneticPr fontId="6" type="noConversion"/>
  </si>
  <si>
    <t>010-5547-9612</t>
    <phoneticPr fontId="6" type="noConversion"/>
  </si>
  <si>
    <t>9년 10개월</t>
    <phoneticPr fontId="6" type="noConversion"/>
  </si>
  <si>
    <t>정보통신과</t>
    <phoneticPr fontId="6" type="noConversion"/>
  </si>
  <si>
    <t>정보기기운용기능사
정보처리기능사
무선통신기능사
워드프로세서 1급
교원자격증(실기교사-통신)
新JLPT N2</t>
    <phoneticPr fontId="6" type="noConversion"/>
  </si>
  <si>
    <t>한국산업인력공단
한국산업인력공단
한국산업인력공단
대한상공회의소
교원인적자원부
국제교류기금</t>
  </si>
  <si>
    <t>1999.04
1999.06
1999.07
1999.11
2005.02
2017.08</t>
  </si>
  <si>
    <t>013-125229-01-010</t>
    <phoneticPr fontId="6" type="noConversion"/>
  </si>
  <si>
    <t>010-9382-9612</t>
    <phoneticPr fontId="6" type="noConversion"/>
  </si>
  <si>
    <t>sw.jung@tbell.co.kr</t>
    <phoneticPr fontId="6" type="noConversion"/>
  </si>
  <si>
    <t>성남시</t>
    <phoneticPr fontId="6" type="noConversion"/>
  </si>
  <si>
    <t>수정구</t>
    <phoneticPr fontId="5" type="noConversion"/>
  </si>
  <si>
    <t>수정로 251번길 22 신원빌리지 102동 302호</t>
    <phoneticPr fontId="6" type="noConversion"/>
  </si>
  <si>
    <t>전광희</t>
    <phoneticPr fontId="6" type="noConversion"/>
  </si>
  <si>
    <t>LG전자 1팀</t>
  </si>
  <si>
    <t>Jeon, Gwang Hee</t>
    <phoneticPr fontId="6" type="noConversion"/>
  </si>
  <si>
    <t>920409-1187228</t>
    <phoneticPr fontId="6" type="noConversion"/>
  </si>
  <si>
    <t>010-4168-4630</t>
    <phoneticPr fontId="6" type="noConversion"/>
  </si>
  <si>
    <t>1년 8개월</t>
    <phoneticPr fontId="6" type="noConversion"/>
  </si>
  <si>
    <t>컴퓨터게임과</t>
    <phoneticPr fontId="6" type="noConversion"/>
  </si>
  <si>
    <t>534-026781-01-015</t>
    <phoneticPr fontId="6" type="noConversion"/>
  </si>
  <si>
    <t>010-2657-4630</t>
  </si>
  <si>
    <t>gh.jeon@tbell.co.kr</t>
    <phoneticPr fontId="6" type="noConversion"/>
  </si>
  <si>
    <t>구로구</t>
    <phoneticPr fontId="6" type="noConversion"/>
  </si>
  <si>
    <t>부일로17길 147 4층</t>
    <phoneticPr fontId="6" type="noConversion"/>
  </si>
  <si>
    <t>김재완</t>
    <phoneticPr fontId="6" type="noConversion"/>
  </si>
  <si>
    <t>블루월넛 1팀</t>
  </si>
  <si>
    <t>Kim, Jae Wan</t>
    <phoneticPr fontId="6" type="noConversion"/>
  </si>
  <si>
    <t>920208-1238814</t>
    <phoneticPr fontId="6" type="noConversion"/>
  </si>
  <si>
    <t>010-9001-4697</t>
    <phoneticPr fontId="6" type="noConversion"/>
  </si>
  <si>
    <t>1년3개월</t>
    <phoneticPr fontId="6" type="noConversion"/>
  </si>
  <si>
    <t>청강문화산업대학교</t>
    <phoneticPr fontId="6" type="noConversion"/>
  </si>
  <si>
    <t>E스포츠게임과</t>
    <phoneticPr fontId="6" type="noConversion"/>
  </si>
  <si>
    <t>2017.12.05</t>
  </si>
  <si>
    <t>001-623506-01-018</t>
    <phoneticPr fontId="6" type="noConversion"/>
  </si>
  <si>
    <t>010-6322-4697</t>
    <phoneticPr fontId="6" type="noConversion"/>
  </si>
  <si>
    <t>jw.kim@tbell.co.kr</t>
    <phoneticPr fontId="6" type="noConversion"/>
  </si>
  <si>
    <t>부천시</t>
    <phoneticPr fontId="6" type="noConversion"/>
  </si>
  <si>
    <t>원미구</t>
    <phoneticPr fontId="6" type="noConversion"/>
  </si>
  <si>
    <t>부일로 232, 102동 2108호 (상동)</t>
    <phoneticPr fontId="6" type="noConversion"/>
  </si>
  <si>
    <t>이정훈</t>
    <phoneticPr fontId="6" type="noConversion"/>
  </si>
  <si>
    <t>웅진씽크빅 1팀</t>
  </si>
  <si>
    <t>910629-1285511</t>
    <phoneticPr fontId="6" type="noConversion"/>
  </si>
  <si>
    <t>010-2082-2969</t>
    <phoneticPr fontId="6" type="noConversion"/>
  </si>
  <si>
    <t>6년 5개월</t>
    <phoneticPr fontId="6" type="noConversion"/>
  </si>
  <si>
    <t>태백기계공업고등학교</t>
    <phoneticPr fontId="6" type="noConversion"/>
  </si>
  <si>
    <t>전자기계과</t>
    <phoneticPr fontId="6" type="noConversion"/>
  </si>
  <si>
    <t>고졸</t>
    <phoneticPr fontId="6" type="noConversion"/>
  </si>
  <si>
    <t>2015.07.21</t>
  </si>
  <si>
    <t>126-087492-01-017</t>
    <phoneticPr fontId="6" type="noConversion"/>
  </si>
  <si>
    <t>제</t>
    <phoneticPr fontId="6" type="noConversion"/>
  </si>
  <si>
    <t>010-4170-0045</t>
    <phoneticPr fontId="6" type="noConversion"/>
  </si>
  <si>
    <t>jh.lee2@tbell.co.kr</t>
    <phoneticPr fontId="6" type="noConversion"/>
  </si>
  <si>
    <t>관악구</t>
    <phoneticPr fontId="6" type="noConversion"/>
  </si>
  <si>
    <t>행운2길 51 502호</t>
    <phoneticPr fontId="6" type="noConversion"/>
  </si>
  <si>
    <t>김하정</t>
    <phoneticPr fontId="6" type="noConversion"/>
  </si>
  <si>
    <t>Kim, Ha Jung</t>
    <phoneticPr fontId="6" type="noConversion"/>
  </si>
  <si>
    <t>911113-2055428</t>
    <phoneticPr fontId="6" type="noConversion"/>
  </si>
  <si>
    <t>010-3794-9113</t>
    <phoneticPr fontId="6" type="noConversion"/>
  </si>
  <si>
    <t>0년9개월</t>
    <phoneticPr fontId="6" type="noConversion"/>
  </si>
  <si>
    <t>덕성여자대학교</t>
    <phoneticPr fontId="6" type="noConversion"/>
  </si>
  <si>
    <t>컴퓨터학과</t>
    <phoneticPr fontId="6" type="noConversion"/>
  </si>
  <si>
    <t>ICDL starter</t>
  </si>
  <si>
    <t>ICDL Korea</t>
  </si>
  <si>
    <t>589-024251-01-012</t>
    <phoneticPr fontId="6" type="noConversion"/>
  </si>
  <si>
    <t>010-8872-1841</t>
  </si>
  <si>
    <t>hj.kim@tbell.co.kr</t>
    <phoneticPr fontId="6" type="noConversion"/>
  </si>
  <si>
    <t>서초구</t>
    <phoneticPr fontId="6" type="noConversion"/>
  </si>
  <si>
    <t>청계산로9길 1-12, 601동 309호(신원동, 서초포레스타)</t>
    <phoneticPr fontId="6" type="noConversion"/>
  </si>
  <si>
    <t>김예림</t>
    <phoneticPr fontId="6" type="noConversion"/>
  </si>
  <si>
    <t>파트장</t>
  </si>
  <si>
    <t>경영지원팀</t>
  </si>
  <si>
    <t>Kim, Ye Rim</t>
    <phoneticPr fontId="6" type="noConversion"/>
  </si>
  <si>
    <t>961116-2066116</t>
    <phoneticPr fontId="6" type="noConversion"/>
  </si>
  <si>
    <t>010-2356-9458</t>
    <phoneticPr fontId="6" type="noConversion"/>
  </si>
  <si>
    <t>2년0개월</t>
    <phoneticPr fontId="6" type="noConversion"/>
  </si>
  <si>
    <t>명지전문대학교</t>
    <phoneticPr fontId="6" type="noConversion"/>
  </si>
  <si>
    <t>부동산경영과</t>
    <phoneticPr fontId="6" type="noConversion"/>
  </si>
  <si>
    <t>경영관리</t>
    <phoneticPr fontId="6" type="noConversion"/>
  </si>
  <si>
    <t>988-008943-01-017</t>
    <phoneticPr fontId="6" type="noConversion"/>
  </si>
  <si>
    <t>010-8243-8002</t>
  </si>
  <si>
    <t>yr.kim@tbell.co.kr</t>
    <phoneticPr fontId="6" type="noConversion"/>
  </si>
  <si>
    <t>강서구</t>
    <phoneticPr fontId="6" type="noConversion"/>
  </si>
  <si>
    <t>등촌동 641-12, 802호</t>
    <phoneticPr fontId="6" type="noConversion"/>
  </si>
  <si>
    <t>최현준</t>
    <phoneticPr fontId="6" type="noConversion"/>
  </si>
  <si>
    <t>Choi, Hyun Jun</t>
    <phoneticPr fontId="6" type="noConversion"/>
  </si>
  <si>
    <t>870110-1011923</t>
    <phoneticPr fontId="6" type="noConversion"/>
  </si>
  <si>
    <t>010-5491-0110</t>
    <phoneticPr fontId="6" type="noConversion"/>
  </si>
  <si>
    <t>9년0개월</t>
    <phoneticPr fontId="6" type="noConversion"/>
  </si>
  <si>
    <t>신구대학교</t>
    <phoneticPr fontId="6" type="noConversion"/>
  </si>
  <si>
    <t>컴퓨터 멀티미디어과</t>
    <phoneticPr fontId="6" type="noConversion"/>
  </si>
  <si>
    <t>컴퓨활용능력3급
정보기기기능사
워드프로세스1급</t>
    <phoneticPr fontId="6" type="noConversion"/>
  </si>
  <si>
    <t>대한상공회의소
한국산업인력공단
대한상공회의소
ISTQB</t>
  </si>
  <si>
    <t>2003.03
2004.03
2004.11
2017.11</t>
    <phoneticPr fontId="6" type="noConversion"/>
  </si>
  <si>
    <t>131-088072-01-017</t>
    <phoneticPr fontId="6" type="noConversion"/>
  </si>
  <si>
    <t>010-2320-8062</t>
    <phoneticPr fontId="6" type="noConversion"/>
  </si>
  <si>
    <t>hj.choi@tbell.co.kr</t>
    <phoneticPr fontId="6" type="noConversion"/>
  </si>
  <si>
    <t>고척로 49, 202동 1402호 (오류동 338, 동부골든아파트)</t>
    <phoneticPr fontId="6" type="noConversion"/>
  </si>
  <si>
    <t>조현정</t>
    <phoneticPr fontId="6" type="noConversion"/>
  </si>
  <si>
    <t>Cho, Hyun Jung</t>
    <phoneticPr fontId="6" type="noConversion"/>
  </si>
  <si>
    <t>730903-2041416</t>
    <phoneticPr fontId="6" type="noConversion"/>
  </si>
  <si>
    <t>010-4346-2311</t>
    <phoneticPr fontId="6" type="noConversion"/>
  </si>
  <si>
    <t>21년 7개월</t>
    <phoneticPr fontId="6" type="noConversion"/>
  </si>
  <si>
    <t>유한전문대학교</t>
    <phoneticPr fontId="6" type="noConversion"/>
  </si>
  <si>
    <t>전자계산과</t>
    <phoneticPr fontId="6" type="noConversion"/>
  </si>
  <si>
    <t xml:space="preserve">
SuccessFactors</t>
    <phoneticPr fontId="6" type="noConversion"/>
  </si>
  <si>
    <t xml:space="preserve">한국정보통신기술협회
한국산업인력공단
SAP
</t>
  </si>
  <si>
    <t xml:space="preserve">
1995
2016</t>
  </si>
  <si>
    <t>하나은행</t>
    <phoneticPr fontId="5" type="noConversion"/>
  </si>
  <si>
    <t>160-910357-92807</t>
    <phoneticPr fontId="6" type="noConversion"/>
  </si>
  <si>
    <t>010-3637-2439</t>
    <phoneticPr fontId="6" type="noConversion"/>
  </si>
  <si>
    <t>hj.cho@tbell.co.kr</t>
    <phoneticPr fontId="6" type="noConversion"/>
  </si>
  <si>
    <t>문화촌길 6-24, 103동 510호(홍제동, 문화촌현대아파트)</t>
    <phoneticPr fontId="6" type="noConversion"/>
  </si>
  <si>
    <t>이건혁</t>
    <phoneticPr fontId="6" type="noConversion"/>
  </si>
  <si>
    <t>SK브로드밴드 1팀</t>
  </si>
  <si>
    <t>Lee, Gun Heyk</t>
    <phoneticPr fontId="6" type="noConversion"/>
  </si>
  <si>
    <t>920215-1058330</t>
    <phoneticPr fontId="6" type="noConversion"/>
  </si>
  <si>
    <t>010-3795-0907</t>
    <phoneticPr fontId="6" type="noConversion"/>
  </si>
  <si>
    <t>1년 0개월</t>
    <phoneticPr fontId="6" type="noConversion"/>
  </si>
  <si>
    <t>085-055231-01-011</t>
    <phoneticPr fontId="6" type="noConversion"/>
  </si>
  <si>
    <t>010-5694-2308</t>
  </si>
  <si>
    <t>gh.lee@tbell.co.kr</t>
    <phoneticPr fontId="6" type="noConversion"/>
  </si>
  <si>
    <t>안양시</t>
    <phoneticPr fontId="6" type="noConversion"/>
  </si>
  <si>
    <t>동안구</t>
    <phoneticPr fontId="5" type="noConversion"/>
  </si>
  <si>
    <t>관악대로263번길 67-8, 가동 101호(비산동, 화도맨션)</t>
    <phoneticPr fontId="6" type="noConversion"/>
  </si>
  <si>
    <t>홍영실</t>
    <phoneticPr fontId="6" type="noConversion"/>
  </si>
  <si>
    <t>Hong, Yeong Sil</t>
    <phoneticPr fontId="6" type="noConversion"/>
  </si>
  <si>
    <t>990903-2233619</t>
    <phoneticPr fontId="6" type="noConversion"/>
  </si>
  <si>
    <t>010-9306-6493</t>
    <phoneticPr fontId="6" type="noConversion"/>
  </si>
  <si>
    <t>인하공업전문대학교</t>
    <phoneticPr fontId="6" type="noConversion"/>
  </si>
  <si>
    <t>컴퓨터시스템과</t>
    <phoneticPr fontId="6" type="noConversion"/>
  </si>
  <si>
    <t>508-038161-01-026</t>
    <phoneticPr fontId="6" type="noConversion"/>
  </si>
  <si>
    <t>010-4742-6499</t>
  </si>
  <si>
    <t>ys.hong@tbell.co.kr</t>
    <phoneticPr fontId="6" type="noConversion"/>
  </si>
  <si>
    <t>파주시</t>
    <phoneticPr fontId="6" type="noConversion"/>
  </si>
  <si>
    <t>파평면 배머리길 811-15</t>
    <phoneticPr fontId="6" type="noConversion"/>
  </si>
  <si>
    <t>임상욱</t>
    <phoneticPr fontId="6" type="noConversion"/>
  </si>
  <si>
    <t>카카오페이 1팀</t>
  </si>
  <si>
    <t>Lim Sang Wook</t>
    <phoneticPr fontId="6" type="noConversion"/>
  </si>
  <si>
    <t>931106-1184719</t>
    <phoneticPr fontId="6" type="noConversion"/>
  </si>
  <si>
    <t>010-4059-3674</t>
    <phoneticPr fontId="6" type="noConversion"/>
  </si>
  <si>
    <t>3년0개월</t>
    <phoneticPr fontId="6" type="noConversion"/>
  </si>
  <si>
    <t>모바일IT전공</t>
    <phoneticPr fontId="6" type="noConversion"/>
  </si>
  <si>
    <t>242-124483-01-015</t>
    <phoneticPr fontId="6" type="noConversion"/>
  </si>
  <si>
    <t>010-4158-3674</t>
  </si>
  <si>
    <t>sw.lim@tbell.co.kr</t>
    <phoneticPr fontId="6" type="noConversion"/>
  </si>
  <si>
    <t>광주시</t>
    <phoneticPr fontId="6" type="noConversion"/>
  </si>
  <si>
    <t>송정로 59-26, 2층</t>
    <phoneticPr fontId="6" type="noConversion"/>
  </si>
  <si>
    <t>조우성</t>
    <phoneticPr fontId="6" type="noConversion"/>
  </si>
  <si>
    <t>Cho Woo Sung</t>
    <phoneticPr fontId="6" type="noConversion"/>
  </si>
  <si>
    <t>950306-1388224</t>
    <phoneticPr fontId="6" type="noConversion"/>
  </si>
  <si>
    <t>010-7215-4947</t>
    <phoneticPr fontId="6" type="noConversion"/>
  </si>
  <si>
    <t>曹 佑 誠</t>
  </si>
  <si>
    <t>1년 9개월</t>
    <phoneticPr fontId="6" type="noConversion"/>
  </si>
  <si>
    <t>안산대학교</t>
    <phoneticPr fontId="6" type="noConversion"/>
  </si>
  <si>
    <t>인터넷정보과</t>
    <phoneticPr fontId="6" type="noConversion"/>
  </si>
  <si>
    <t>345-148269-01-013</t>
    <phoneticPr fontId="6" type="noConversion"/>
  </si>
  <si>
    <t>010-5450-4947</t>
    <phoneticPr fontId="6" type="noConversion"/>
  </si>
  <si>
    <t>ws.cho@tbell.co.kr</t>
    <phoneticPr fontId="6" type="noConversion"/>
  </si>
  <si>
    <t>세류동 97-20 201호</t>
    <phoneticPr fontId="6" type="noConversion"/>
  </si>
  <si>
    <t>김대현</t>
    <phoneticPr fontId="6" type="noConversion"/>
  </si>
  <si>
    <t>라인플러스 5팀</t>
  </si>
  <si>
    <t>Kim Dae Hyun</t>
    <phoneticPr fontId="6" type="noConversion"/>
  </si>
  <si>
    <t>810323-1055111</t>
    <phoneticPr fontId="6" type="noConversion"/>
  </si>
  <si>
    <t>010-3021-9812</t>
    <phoneticPr fontId="6" type="noConversion"/>
  </si>
  <si>
    <t>金 大 鉉</t>
    <phoneticPr fontId="6" type="noConversion"/>
  </si>
  <si>
    <t>11년 3개월</t>
    <phoneticPr fontId="6" type="noConversion"/>
  </si>
  <si>
    <t>선문대학교</t>
    <phoneticPr fontId="6" type="noConversion"/>
  </si>
  <si>
    <t>러시어학과</t>
    <phoneticPr fontId="6" type="noConversion"/>
  </si>
  <si>
    <t>389-122625-01-017</t>
    <phoneticPr fontId="6" type="noConversion"/>
  </si>
  <si>
    <t>010-4337-9812</t>
    <phoneticPr fontId="6" type="noConversion"/>
  </si>
  <si>
    <t>dh.kim@tbell.co.kr</t>
    <phoneticPr fontId="6" type="noConversion"/>
  </si>
  <si>
    <t>분당구</t>
    <phoneticPr fontId="5" type="noConversion"/>
  </si>
  <si>
    <t>분당로 190 101동 102호(분당동, 샛별마을)</t>
    <phoneticPr fontId="6" type="noConversion"/>
  </si>
  <si>
    <t>이혜진</t>
    <phoneticPr fontId="6" type="noConversion"/>
  </si>
  <si>
    <t>개발자</t>
  </si>
  <si>
    <t>개발연구소</t>
  </si>
  <si>
    <t>Lee Hae Jin</t>
    <phoneticPr fontId="6" type="noConversion"/>
  </si>
  <si>
    <t>740122-2235035</t>
    <phoneticPr fontId="6" type="noConversion"/>
  </si>
  <si>
    <t>010-6218-3405</t>
    <phoneticPr fontId="6" type="noConversion"/>
  </si>
  <si>
    <t>李 惠 眞</t>
    <phoneticPr fontId="6" type="noConversion"/>
  </si>
  <si>
    <t>22년 9개월</t>
    <phoneticPr fontId="6" type="noConversion"/>
  </si>
  <si>
    <t>고려대학교</t>
    <phoneticPr fontId="6" type="noConversion"/>
  </si>
  <si>
    <t>소프트웨어공학과</t>
    <phoneticPr fontId="6" type="noConversion"/>
  </si>
  <si>
    <t>석사</t>
    <phoneticPr fontId="6" type="noConversion"/>
  </si>
  <si>
    <t>컴퓨터그래픽스운용기능사</t>
    <phoneticPr fontId="6" type="noConversion"/>
  </si>
  <si>
    <t>한국산업인력공단
한국산업인력공단
KSTQB</t>
    <phoneticPr fontId="6" type="noConversion"/>
  </si>
  <si>
    <t>2007.06
2000.08
2021.09.04</t>
    <phoneticPr fontId="6" type="noConversion"/>
  </si>
  <si>
    <t>064-054748-02-017</t>
    <phoneticPr fontId="6" type="noConversion"/>
  </si>
  <si>
    <t>배우자</t>
    <phoneticPr fontId="6" type="noConversion"/>
  </si>
  <si>
    <t>010-4595-3461</t>
    <phoneticPr fontId="6" type="noConversion"/>
  </si>
  <si>
    <t>hj.lee@tbell.co.kr</t>
    <phoneticPr fontId="6" type="noConversion"/>
  </si>
  <si>
    <t>서판교로29 918동 1804호</t>
    <phoneticPr fontId="6" type="noConversion"/>
  </si>
  <si>
    <t>이수민</t>
    <phoneticPr fontId="6" type="noConversion"/>
  </si>
  <si>
    <t>Lee Su Min</t>
    <phoneticPr fontId="6" type="noConversion"/>
  </si>
  <si>
    <t>971214-2032011</t>
    <phoneticPr fontId="6" type="noConversion"/>
  </si>
  <si>
    <t>010-7626-1531</t>
    <phoneticPr fontId="6" type="noConversion"/>
  </si>
  <si>
    <t>李 秀 民</t>
    <phoneticPr fontId="6" type="noConversion"/>
  </si>
  <si>
    <t>3년 10개월</t>
    <phoneticPr fontId="6" type="noConversion"/>
  </si>
  <si>
    <t>수원정보과학고등학교</t>
    <phoneticPr fontId="6" type="noConversion"/>
  </si>
  <si>
    <t>IT산업디자인과</t>
    <phoneticPr fontId="6" type="noConversion"/>
  </si>
  <si>
    <t>111-205461-01-014</t>
    <phoneticPr fontId="6" type="noConversion"/>
  </si>
  <si>
    <t>010-2222-1531</t>
    <phoneticPr fontId="6" type="noConversion"/>
  </si>
  <si>
    <t>sumin.lee@tbell.co.kr</t>
    <phoneticPr fontId="6" type="noConversion"/>
  </si>
  <si>
    <t>월드컵로369번길 13, 202호 (우만동, 보은맨션)</t>
    <phoneticPr fontId="6" type="noConversion"/>
  </si>
  <si>
    <t>이철호</t>
    <phoneticPr fontId="6" type="noConversion"/>
  </si>
  <si>
    <t>Lee Chul Ho</t>
    <phoneticPr fontId="6" type="noConversion"/>
  </si>
  <si>
    <t>741221-1808712</t>
    <phoneticPr fontId="6" type="noConversion"/>
  </si>
  <si>
    <t>010-2278-9935</t>
    <phoneticPr fontId="6" type="noConversion"/>
  </si>
  <si>
    <t>李 哲 豪</t>
    <phoneticPr fontId="6" type="noConversion"/>
  </si>
  <si>
    <t>16년 1개월</t>
    <phoneticPr fontId="6" type="noConversion"/>
  </si>
  <si>
    <t>장훈고등학교</t>
    <phoneticPr fontId="6" type="noConversion"/>
  </si>
  <si>
    <t>정보처리기능사 2급</t>
    <phoneticPr fontId="6" type="noConversion"/>
  </si>
  <si>
    <t>한국산업인력공단</t>
    <phoneticPr fontId="6" type="noConversion"/>
  </si>
  <si>
    <t>076-097767-01-013</t>
    <phoneticPr fontId="6" type="noConversion"/>
  </si>
  <si>
    <t>010-2431-9935</t>
    <phoneticPr fontId="6" type="noConversion"/>
  </si>
  <si>
    <t>ch.lee@tbell.co.kr</t>
    <phoneticPr fontId="6" type="noConversion"/>
  </si>
  <si>
    <t>영등포구</t>
    <phoneticPr fontId="6" type="noConversion"/>
  </si>
  <si>
    <t>도신로 64가길 1 1층</t>
    <phoneticPr fontId="6" type="noConversion"/>
  </si>
  <si>
    <t>이원택</t>
    <phoneticPr fontId="6" type="noConversion"/>
  </si>
  <si>
    <t>우아한형제들 1팀</t>
  </si>
  <si>
    <t>Lee Won Taek</t>
    <phoneticPr fontId="6" type="noConversion"/>
  </si>
  <si>
    <t>970415-1065515</t>
    <phoneticPr fontId="6" type="noConversion"/>
  </si>
  <si>
    <t>010-8936-5320</t>
    <phoneticPr fontId="6" type="noConversion"/>
  </si>
  <si>
    <t>李 元 垞</t>
    <phoneticPr fontId="6" type="noConversion"/>
  </si>
  <si>
    <t>0년 0개월</t>
    <phoneticPr fontId="6" type="noConversion"/>
  </si>
  <si>
    <t>대림대학교</t>
    <phoneticPr fontId="6" type="noConversion"/>
  </si>
  <si>
    <t>모바일인터넷과</t>
    <phoneticPr fontId="6" type="noConversion"/>
  </si>
  <si>
    <t>074-104301-01-010</t>
    <phoneticPr fontId="6" type="noConversion"/>
  </si>
  <si>
    <t>010-8543-4320</t>
    <phoneticPr fontId="6" type="noConversion"/>
  </si>
  <si>
    <t>wt.lee@tbell.co.kr</t>
    <phoneticPr fontId="6" type="noConversion"/>
  </si>
  <si>
    <t>남부순환로 1430 신림푸르지오 114동 704호</t>
    <phoneticPr fontId="6" type="noConversion"/>
  </si>
  <si>
    <t>이유라</t>
    <phoneticPr fontId="6" type="noConversion"/>
  </si>
  <si>
    <t>대기자(경영전략실)</t>
  </si>
  <si>
    <t>Lee, Yura</t>
  </si>
  <si>
    <t>920917-2126213</t>
    <phoneticPr fontId="6" type="noConversion"/>
  </si>
  <si>
    <t>010-8828-0917</t>
    <phoneticPr fontId="6" type="noConversion"/>
  </si>
  <si>
    <t>李 柔 羅</t>
    <phoneticPr fontId="6" type="noConversion"/>
  </si>
  <si>
    <t>연세대학교</t>
    <phoneticPr fontId="6" type="noConversion"/>
  </si>
  <si>
    <t>독어독문학</t>
    <phoneticPr fontId="6" type="noConversion"/>
  </si>
  <si>
    <t>응용SW개발</t>
    <phoneticPr fontId="6" type="noConversion"/>
  </si>
  <si>
    <t>AI 데이터 가공 및 검수</t>
    <phoneticPr fontId="6" type="noConversion"/>
  </si>
  <si>
    <t>194-133344-01-013</t>
    <phoneticPr fontId="6" type="noConversion"/>
  </si>
  <si>
    <t>010-4873-2725</t>
    <phoneticPr fontId="6" type="noConversion"/>
  </si>
  <si>
    <t>yr.lee@tbell.co.kr</t>
    <phoneticPr fontId="6" type="noConversion"/>
  </si>
  <si>
    <t>양평로30길 38, 103-1301</t>
    <phoneticPr fontId="6" type="noConversion"/>
  </si>
  <si>
    <t>신명욱</t>
    <phoneticPr fontId="6" type="noConversion"/>
  </si>
  <si>
    <t>SK텔레콤 23팀</t>
  </si>
  <si>
    <t>SHIN, Myungwook</t>
  </si>
  <si>
    <t>880915-1155216</t>
    <phoneticPr fontId="6" type="noConversion"/>
  </si>
  <si>
    <t>010-8987-0894</t>
    <phoneticPr fontId="6" type="noConversion"/>
  </si>
  <si>
    <t>申 明 昱</t>
    <phoneticPr fontId="6" type="noConversion"/>
  </si>
  <si>
    <t>4년 5개월</t>
    <phoneticPr fontId="6" type="noConversion"/>
  </si>
  <si>
    <t>부광고등학교</t>
    <phoneticPr fontId="6" type="noConversion"/>
  </si>
  <si>
    <t>KSTQB</t>
  </si>
  <si>
    <t>2018.07.20</t>
    <phoneticPr fontId="6" type="noConversion"/>
  </si>
  <si>
    <t>592-036328-01-011</t>
    <phoneticPr fontId="6" type="noConversion"/>
  </si>
  <si>
    <t>형</t>
    <phoneticPr fontId="6" type="noConversion"/>
  </si>
  <si>
    <t>010-9980-0914</t>
    <phoneticPr fontId="6" type="noConversion"/>
  </si>
  <si>
    <t>mu.shin@tbell.co.kr</t>
    <phoneticPr fontId="6" type="noConversion"/>
  </si>
  <si>
    <t>인천시</t>
    <phoneticPr fontId="6" type="noConversion"/>
  </si>
  <si>
    <t>부평구</t>
    <phoneticPr fontId="6" type="noConversion"/>
  </si>
  <si>
    <t>경원대로 1269, 117동 503호 (신곡동, 현대아파트)</t>
    <phoneticPr fontId="6" type="noConversion"/>
  </si>
  <si>
    <t>이영선</t>
    <phoneticPr fontId="6" type="noConversion"/>
  </si>
  <si>
    <t>LEE, YeongSun</t>
  </si>
  <si>
    <t>950519-2249637</t>
    <phoneticPr fontId="6" type="noConversion"/>
  </si>
  <si>
    <t>010-6635-6908</t>
    <phoneticPr fontId="6" type="noConversion"/>
  </si>
  <si>
    <t>李 永 善</t>
    <phoneticPr fontId="6" type="noConversion"/>
  </si>
  <si>
    <t>1년 4개월</t>
    <phoneticPr fontId="6" type="noConversion"/>
  </si>
  <si>
    <t>한경대학교</t>
    <phoneticPr fontId="6" type="noConversion"/>
  </si>
  <si>
    <t>컴퓨터공학과</t>
    <phoneticPr fontId="6" type="noConversion"/>
  </si>
  <si>
    <t>한국산업인력공단
KSTQB</t>
    <phoneticPr fontId="6" type="noConversion"/>
  </si>
  <si>
    <t>2019.11.22
2022.04.14</t>
    <phoneticPr fontId="6" type="noConversion"/>
  </si>
  <si>
    <t>468-081043-01-012</t>
    <phoneticPr fontId="6" type="noConversion"/>
  </si>
  <si>
    <t>010-4072-6630</t>
    <phoneticPr fontId="6" type="noConversion"/>
  </si>
  <si>
    <t>ys.lee@tbell.co.kr</t>
    <phoneticPr fontId="6" type="noConversion"/>
  </si>
  <si>
    <t>화성시</t>
    <phoneticPr fontId="6" type="noConversion"/>
  </si>
  <si>
    <t>병점노을1로 14, 101동 703호</t>
    <phoneticPr fontId="6" type="noConversion"/>
  </si>
  <si>
    <t>양혜원</t>
    <phoneticPr fontId="6" type="noConversion"/>
  </si>
  <si>
    <t>Yang, HyeWon</t>
  </si>
  <si>
    <t>820319-2452712</t>
    <phoneticPr fontId="6" type="noConversion"/>
  </si>
  <si>
    <t>010-4028-1471</t>
    <phoneticPr fontId="6" type="noConversion"/>
  </si>
  <si>
    <t>3년 6개월</t>
    <phoneticPr fontId="6" type="noConversion"/>
  </si>
  <si>
    <t>배재대학교</t>
    <phoneticPr fontId="6" type="noConversion"/>
  </si>
  <si>
    <t>일본학과일본학</t>
    <phoneticPr fontId="6" type="noConversion"/>
  </si>
  <si>
    <t xml:space="preserve">워드프로세서 2급
JLPT 1급
</t>
    <phoneticPr fontId="6" type="noConversion"/>
  </si>
  <si>
    <t>대한상공회의소
국제교류기금
KSTQB</t>
    <phoneticPr fontId="6" type="noConversion"/>
  </si>
  <si>
    <t>2009.01
2007.02
2021.09.04</t>
    <phoneticPr fontId="6" type="noConversion"/>
  </si>
  <si>
    <t>051-118083-01-019</t>
    <phoneticPr fontId="6" type="noConversion"/>
  </si>
  <si>
    <t>자매</t>
    <phoneticPr fontId="6" type="noConversion"/>
  </si>
  <si>
    <t>010-9526-1479</t>
    <phoneticPr fontId="6" type="noConversion"/>
  </si>
  <si>
    <t>hyewon.yang@tbell.co.kr</t>
    <phoneticPr fontId="6" type="noConversion"/>
  </si>
  <si>
    <t>성동구</t>
    <phoneticPr fontId="6" type="noConversion"/>
  </si>
  <si>
    <t>마조로7길 15(행당동)</t>
    <phoneticPr fontId="6" type="noConversion"/>
  </si>
  <si>
    <t>송재현</t>
    <phoneticPr fontId="6" type="noConversion"/>
  </si>
  <si>
    <t>사원</t>
  </si>
  <si>
    <t>Song, Jae Hyeon</t>
    <phoneticPr fontId="6" type="noConversion"/>
  </si>
  <si>
    <t>951109-1025913</t>
    <phoneticPr fontId="6" type="noConversion"/>
  </si>
  <si>
    <t>010-3910-6506</t>
    <phoneticPr fontId="6" type="noConversion"/>
  </si>
  <si>
    <t>宋宰弦</t>
    <phoneticPr fontId="6" type="noConversion"/>
  </si>
  <si>
    <t>서일대학교</t>
    <phoneticPr fontId="6" type="noConversion"/>
  </si>
  <si>
    <t>컴퓨터응용전자과</t>
    <phoneticPr fontId="6" type="noConversion"/>
  </si>
  <si>
    <t>005-112710-01-012</t>
    <phoneticPr fontId="6" type="noConversion"/>
  </si>
  <si>
    <t>010-6554-6506</t>
    <phoneticPr fontId="6" type="noConversion"/>
  </si>
  <si>
    <t>jh.song@tbell.co.kr</t>
    <phoneticPr fontId="6" type="noConversion"/>
  </si>
  <si>
    <t>강북구</t>
    <phoneticPr fontId="6" type="noConversion"/>
  </si>
  <si>
    <t xml:space="preserve"> 삼양로27길 19, 215동 401호 (미아동,삼성래미안트리베라아파트)</t>
    <phoneticPr fontId="6" type="noConversion"/>
  </si>
  <si>
    <t>김준하</t>
    <phoneticPr fontId="6" type="noConversion"/>
  </si>
  <si>
    <t>KIM, Junha</t>
  </si>
  <si>
    <t>000206-3403929</t>
    <phoneticPr fontId="6" type="noConversion"/>
  </si>
  <si>
    <t>010-8559-7560</t>
    <phoneticPr fontId="6" type="noConversion"/>
  </si>
  <si>
    <t>金俊夏</t>
    <phoneticPr fontId="6" type="noConversion"/>
  </si>
  <si>
    <t>세종대학교(휴학)</t>
    <phoneticPr fontId="6" type="noConversion"/>
  </si>
  <si>
    <t>컴퓨터공학</t>
    <phoneticPr fontId="6" type="noConversion"/>
  </si>
  <si>
    <t>정보처리기능사</t>
    <phoneticPr fontId="6" type="noConversion"/>
  </si>
  <si>
    <t>2018.07.18</t>
    <phoneticPr fontId="6" type="noConversion"/>
  </si>
  <si>
    <t>977-039689-01-013</t>
    <phoneticPr fontId="6" type="noConversion"/>
  </si>
  <si>
    <t>010-6293-5956</t>
    <phoneticPr fontId="6" type="noConversion"/>
  </si>
  <si>
    <t>junha.kim@tbell.co.kr</t>
    <phoneticPr fontId="6" type="noConversion"/>
  </si>
  <si>
    <t>남부순환로 1527 (신림동) 502호</t>
    <phoneticPr fontId="6" type="noConversion"/>
  </si>
  <si>
    <t>최세욱</t>
    <phoneticPr fontId="6" type="noConversion"/>
  </si>
  <si>
    <t>CHOI, Sewook</t>
  </si>
  <si>
    <t>920626-1005711</t>
    <phoneticPr fontId="6" type="noConversion"/>
  </si>
  <si>
    <t>010-6223-5999</t>
    <phoneticPr fontId="6" type="noConversion"/>
  </si>
  <si>
    <t xml:space="preserve">崔世煜 </t>
    <phoneticPr fontId="6" type="noConversion"/>
  </si>
  <si>
    <t>건국대학교사범대학부속고등학교</t>
    <phoneticPr fontId="6" type="noConversion"/>
  </si>
  <si>
    <t>문과</t>
    <phoneticPr fontId="6" type="noConversion"/>
  </si>
  <si>
    <t>KSTQB</t>
    <phoneticPr fontId="6" type="noConversion"/>
  </si>
  <si>
    <t>2022.06.16</t>
    <phoneticPr fontId="6" type="noConversion"/>
  </si>
  <si>
    <t>478-077654-02-014</t>
    <phoneticPr fontId="6" type="noConversion"/>
  </si>
  <si>
    <t>010-8982-6702</t>
    <phoneticPr fontId="6" type="noConversion"/>
  </si>
  <si>
    <t>sw.choi@tbell.co.kr</t>
    <phoneticPr fontId="6" type="noConversion"/>
  </si>
  <si>
    <t>광진구</t>
    <phoneticPr fontId="6" type="noConversion"/>
  </si>
  <si>
    <t>뚝섬로45길 40 (자양동)</t>
    <phoneticPr fontId="6" type="noConversion"/>
  </si>
  <si>
    <t>김예경</t>
    <phoneticPr fontId="6" type="noConversion"/>
  </si>
  <si>
    <t>우아한형제들 2팀</t>
  </si>
  <si>
    <t>KIM, Yekyeong</t>
  </si>
  <si>
    <t>010420-4187419</t>
    <phoneticPr fontId="6" type="noConversion"/>
  </si>
  <si>
    <t>010-8854-1381</t>
    <phoneticPr fontId="6" type="noConversion"/>
  </si>
  <si>
    <t>金禮京</t>
    <phoneticPr fontId="6" type="noConversion"/>
  </si>
  <si>
    <t>융합소프트웨어과</t>
    <phoneticPr fontId="6" type="noConversion"/>
  </si>
  <si>
    <t>167-153649-01-011</t>
    <phoneticPr fontId="6" type="noConversion"/>
  </si>
  <si>
    <t>010-9262-1381</t>
    <phoneticPr fontId="6" type="noConversion"/>
  </si>
  <si>
    <t>yk.kim@tbell.co.kr</t>
    <phoneticPr fontId="6" type="noConversion"/>
  </si>
  <si>
    <t>광명시</t>
    <phoneticPr fontId="6" type="noConversion"/>
  </si>
  <si>
    <t>광명로927번길 6-10, 302호(광명동, 보륭빌라)</t>
    <phoneticPr fontId="6" type="noConversion"/>
  </si>
  <si>
    <t>이동연</t>
    <phoneticPr fontId="6" type="noConversion"/>
  </si>
  <si>
    <t>LEE, DongYeon</t>
  </si>
  <si>
    <t>990317-1064119</t>
    <phoneticPr fontId="6" type="noConversion"/>
  </si>
  <si>
    <t>010-2021-9871</t>
    <phoneticPr fontId="6" type="noConversion"/>
  </si>
  <si>
    <t>李同淵</t>
    <phoneticPr fontId="6" type="noConversion"/>
  </si>
  <si>
    <t>555-041722-01-011</t>
    <phoneticPr fontId="6" type="noConversion"/>
  </si>
  <si>
    <t>010-3480-9870</t>
    <phoneticPr fontId="6" type="noConversion"/>
  </si>
  <si>
    <t>dongyeon.lee@tbell.co.kr</t>
    <phoneticPr fontId="6" type="noConversion"/>
  </si>
  <si>
    <t>김포시</t>
    <phoneticPr fontId="6" type="noConversion"/>
  </si>
  <si>
    <t>전원로 28, 110동 1302호 (운양동,전원마을)</t>
    <phoneticPr fontId="6" type="noConversion"/>
  </si>
  <si>
    <t>이태민</t>
    <phoneticPr fontId="6" type="noConversion"/>
  </si>
  <si>
    <t>라인플러스 3팀</t>
  </si>
  <si>
    <t>LEE, TaeMin</t>
  </si>
  <si>
    <t>990724-1177415</t>
    <phoneticPr fontId="6" type="noConversion"/>
  </si>
  <si>
    <t>010-6540-0724</t>
    <phoneticPr fontId="6" type="noConversion"/>
  </si>
  <si>
    <t>李兌敏</t>
    <phoneticPr fontId="6" type="noConversion"/>
  </si>
  <si>
    <t>컴퓨터정보학부</t>
    <phoneticPr fontId="6" type="noConversion"/>
  </si>
  <si>
    <t>142-172595-01-018</t>
    <phoneticPr fontId="6" type="noConversion"/>
  </si>
  <si>
    <t>010-4310-8574</t>
    <phoneticPr fontId="6" type="noConversion"/>
  </si>
  <si>
    <t>tm.lee@tbell.co.kr</t>
    <phoneticPr fontId="6" type="noConversion"/>
  </si>
  <si>
    <t>만안구</t>
    <phoneticPr fontId="5" type="noConversion"/>
  </si>
  <si>
    <t>만안구 경수대로 1193, 102동 1502호 (석수동,석수e편한세상아파트)</t>
    <phoneticPr fontId="6" type="noConversion"/>
  </si>
  <si>
    <t>허용석</t>
    <phoneticPr fontId="6" type="noConversion"/>
  </si>
  <si>
    <t>HEO, Yongseok</t>
  </si>
  <si>
    <t>911116-1042127</t>
    <phoneticPr fontId="6" type="noConversion"/>
  </si>
  <si>
    <t>010-7930-6830</t>
    <phoneticPr fontId="6" type="noConversion"/>
  </si>
  <si>
    <t>許容碩</t>
    <phoneticPr fontId="6" type="noConversion"/>
  </si>
  <si>
    <t>강원대학교</t>
    <phoneticPr fontId="6" type="noConversion"/>
  </si>
  <si>
    <t>건축공학과</t>
    <phoneticPr fontId="6" type="noConversion"/>
  </si>
  <si>
    <t>666-042363-01-011</t>
    <phoneticPr fontId="6" type="noConversion"/>
  </si>
  <si>
    <t>010-2372-6830</t>
    <phoneticPr fontId="6" type="noConversion"/>
  </si>
  <si>
    <t>ys.heo@tbell.co.kr</t>
    <phoneticPr fontId="6" type="noConversion"/>
  </si>
  <si>
    <t>관천로 125-17 B03호(신림동)</t>
    <phoneticPr fontId="6" type="noConversion"/>
  </si>
  <si>
    <t>장지원</t>
    <phoneticPr fontId="6" type="noConversion"/>
  </si>
  <si>
    <t>JANGJiWon</t>
  </si>
  <si>
    <t>990408-2149027</t>
    <phoneticPr fontId="6" type="noConversion"/>
  </si>
  <si>
    <t>010-4726-3021</t>
    <phoneticPr fontId="6" type="noConversion"/>
  </si>
  <si>
    <t>張知元</t>
    <phoneticPr fontId="6" type="noConversion"/>
  </si>
  <si>
    <t>정보통신공학과</t>
    <phoneticPr fontId="6" type="noConversion"/>
  </si>
  <si>
    <t>129-080922-02-017</t>
    <phoneticPr fontId="6" type="noConversion"/>
  </si>
  <si>
    <t>010-4605-3118</t>
    <phoneticPr fontId="6" type="noConversion"/>
  </si>
  <si>
    <t>jw.jang@tbell.co.kr</t>
    <phoneticPr fontId="6" type="noConversion"/>
  </si>
  <si>
    <t>연수구</t>
    <phoneticPr fontId="6" type="noConversion"/>
  </si>
  <si>
    <t>한나루로105번길 68, 408동 2103호(옥련동,현대아파트)</t>
    <phoneticPr fontId="6" type="noConversion"/>
  </si>
  <si>
    <t>유주상</t>
    <phoneticPr fontId="6" type="noConversion"/>
  </si>
  <si>
    <t>스푼랩스 1팀</t>
  </si>
  <si>
    <t>YOU, JuSang</t>
  </si>
  <si>
    <t>911231-1012210</t>
    <phoneticPr fontId="6" type="noConversion"/>
  </si>
  <si>
    <t>010-2041-4376</t>
    <phoneticPr fontId="6" type="noConversion"/>
  </si>
  <si>
    <t>劉周相</t>
    <phoneticPr fontId="6" type="noConversion"/>
  </si>
  <si>
    <t>송곡고등학교</t>
    <phoneticPr fontId="6" type="noConversion"/>
  </si>
  <si>
    <t>478-077875-02-010</t>
    <phoneticPr fontId="6" type="noConversion"/>
  </si>
  <si>
    <t>010-9876-4376</t>
    <phoneticPr fontId="6" type="noConversion"/>
  </si>
  <si>
    <t>js.you@tbell.co.kr</t>
    <phoneticPr fontId="6" type="noConversion"/>
  </si>
  <si>
    <t>중랑구</t>
    <phoneticPr fontId="6" type="noConversion"/>
  </si>
  <si>
    <t>상봉로16길 9-9</t>
    <phoneticPr fontId="6" type="noConversion"/>
  </si>
  <si>
    <t>이호빈</t>
    <phoneticPr fontId="6" type="noConversion"/>
  </si>
  <si>
    <t>LEE, HoBin</t>
  </si>
  <si>
    <t>931208-1169524</t>
    <phoneticPr fontId="6" type="noConversion"/>
  </si>
  <si>
    <t>010-4047-9465</t>
    <phoneticPr fontId="6" type="noConversion"/>
  </si>
  <si>
    <t>李鎬彬</t>
    <phoneticPr fontId="6" type="noConversion"/>
  </si>
  <si>
    <t>5년 0개월</t>
    <phoneticPr fontId="6" type="noConversion"/>
  </si>
  <si>
    <t>용인예술대학교</t>
    <phoneticPr fontId="6" type="noConversion"/>
  </si>
  <si>
    <t>467-043392-01-011</t>
    <phoneticPr fontId="6" type="noConversion"/>
  </si>
  <si>
    <t>010-3064-9465</t>
    <phoneticPr fontId="6" type="noConversion"/>
  </si>
  <si>
    <t>hb.lee@tbell.co.kr</t>
    <phoneticPr fontId="6" type="noConversion"/>
  </si>
  <si>
    <t>삼지곡길46,A동 202호</t>
    <phoneticPr fontId="6" type="noConversion"/>
  </si>
  <si>
    <t>박성진</t>
    <phoneticPr fontId="6" type="noConversion"/>
  </si>
  <si>
    <t>PARK, Seongjin</t>
  </si>
  <si>
    <t>010511-3726618</t>
    <phoneticPr fontId="6" type="noConversion"/>
  </si>
  <si>
    <t>010-8519-1249</t>
    <phoneticPr fontId="6" type="noConversion"/>
  </si>
  <si>
    <t>朴晟鎭</t>
    <phoneticPr fontId="6" type="noConversion"/>
  </si>
  <si>
    <t>컴퓨터활용 2급</t>
    <phoneticPr fontId="6" type="noConversion"/>
  </si>
  <si>
    <t>대한상공회의소</t>
    <phoneticPr fontId="6" type="noConversion"/>
  </si>
  <si>
    <t>2021.07.30</t>
    <phoneticPr fontId="6" type="noConversion"/>
  </si>
  <si>
    <t>974-052099-01-015</t>
    <phoneticPr fontId="6" type="noConversion"/>
  </si>
  <si>
    <t>010-2530-9283</t>
    <phoneticPr fontId="6" type="noConversion"/>
  </si>
  <si>
    <t>sj.park@tbell.co.kr</t>
    <phoneticPr fontId="6" type="noConversion"/>
  </si>
  <si>
    <t>일월천로4번길 74, 103동 901호 (구운동, 성원아파트)</t>
    <phoneticPr fontId="6" type="noConversion"/>
  </si>
  <si>
    <t>박유리안나</t>
    <phoneticPr fontId="6" type="noConversion"/>
  </si>
  <si>
    <t>PARK, yulianna</t>
    <phoneticPr fontId="6" type="noConversion"/>
  </si>
  <si>
    <t>941130-2055316</t>
    <phoneticPr fontId="6" type="noConversion"/>
  </si>
  <si>
    <t>010-9559-0259</t>
    <phoneticPr fontId="6" type="noConversion"/>
  </si>
  <si>
    <t xml:space="preserve"> 朴유리안나</t>
    <phoneticPr fontId="6" type="noConversion"/>
  </si>
  <si>
    <t>삼육대학교</t>
    <phoneticPr fontId="6" type="noConversion"/>
  </si>
  <si>
    <t>유아교육과</t>
    <phoneticPr fontId="6" type="noConversion"/>
  </si>
  <si>
    <t>129-081122-01-013</t>
    <phoneticPr fontId="6" type="noConversion"/>
  </si>
  <si>
    <t>010-4280-3581</t>
    <phoneticPr fontId="6" type="noConversion"/>
  </si>
  <si>
    <t>yulianna.park@tbell.co.kr</t>
    <phoneticPr fontId="6" type="noConversion"/>
  </si>
  <si>
    <t>광덕1로 80, 138동 203호 (초지동,호수마을아파트)</t>
    <phoneticPr fontId="6" type="noConversion"/>
  </si>
  <si>
    <t>정홍근</t>
    <phoneticPr fontId="6" type="noConversion"/>
  </si>
  <si>
    <t>JEONG, HongGeun</t>
  </si>
  <si>
    <t>950717-1030716</t>
    <phoneticPr fontId="6" type="noConversion"/>
  </si>
  <si>
    <t>010-2618-1620</t>
    <phoneticPr fontId="6" type="noConversion"/>
  </si>
  <si>
    <t>鄭弘根</t>
    <phoneticPr fontId="6" type="noConversion"/>
  </si>
  <si>
    <t>서인천고등학교</t>
    <phoneticPr fontId="6" type="noConversion"/>
  </si>
  <si>
    <t>351-126481-01-014</t>
    <phoneticPr fontId="6" type="noConversion"/>
  </si>
  <si>
    <t>010-2560-1620</t>
    <phoneticPr fontId="6" type="noConversion"/>
  </si>
  <si>
    <t>hg.jeong@tbell.co.kr</t>
    <phoneticPr fontId="6" type="noConversion"/>
  </si>
  <si>
    <t>서구</t>
    <phoneticPr fontId="6" type="noConversion"/>
  </si>
  <si>
    <t>대평로56번길 32 101동 202호(연희동,우성아파트)</t>
    <phoneticPr fontId="6" type="noConversion"/>
  </si>
  <si>
    <t>구민준</t>
    <phoneticPr fontId="6" type="noConversion"/>
  </si>
  <si>
    <t>GOO, Minjoon</t>
  </si>
  <si>
    <t>941020-1861616</t>
    <phoneticPr fontId="6" type="noConversion"/>
  </si>
  <si>
    <t>010-5194-6772</t>
    <phoneticPr fontId="6" type="noConversion"/>
  </si>
  <si>
    <t>具民寯</t>
    <phoneticPr fontId="6" type="noConversion"/>
  </si>
  <si>
    <t>명지대학교</t>
    <phoneticPr fontId="6" type="noConversion"/>
  </si>
  <si>
    <t>중어중문학과</t>
    <phoneticPr fontId="6" type="noConversion"/>
  </si>
  <si>
    <t>049-090142-01-012</t>
    <phoneticPr fontId="6" type="noConversion"/>
  </si>
  <si>
    <t>010-3004-0115</t>
    <phoneticPr fontId="6" type="noConversion"/>
  </si>
  <si>
    <t>mj.goo@tbell.co.kr</t>
    <phoneticPr fontId="6" type="noConversion"/>
  </si>
  <si>
    <t>마포구</t>
    <phoneticPr fontId="6" type="noConversion"/>
  </si>
  <si>
    <t>서강로 95, 102동 2002호(창전동, 창전동삼성아파트)</t>
    <phoneticPr fontId="6" type="noConversion"/>
  </si>
  <si>
    <t>사혜진</t>
    <phoneticPr fontId="6" type="noConversion"/>
  </si>
  <si>
    <t>SK텔레콤 21팀</t>
  </si>
  <si>
    <t>SA, Hyejin</t>
  </si>
  <si>
    <t>920611-2184017</t>
    <phoneticPr fontId="6" type="noConversion"/>
  </si>
  <si>
    <t>010-6319-8402</t>
    <phoneticPr fontId="6" type="noConversion"/>
  </si>
  <si>
    <t>史惠鎭</t>
    <phoneticPr fontId="6" type="noConversion"/>
  </si>
  <si>
    <t>고려직업전문학교</t>
    <phoneticPr fontId="6" type="noConversion"/>
  </si>
  <si>
    <t>관광경영</t>
    <phoneticPr fontId="6" type="noConversion"/>
  </si>
  <si>
    <t>114-185045-01-010</t>
    <phoneticPr fontId="6" type="noConversion"/>
  </si>
  <si>
    <t>010-5017-8402</t>
    <phoneticPr fontId="6" type="noConversion"/>
  </si>
  <si>
    <t>hj.sa@tbell.co.kr</t>
    <phoneticPr fontId="6" type="noConversion"/>
  </si>
  <si>
    <t>원미로77번길 20-2, A동 402호(원미동, 뜨란채A)</t>
    <phoneticPr fontId="6" type="noConversion"/>
  </si>
  <si>
    <t>김민주</t>
    <phoneticPr fontId="6" type="noConversion"/>
  </si>
  <si>
    <t>Kim, Minju</t>
  </si>
  <si>
    <t>921218-1709711</t>
    <phoneticPr fontId="6" type="noConversion"/>
  </si>
  <si>
    <t>010-6666-7742</t>
    <phoneticPr fontId="6" type="noConversion"/>
  </si>
  <si>
    <t>金民主</t>
    <phoneticPr fontId="6" type="noConversion"/>
  </si>
  <si>
    <t>대구대학교</t>
    <phoneticPr fontId="6" type="noConversion"/>
  </si>
  <si>
    <t>멀티미디어공학</t>
    <phoneticPr fontId="6" type="noConversion"/>
  </si>
  <si>
    <t>023-145265-01-012</t>
    <phoneticPr fontId="6" type="noConversion"/>
  </si>
  <si>
    <t>010-3701-3607</t>
    <phoneticPr fontId="6" type="noConversion"/>
  </si>
  <si>
    <t>mj.kim@tbell.co.kr</t>
    <phoneticPr fontId="6" type="noConversion"/>
  </si>
  <si>
    <t>중구</t>
    <phoneticPr fontId="6" type="noConversion"/>
  </si>
  <si>
    <t>오장동 148-16 남산센트럴시티투웨니퍼스트 609호</t>
    <phoneticPr fontId="6" type="noConversion"/>
  </si>
  <si>
    <t>이승록</t>
    <phoneticPr fontId="6" type="noConversion"/>
  </si>
  <si>
    <t>LEE, Seungrok</t>
  </si>
  <si>
    <t>950618-1188715</t>
    <phoneticPr fontId="6" type="noConversion"/>
  </si>
  <si>
    <t>010-2628-2650</t>
    <phoneticPr fontId="6" type="noConversion"/>
  </si>
  <si>
    <t>李承祿</t>
    <phoneticPr fontId="6" type="noConversion"/>
  </si>
  <si>
    <t>1년 3개월</t>
    <phoneticPr fontId="6" type="noConversion"/>
  </si>
  <si>
    <t>광운대학교</t>
    <phoneticPr fontId="6" type="noConversion"/>
  </si>
  <si>
    <t>문화콘텐츠 개발</t>
    <phoneticPr fontId="6" type="noConversion"/>
  </si>
  <si>
    <t>221-448847-01-018</t>
    <phoneticPr fontId="6" type="noConversion"/>
  </si>
  <si>
    <t>010-3128-6274</t>
    <phoneticPr fontId="6" type="noConversion"/>
  </si>
  <si>
    <t>sr.lee@tbell.co.kr</t>
    <phoneticPr fontId="6" type="noConversion"/>
  </si>
  <si>
    <t>도봉구</t>
    <phoneticPr fontId="6" type="noConversion"/>
  </si>
  <si>
    <t>시루봉로 260-7, B동 302호 (방학동, 한림그린맨숀)</t>
    <phoneticPr fontId="6" type="noConversion"/>
  </si>
  <si>
    <t>진예은</t>
    <phoneticPr fontId="6" type="noConversion"/>
  </si>
  <si>
    <t>JIN, Yeeun</t>
  </si>
  <si>
    <t>991013-2177813</t>
    <phoneticPr fontId="6" type="noConversion"/>
  </si>
  <si>
    <t>010-4996-7256</t>
    <phoneticPr fontId="6" type="noConversion"/>
  </si>
  <si>
    <t>陳睿恩</t>
    <phoneticPr fontId="6" type="noConversion"/>
  </si>
  <si>
    <t>검정고시</t>
    <phoneticPr fontId="6" type="noConversion"/>
  </si>
  <si>
    <t>536-056248-02-012</t>
    <phoneticPr fontId="6" type="noConversion"/>
  </si>
  <si>
    <t>010-5302-7256</t>
    <phoneticPr fontId="6" type="noConversion"/>
  </si>
  <si>
    <t>ye.jin@tbell.co.kr</t>
    <phoneticPr fontId="6" type="noConversion"/>
  </si>
  <si>
    <t>현충로24번길 14, 1006호(안양동, 더베이프리미엄아파트)</t>
    <phoneticPr fontId="6" type="noConversion"/>
  </si>
  <si>
    <t>박선홍</t>
    <phoneticPr fontId="6" type="noConversion"/>
  </si>
  <si>
    <t>PARK, Seonhong</t>
  </si>
  <si>
    <t>990604-2246915</t>
    <phoneticPr fontId="6" type="noConversion"/>
  </si>
  <si>
    <t>010-8394-8882</t>
    <phoneticPr fontId="6" type="noConversion"/>
  </si>
  <si>
    <t>朴宣紅</t>
    <phoneticPr fontId="6" type="noConversion"/>
  </si>
  <si>
    <t>이현고등학교</t>
    <phoneticPr fontId="6" type="noConversion"/>
  </si>
  <si>
    <t>389-128779-01-017</t>
    <phoneticPr fontId="6" type="noConversion"/>
  </si>
  <si>
    <t>010-7591-8882</t>
    <phoneticPr fontId="6" type="noConversion"/>
  </si>
  <si>
    <t>sh.park@tbell.co.kr</t>
    <phoneticPr fontId="6" type="noConversion"/>
  </si>
  <si>
    <t>신사로24길 4</t>
    <phoneticPr fontId="6" type="noConversion"/>
  </si>
  <si>
    <t>강문혁</t>
    <phoneticPr fontId="6" type="noConversion"/>
  </si>
  <si>
    <t>KANG, MoonHyeok</t>
  </si>
  <si>
    <t>980109-1326217</t>
    <phoneticPr fontId="6" type="noConversion"/>
  </si>
  <si>
    <t>010-9658-6933</t>
    <phoneticPr fontId="6" type="noConversion"/>
  </si>
  <si>
    <t>康文赫</t>
    <phoneticPr fontId="6" type="noConversion"/>
  </si>
  <si>
    <t>334-084747-01-014</t>
    <phoneticPr fontId="6" type="noConversion"/>
  </si>
  <si>
    <t>010-3331-6933</t>
    <phoneticPr fontId="6" type="noConversion"/>
  </si>
  <si>
    <t>mh.kang@tbell.co.kr</t>
    <phoneticPr fontId="6" type="noConversion"/>
  </si>
  <si>
    <t>김포한강9로 11, 406동 902호 (김포한강 예미지)</t>
    <phoneticPr fontId="6" type="noConversion"/>
  </si>
  <si>
    <t>김완수</t>
    <phoneticPr fontId="6" type="noConversion"/>
  </si>
  <si>
    <t>부사장</t>
  </si>
  <si>
    <t>761015-1011948</t>
    <phoneticPr fontId="6" type="noConversion"/>
  </si>
  <si>
    <t>010-4604-2552</t>
    <phoneticPr fontId="6" type="noConversion"/>
  </si>
  <si>
    <t>金完洙</t>
    <phoneticPr fontId="6" type="noConversion"/>
  </si>
  <si>
    <t>19년 7개월</t>
    <phoneticPr fontId="6" type="noConversion"/>
  </si>
  <si>
    <t>서울과학기술대학교</t>
    <phoneticPr fontId="6" type="noConversion"/>
  </si>
  <si>
    <t>행정학과</t>
    <phoneticPr fontId="6" type="noConversion"/>
  </si>
  <si>
    <t>257-073319-01-015</t>
    <phoneticPr fontId="6" type="noConversion"/>
  </si>
  <si>
    <t>010-6416-9795</t>
    <phoneticPr fontId="6" type="noConversion"/>
  </si>
  <si>
    <t>ws.kim@tbell.co.kr</t>
    <phoneticPr fontId="6" type="noConversion"/>
  </si>
  <si>
    <t>신내로 51, 105동 103호(신내동, 성원아파트)</t>
    <phoneticPr fontId="6" type="noConversion"/>
  </si>
  <si>
    <t>이유나</t>
    <phoneticPr fontId="6" type="noConversion"/>
  </si>
  <si>
    <t>LEE, Yuna</t>
  </si>
  <si>
    <t>921026-2012527</t>
    <phoneticPr fontId="6" type="noConversion"/>
  </si>
  <si>
    <t>010-4097-3509</t>
    <phoneticPr fontId="6" type="noConversion"/>
  </si>
  <si>
    <t>화학공학과</t>
    <phoneticPr fontId="6" type="noConversion"/>
  </si>
  <si>
    <t>667-048034-01-010</t>
    <phoneticPr fontId="6" type="noConversion"/>
  </si>
  <si>
    <t>010-3766-3509</t>
    <phoneticPr fontId="6" type="noConversion"/>
  </si>
  <si>
    <t>yn.lee@tbell.co.kr</t>
    <phoneticPr fontId="6" type="noConversion"/>
  </si>
  <si>
    <t>남양주시</t>
    <phoneticPr fontId="6" type="noConversion"/>
  </si>
  <si>
    <t>호평로94, 2106동 1201호(호평동,호평마을 금강아파트)</t>
    <phoneticPr fontId="6" type="noConversion"/>
  </si>
  <si>
    <t>이여솔</t>
    <phoneticPr fontId="6" type="noConversion"/>
  </si>
  <si>
    <t>SK텔레콤 25팀</t>
  </si>
  <si>
    <t>LEE, Yesol</t>
  </si>
  <si>
    <t>970613-2065811</t>
    <phoneticPr fontId="6" type="noConversion"/>
  </si>
  <si>
    <t>010-8781-2342</t>
    <phoneticPr fontId="6" type="noConversion"/>
  </si>
  <si>
    <t>한양여자대학교</t>
    <phoneticPr fontId="6" type="noConversion"/>
  </si>
  <si>
    <t>도예과</t>
    <phoneticPr fontId="6" type="noConversion"/>
  </si>
  <si>
    <t>051-125488-01-014</t>
    <phoneticPr fontId="6" type="noConversion"/>
  </si>
  <si>
    <t>010-5328-1513</t>
    <phoneticPr fontId="6" type="noConversion"/>
  </si>
  <si>
    <t>yeosol.lee@tbell.co.kr</t>
    <phoneticPr fontId="6" type="noConversion"/>
  </si>
  <si>
    <t>양천구</t>
    <phoneticPr fontId="6" type="noConversion"/>
  </si>
  <si>
    <t>목동중앙북로8길 138-11 A동 401호 (목동,서원아트빌)</t>
    <phoneticPr fontId="6" type="noConversion"/>
  </si>
  <si>
    <t>김진섭</t>
    <phoneticPr fontId="6" type="noConversion"/>
  </si>
  <si>
    <t>KIM, Jinseop</t>
  </si>
  <si>
    <t>900607-1178211</t>
    <phoneticPr fontId="6" type="noConversion"/>
  </si>
  <si>
    <t>010-7280-8229</t>
    <phoneticPr fontId="6" type="noConversion"/>
  </si>
  <si>
    <t>7년 8개월</t>
    <phoneticPr fontId="6" type="noConversion"/>
  </si>
  <si>
    <t>남서울대학교</t>
    <phoneticPr fontId="6" type="noConversion"/>
  </si>
  <si>
    <t>2016.02.23</t>
    <phoneticPr fontId="6" type="noConversion"/>
  </si>
  <si>
    <t>481-062761-02-013</t>
    <phoneticPr fontId="6" type="noConversion"/>
  </si>
  <si>
    <t>010-5386-9119</t>
    <phoneticPr fontId="6" type="noConversion"/>
  </si>
  <si>
    <t>js.kim@tbell.co.kr</t>
    <phoneticPr fontId="6" type="noConversion"/>
  </si>
  <si>
    <t>용인시</t>
    <phoneticPr fontId="6" type="noConversion"/>
  </si>
  <si>
    <t>수지구</t>
    <phoneticPr fontId="6" type="noConversion"/>
  </si>
  <si>
    <t>현암로125번길 11, 716동 2202호(죽전동, 새터마을죽전힐스테이트)</t>
    <phoneticPr fontId="6" type="noConversion"/>
  </si>
  <si>
    <t>이수현</t>
    <phoneticPr fontId="6" type="noConversion"/>
  </si>
  <si>
    <t>LEE, Suhyeon</t>
  </si>
  <si>
    <t>041221-4068911</t>
    <phoneticPr fontId="6" type="noConversion"/>
  </si>
  <si>
    <t>010-7705-9510</t>
    <phoneticPr fontId="6" type="noConversion"/>
  </si>
  <si>
    <t>서울디지텍고등학교</t>
    <phoneticPr fontId="6" type="noConversion"/>
  </si>
  <si>
    <t>IOT(사물인터넷)과</t>
    <phoneticPr fontId="6" type="noConversion"/>
  </si>
  <si>
    <t>071-119776-02-014</t>
    <phoneticPr fontId="6" type="noConversion"/>
  </si>
  <si>
    <t>010-8973-9000</t>
    <phoneticPr fontId="6" type="noConversion"/>
  </si>
  <si>
    <t>sh.lee@tbell.co.kr</t>
    <phoneticPr fontId="6" type="noConversion"/>
  </si>
  <si>
    <t>동작구</t>
    <phoneticPr fontId="6" type="noConversion"/>
  </si>
  <si>
    <t>여의대방로44길 10, 111동 1902호(대방동, 대림아파트)</t>
    <phoneticPr fontId="6" type="noConversion"/>
  </si>
  <si>
    <t>김다인</t>
    <phoneticPr fontId="6" type="noConversion"/>
  </si>
  <si>
    <t>뱅크웨어글로벌 1팀</t>
  </si>
  <si>
    <t>KIM, Dain</t>
  </si>
  <si>
    <t>011016-4183021</t>
    <phoneticPr fontId="6" type="noConversion"/>
  </si>
  <si>
    <t>010-6223-2301</t>
    <phoneticPr fontId="6" type="noConversion"/>
  </si>
  <si>
    <t>배화여자대학교</t>
    <phoneticPr fontId="6" type="noConversion"/>
  </si>
  <si>
    <t>정보보호과</t>
    <phoneticPr fontId="6" type="noConversion"/>
  </si>
  <si>
    <t>403-097774-01-017</t>
    <phoneticPr fontId="6" type="noConversion"/>
  </si>
  <si>
    <t>010-2480-2300</t>
    <phoneticPr fontId="6" type="noConversion"/>
  </si>
  <si>
    <t>di.kim@tbell.co.kr</t>
    <phoneticPr fontId="6" type="noConversion"/>
  </si>
  <si>
    <t>계양구</t>
    <phoneticPr fontId="6" type="noConversion"/>
  </si>
  <si>
    <t>도두리로 52, 502동 305호(작전동, 도두리마을동보아파트)</t>
    <phoneticPr fontId="6" type="noConversion"/>
  </si>
  <si>
    <t>송다겸</t>
    <phoneticPr fontId="6" type="noConversion"/>
  </si>
  <si>
    <t>SONG, Dagyum</t>
  </si>
  <si>
    <t>960903-2035121</t>
    <phoneticPr fontId="6" type="noConversion"/>
  </si>
  <si>
    <t>010-2055-9815</t>
    <phoneticPr fontId="6" type="noConversion"/>
  </si>
  <si>
    <t>대진대학교</t>
    <phoneticPr fontId="6" type="noConversion"/>
  </si>
  <si>
    <t>전자공학과</t>
    <phoneticPr fontId="6" type="noConversion"/>
  </si>
  <si>
    <t>컴퓨터활용1급</t>
    <phoneticPr fontId="6" type="noConversion"/>
  </si>
  <si>
    <t>621-021178-01-018</t>
    <phoneticPr fontId="6" type="noConversion"/>
  </si>
  <si>
    <t>010-8867-0815</t>
    <phoneticPr fontId="6" type="noConversion"/>
  </si>
  <si>
    <t>dg.song@tbell.co.kr</t>
    <phoneticPr fontId="6" type="noConversion"/>
  </si>
  <si>
    <t>성북구</t>
    <phoneticPr fontId="6" type="noConversion"/>
  </si>
  <si>
    <t>한천로 713, 507동 8층 804호 (장위동, 래미안장위퍼스트하이)</t>
    <phoneticPr fontId="6" type="noConversion"/>
  </si>
  <si>
    <t>박정민</t>
    <phoneticPr fontId="6" type="noConversion"/>
  </si>
  <si>
    <t>PARK, Jeongmin</t>
  </si>
  <si>
    <t>950629-1095013</t>
    <phoneticPr fontId="6" type="noConversion"/>
  </si>
  <si>
    <t>010-7556-2329</t>
    <phoneticPr fontId="6" type="noConversion"/>
  </si>
  <si>
    <t>국가평생교육진흥원</t>
    <phoneticPr fontId="6" type="noConversion"/>
  </si>
  <si>
    <t>사회복지</t>
    <phoneticPr fontId="6" type="noConversion"/>
  </si>
  <si>
    <t>168-032246-01-017</t>
    <phoneticPr fontId="6" type="noConversion"/>
  </si>
  <si>
    <t>010-4665-0165</t>
    <phoneticPr fontId="6" type="noConversion"/>
  </si>
  <si>
    <t>jm.park@tbell.co.kr</t>
    <phoneticPr fontId="6" type="noConversion"/>
  </si>
  <si>
    <t>군포시</t>
    <phoneticPr fontId="6" type="noConversion"/>
  </si>
  <si>
    <t>산본로 299, 220동 904호(금정동, 주공아파트)</t>
    <phoneticPr fontId="6" type="noConversion"/>
  </si>
  <si>
    <t>양하영</t>
    <phoneticPr fontId="6" type="noConversion"/>
  </si>
  <si>
    <t>YANG, Ha yeong</t>
  </si>
  <si>
    <t>980312-2216129</t>
    <phoneticPr fontId="6" type="noConversion"/>
  </si>
  <si>
    <t>010-3382-0869</t>
    <phoneticPr fontId="6" type="noConversion"/>
  </si>
  <si>
    <t>스마트IT과</t>
    <phoneticPr fontId="6" type="noConversion"/>
  </si>
  <si>
    <t>660-005996-01-018</t>
    <phoneticPr fontId="6" type="noConversion"/>
  </si>
  <si>
    <t>010-2869-2524</t>
    <phoneticPr fontId="6" type="noConversion"/>
  </si>
  <si>
    <t>ha.yang@tbell.co.kr</t>
    <phoneticPr fontId="6" type="noConversion"/>
  </si>
  <si>
    <t>기흥구</t>
    <phoneticPr fontId="6" type="noConversion"/>
  </si>
  <si>
    <t>덕영대로2077번길 8, 103동 402호(영덕동, 두진아파트)</t>
    <phoneticPr fontId="6" type="noConversion"/>
  </si>
  <si>
    <t>서보람</t>
    <phoneticPr fontId="6" type="noConversion"/>
  </si>
  <si>
    <t>수석</t>
  </si>
  <si>
    <t>SK텔레콤 19팀</t>
  </si>
  <si>
    <t>SEO, Boram</t>
  </si>
  <si>
    <t>770716-1006218</t>
    <phoneticPr fontId="6" type="noConversion"/>
  </si>
  <si>
    <t>010-9059-5833</t>
    <phoneticPr fontId="6" type="noConversion"/>
  </si>
  <si>
    <t>20년 5개월</t>
    <phoneticPr fontId="6" type="noConversion"/>
  </si>
  <si>
    <t>수원과학대학교</t>
    <phoneticPr fontId="6" type="noConversion"/>
  </si>
  <si>
    <t>전기과</t>
    <phoneticPr fontId="6" type="noConversion"/>
  </si>
  <si>
    <t>네트워크관리사
컴퓨터그래픽스운용기능사
사무자동화산업기사</t>
    <phoneticPr fontId="6" type="noConversion"/>
  </si>
  <si>
    <t>137-095120-01-016</t>
    <phoneticPr fontId="6" type="noConversion"/>
  </si>
  <si>
    <t>010-8776-7408</t>
    <phoneticPr fontId="6" type="noConversion"/>
  </si>
  <si>
    <t>br.seo@tbell.co.kr</t>
    <phoneticPr fontId="6" type="noConversion"/>
  </si>
  <si>
    <t>신도림로 87, 105동 401호(신도림동, 신도림1차동아아파트)</t>
    <phoneticPr fontId="6" type="noConversion"/>
  </si>
  <si>
    <t>고민지</t>
    <phoneticPr fontId="6" type="noConversion"/>
  </si>
  <si>
    <t>KO, Minji</t>
  </si>
  <si>
    <t>010104-4666018</t>
    <phoneticPr fontId="6" type="noConversion"/>
  </si>
  <si>
    <t>010-2204-6592</t>
    <phoneticPr fontId="6" type="noConversion"/>
  </si>
  <si>
    <t>289-113313-01-011</t>
    <phoneticPr fontId="6" type="noConversion"/>
  </si>
  <si>
    <t> 010-7769-8115</t>
  </si>
  <si>
    <t>mj.ko@tbell.co.kr</t>
    <phoneticPr fontId="6" type="noConversion"/>
  </si>
  <si>
    <t>시청로 85, 209동 1202호 (아동동, 신안실크밸리2차아파트)</t>
    <phoneticPr fontId="6" type="noConversion"/>
  </si>
  <si>
    <t>김성현</t>
    <phoneticPr fontId="6" type="noConversion"/>
  </si>
  <si>
    <t>KIM, Seonghyun</t>
  </si>
  <si>
    <t>960201-1064916</t>
    <phoneticPr fontId="6" type="noConversion"/>
  </si>
  <si>
    <t>010-7676-5593</t>
    <phoneticPr fontId="6" type="noConversion"/>
  </si>
  <si>
    <t>동양미래대학교</t>
    <phoneticPr fontId="6" type="noConversion"/>
  </si>
  <si>
    <t>컴퓨터소프트웨어공학과</t>
    <phoneticPr fontId="6" type="noConversion"/>
  </si>
  <si>
    <t>525-020665-01-013</t>
    <phoneticPr fontId="6" type="noConversion"/>
  </si>
  <si>
    <t> 010-2552-2450 </t>
  </si>
  <si>
    <t>sh.kim@tbell.co.kr</t>
    <phoneticPr fontId="6" type="noConversion"/>
  </si>
  <si>
    <t>새말길 174-3, 202호 (신현동, 신촌하우스)</t>
    <phoneticPr fontId="6" type="noConversion"/>
  </si>
  <si>
    <t>온주환</t>
    <phoneticPr fontId="6" type="noConversion"/>
  </si>
  <si>
    <t>ON, Joohwan</t>
  </si>
  <si>
    <t>941219-1077313</t>
    <phoneticPr fontId="6" type="noConversion"/>
  </si>
  <si>
    <t>010-4006-8991</t>
    <phoneticPr fontId="6" type="noConversion"/>
  </si>
  <si>
    <t>단국대학교사범대학부속고등학교</t>
    <phoneticPr fontId="6" type="noConversion"/>
  </si>
  <si>
    <t>478-078831-02-011</t>
    <phoneticPr fontId="6" type="noConversion"/>
  </si>
  <si>
    <t>010-9077-5684</t>
  </si>
  <si>
    <t>jh.on@tbell.co.kr</t>
    <phoneticPr fontId="6" type="noConversion"/>
  </si>
  <si>
    <t>죽전로 121, 105동 1301호(죽전동, 꽃메마을아이파크)</t>
    <phoneticPr fontId="6" type="noConversion"/>
  </si>
  <si>
    <t>안소현</t>
    <phoneticPr fontId="6" type="noConversion"/>
  </si>
  <si>
    <t>AHN, Sohyun</t>
  </si>
  <si>
    <t>940127-2051215</t>
    <phoneticPr fontId="6" type="noConversion"/>
  </si>
  <si>
    <t>010-8256-0355</t>
    <phoneticPr fontId="6" type="noConversion"/>
  </si>
  <si>
    <t>한성여자고등학교</t>
    <phoneticPr fontId="6" type="noConversion"/>
  </si>
  <si>
    <t>022-116892-01-012</t>
    <phoneticPr fontId="6" type="noConversion"/>
  </si>
  <si>
    <t>010-8756-0355 </t>
  </si>
  <si>
    <t>sh.ahn@tbell.co.kr</t>
    <phoneticPr fontId="6" type="noConversion"/>
  </si>
  <si>
    <t>종로구</t>
    <phoneticPr fontId="6" type="noConversion"/>
  </si>
  <si>
    <t>지봉로14길 8-1, 4층(숭인동)</t>
    <phoneticPr fontId="6" type="noConversion"/>
  </si>
  <si>
    <t>여지은</t>
    <phoneticPr fontId="6" type="noConversion"/>
  </si>
  <si>
    <t>YEO, Jieun</t>
  </si>
  <si>
    <t>820530-2011749</t>
    <phoneticPr fontId="6" type="noConversion"/>
  </si>
  <si>
    <t>010-2049-1328</t>
    <phoneticPr fontId="6" type="noConversion"/>
  </si>
  <si>
    <t>일본학과</t>
    <phoneticPr fontId="6" type="noConversion"/>
  </si>
  <si>
    <t>컴퓨터활용2급</t>
    <phoneticPr fontId="6" type="noConversion"/>
  </si>
  <si>
    <t>216-116905-01-017</t>
    <phoneticPr fontId="6" type="noConversion"/>
  </si>
  <si>
    <t xml:space="preserve"> 010-8845-4717</t>
    <phoneticPr fontId="6" type="noConversion"/>
  </si>
  <si>
    <t>je.yeo@tbell.co.kr</t>
    <phoneticPr fontId="6" type="noConversion"/>
  </si>
  <si>
    <t>사가정로72길 26, 107동 303호 (면목동, 한양수자인사가정파트)</t>
    <phoneticPr fontId="6" type="noConversion"/>
  </si>
  <si>
    <t>홍원정</t>
    <phoneticPr fontId="6" type="noConversion"/>
  </si>
  <si>
    <t>HONG, Wonjeong</t>
  </si>
  <si>
    <t>951225-2203311</t>
    <phoneticPr fontId="6" type="noConversion"/>
  </si>
  <si>
    <t>010-2867-9578</t>
    <phoneticPr fontId="6" type="noConversion"/>
  </si>
  <si>
    <t>실무일본어학과</t>
    <phoneticPr fontId="6" type="noConversion"/>
  </si>
  <si>
    <t>2024-01-11</t>
    <phoneticPr fontId="6" type="noConversion"/>
  </si>
  <si>
    <t>216-106135-01-013</t>
    <phoneticPr fontId="6" type="noConversion"/>
  </si>
  <si>
    <t>010-5638-8597</t>
    <phoneticPr fontId="6" type="noConversion"/>
  </si>
  <si>
    <t>wj.hong@tbell.co.kr</t>
    <phoneticPr fontId="6" type="noConversion"/>
  </si>
  <si>
    <t>병점노을1로 14, 화정병점주택 104동 603호</t>
    <phoneticPr fontId="6" type="noConversion"/>
  </si>
  <si>
    <t>박명일</t>
    <phoneticPr fontId="6" type="noConversion"/>
  </si>
  <si>
    <t>현대오토에버 1팀</t>
  </si>
  <si>
    <t>PARK, Myoungil</t>
  </si>
  <si>
    <t>820919-1067731</t>
    <phoneticPr fontId="6" type="noConversion"/>
  </si>
  <si>
    <t>010-9140-9921</t>
    <phoneticPr fontId="6" type="noConversion"/>
  </si>
  <si>
    <t>14년 10개월</t>
    <phoneticPr fontId="6" type="noConversion"/>
  </si>
  <si>
    <t>서초전자공업고등하교</t>
    <phoneticPr fontId="6" type="noConversion"/>
  </si>
  <si>
    <t>전자과</t>
    <phoneticPr fontId="6" type="noConversion"/>
  </si>
  <si>
    <t>478-078936-01-012</t>
    <phoneticPr fontId="6" type="noConversion"/>
  </si>
  <si>
    <t>010-8268-1737</t>
    <phoneticPr fontId="6" type="noConversion"/>
  </si>
  <si>
    <t>mi.park@tbell.co.kr</t>
    <phoneticPr fontId="6" type="noConversion"/>
  </si>
  <si>
    <t>관악로37길 20, 201동 508호(봉천동, 봉천동아아파트)</t>
    <phoneticPr fontId="6" type="noConversion"/>
  </si>
  <si>
    <t>정재형</t>
    <phoneticPr fontId="6" type="noConversion"/>
  </si>
  <si>
    <t>SK텔레콤 22팀</t>
  </si>
  <si>
    <t>JEONG, Jaehyeong</t>
  </si>
  <si>
    <t>930212-1012212</t>
    <phoneticPr fontId="6" type="noConversion"/>
  </si>
  <si>
    <t>010-9364-6881</t>
    <phoneticPr fontId="6" type="noConversion"/>
  </si>
  <si>
    <t>2년 2개월</t>
    <phoneticPr fontId="6" type="noConversion"/>
  </si>
  <si>
    <t>014-139504-02-016</t>
    <phoneticPr fontId="6" type="noConversion"/>
  </si>
  <si>
    <t>010-8711-6881</t>
  </si>
  <si>
    <t>jh.jeong@tbell.co.kr</t>
    <phoneticPr fontId="6" type="noConversion"/>
  </si>
  <si>
    <t>상봉로1길 31-6(면목동)</t>
    <phoneticPr fontId="6" type="noConversion"/>
  </si>
  <si>
    <t>신혜은</t>
    <phoneticPr fontId="6" type="noConversion"/>
  </si>
  <si>
    <t>SHIN, Hyeeun</t>
  </si>
  <si>
    <t>990904-2932415</t>
    <phoneticPr fontId="6" type="noConversion"/>
  </si>
  <si>
    <t>010-3078-4232</t>
    <phoneticPr fontId="6" type="noConversion"/>
  </si>
  <si>
    <t>0년 8개월</t>
    <phoneticPr fontId="6" type="noConversion"/>
  </si>
  <si>
    <t>목표대학교</t>
    <phoneticPr fontId="6" type="noConversion"/>
  </si>
  <si>
    <t>융합소프트웨어학과</t>
    <phoneticPr fontId="6" type="noConversion"/>
  </si>
  <si>
    <t>315-085677-02-014</t>
    <phoneticPr fontId="6" type="noConversion"/>
  </si>
  <si>
    <t>010-3697-4232</t>
    <phoneticPr fontId="6" type="noConversion"/>
  </si>
  <si>
    <t>he.shin@tbell.co.kr</t>
    <phoneticPr fontId="6" type="noConversion"/>
  </si>
  <si>
    <t>동작대로9다길 24(사당동)</t>
    <phoneticPr fontId="6" type="noConversion"/>
  </si>
  <si>
    <t>이성미</t>
    <phoneticPr fontId="6" type="noConversion"/>
  </si>
  <si>
    <t>엔지니어</t>
  </si>
  <si>
    <t>LG전자 2팀</t>
  </si>
  <si>
    <t>LEE, Sungmi</t>
  </si>
  <si>
    <t>770123-2768218</t>
    <phoneticPr fontId="6" type="noConversion"/>
  </si>
  <si>
    <t>010-9372-8244</t>
    <phoneticPr fontId="6" type="noConversion"/>
  </si>
  <si>
    <t>11년 6개월</t>
    <phoneticPr fontId="6" type="noConversion"/>
  </si>
  <si>
    <t>경북대학교</t>
    <phoneticPr fontId="6" type="noConversion"/>
  </si>
  <si>
    <t>정보통신공학전공</t>
    <phoneticPr fontId="6" type="noConversion"/>
  </si>
  <si>
    <t>421-048358-01-017</t>
    <phoneticPr fontId="6" type="noConversion"/>
  </si>
  <si>
    <t>010-3080-8244</t>
    <phoneticPr fontId="6" type="noConversion"/>
  </si>
  <si>
    <t>sm.lee@tbell.co.kr</t>
    <phoneticPr fontId="6" type="noConversion"/>
  </si>
  <si>
    <t>진산로 24, 119동 803호 (상현동, 진산마을성원상떼빌아파트)</t>
    <phoneticPr fontId="6" type="noConversion"/>
  </si>
  <si>
    <t>노미숙</t>
    <phoneticPr fontId="6" type="noConversion"/>
  </si>
  <si>
    <t>GS리테일 7팀</t>
  </si>
  <si>
    <t>NOH, Misook</t>
  </si>
  <si>
    <t>790206-2031810</t>
    <phoneticPr fontId="6" type="noConversion"/>
  </si>
  <si>
    <t>010-3015-1128</t>
    <phoneticPr fontId="6" type="noConversion"/>
  </si>
  <si>
    <t>전산정보처리과</t>
    <phoneticPr fontId="6" type="noConversion"/>
  </si>
  <si>
    <t>540-030488-01-014</t>
    <phoneticPr fontId="6" type="noConversion"/>
  </si>
  <si>
    <t>010-3014-1117</t>
    <phoneticPr fontId="6" type="noConversion"/>
  </si>
  <si>
    <t>ms.noh@tbell.co.kr</t>
    <phoneticPr fontId="6" type="noConversion"/>
  </si>
  <si>
    <t>태장로845,135동 1302호(장기동, 한강센트럴자이)</t>
    <phoneticPr fontId="6" type="noConversion"/>
  </si>
  <si>
    <t>김의원</t>
    <phoneticPr fontId="6" type="noConversion"/>
  </si>
  <si>
    <t>KIM, Euiwon</t>
  </si>
  <si>
    <t>910809-1066810</t>
    <phoneticPr fontId="6" type="noConversion"/>
  </si>
  <si>
    <t>010-3342-8663</t>
    <phoneticPr fontId="6" type="noConversion"/>
  </si>
  <si>
    <t>신소재공학과</t>
    <phoneticPr fontId="6" type="noConversion"/>
  </si>
  <si>
    <t>078-200820-01-017</t>
    <phoneticPr fontId="6" type="noConversion"/>
  </si>
  <si>
    <t>010-5501-8663</t>
    <phoneticPr fontId="6" type="noConversion"/>
  </si>
  <si>
    <t>ew.kim@tbell.co.kr</t>
    <phoneticPr fontId="6" type="noConversion"/>
  </si>
  <si>
    <t>경춘로1015번길 26-5, 103동 108호 (금곡동, 한림주택)</t>
    <phoneticPr fontId="6" type="noConversion"/>
  </si>
  <si>
    <t>박서현</t>
    <phoneticPr fontId="6" type="noConversion"/>
  </si>
  <si>
    <t>PARK, Seohyun</t>
  </si>
  <si>
    <t>960124-2150011</t>
    <phoneticPr fontId="6" type="noConversion"/>
  </si>
  <si>
    <t>010-4160-5753</t>
    <phoneticPr fontId="6" type="noConversion"/>
  </si>
  <si>
    <t>0년 11개월</t>
    <phoneticPr fontId="6" type="noConversion"/>
  </si>
  <si>
    <t>인천재능대학교</t>
    <phoneticPr fontId="6" type="noConversion"/>
  </si>
  <si>
    <t>955-021115-01-018</t>
    <phoneticPr fontId="6" type="noConversion"/>
  </si>
  <si>
    <t>010-4093-5753</t>
    <phoneticPr fontId="6" type="noConversion"/>
  </si>
  <si>
    <t>seohyun.park@tbell.co.kr</t>
    <phoneticPr fontId="6" type="noConversion"/>
  </si>
  <si>
    <t>청라한울로 95, 310동 2402호(청라동, 청라제일풍경채)</t>
    <phoneticPr fontId="6" type="noConversion"/>
  </si>
  <si>
    <t>최성주</t>
    <phoneticPr fontId="6" type="noConversion"/>
  </si>
  <si>
    <t>CHOI, Sungju</t>
  </si>
  <si>
    <t>951015-1173729</t>
    <phoneticPr fontId="6" type="noConversion"/>
  </si>
  <si>
    <t>010-9957-5119</t>
    <phoneticPr fontId="6" type="noConversion"/>
  </si>
  <si>
    <t>송현고등학교</t>
    <phoneticPr fontId="6" type="noConversion"/>
  </si>
  <si>
    <t>112-226241-02-012</t>
    <phoneticPr fontId="6" type="noConversion"/>
  </si>
  <si>
    <t>010-5399-1015</t>
    <phoneticPr fontId="6" type="noConversion"/>
  </si>
  <si>
    <t>sj.choi@tbell.co.kr</t>
    <phoneticPr fontId="6" type="noConversion"/>
  </si>
  <si>
    <t>의정부시</t>
    <phoneticPr fontId="6" type="noConversion"/>
  </si>
  <si>
    <t>장곡로226번길 83, 101동 401호(장암동,장암더샵포레스트)</t>
    <phoneticPr fontId="6" type="noConversion"/>
  </si>
  <si>
    <t>문현지</t>
    <phoneticPr fontId="6" type="noConversion"/>
  </si>
  <si>
    <t>Moon, Hyunji</t>
  </si>
  <si>
    <t>970319-2933012</t>
    <phoneticPr fontId="6" type="noConversion"/>
  </si>
  <si>
    <t>010-9855-5696</t>
    <phoneticPr fontId="6" type="noConversion"/>
  </si>
  <si>
    <t>세화고등학교</t>
    <phoneticPr fontId="6" type="noConversion"/>
  </si>
  <si>
    <t>198-081450-01-010</t>
    <phoneticPr fontId="6" type="noConversion"/>
  </si>
  <si>
    <t>010-4511-7350</t>
    <phoneticPr fontId="6" type="noConversion"/>
  </si>
  <si>
    <t>hj.moon@tbell.co.kr</t>
    <phoneticPr fontId="6" type="noConversion"/>
  </si>
  <si>
    <t>신림로58길 47 한아름마을 402호</t>
    <phoneticPr fontId="6" type="noConversion"/>
  </si>
  <si>
    <t>이가현</t>
    <phoneticPr fontId="6" type="noConversion"/>
  </si>
  <si>
    <t>LEE, Gahyeon</t>
  </si>
  <si>
    <t>000824-4535612</t>
    <phoneticPr fontId="6" type="noConversion"/>
  </si>
  <si>
    <t>010-2606-5733</t>
    <phoneticPr fontId="6" type="noConversion"/>
  </si>
  <si>
    <t>목포대학교</t>
    <phoneticPr fontId="6" type="noConversion"/>
  </si>
  <si>
    <t>184-097512-02-018</t>
    <phoneticPr fontId="6" type="noConversion"/>
  </si>
  <si>
    <t>동거인</t>
    <phoneticPr fontId="6" type="noConversion"/>
  </si>
  <si>
    <t>010-7337-6704</t>
    <phoneticPr fontId="6" type="noConversion"/>
  </si>
  <si>
    <t>gahyeon.lee@tbell.co.kr</t>
    <phoneticPr fontId="6" type="noConversion"/>
  </si>
  <si>
    <t>매봉로 134 본동신동아아파트 6동 605호</t>
    <phoneticPr fontId="6" type="noConversion"/>
  </si>
  <si>
    <t>이달문</t>
    <phoneticPr fontId="6" type="noConversion"/>
  </si>
  <si>
    <t>LEE, Dalmoon</t>
  </si>
  <si>
    <t>890123-1058329</t>
    <phoneticPr fontId="6" type="noConversion"/>
  </si>
  <si>
    <t>010-3178-2451</t>
    <phoneticPr fontId="6" type="noConversion"/>
  </si>
  <si>
    <t>4년 6개월</t>
    <phoneticPr fontId="6" type="noConversion"/>
  </si>
  <si>
    <t>한국폴리텍Ⅱ대학교</t>
    <phoneticPr fontId="6" type="noConversion"/>
  </si>
  <si>
    <t>금형디자인과</t>
    <phoneticPr fontId="6" type="noConversion"/>
  </si>
  <si>
    <t>473-041419-01-014</t>
    <phoneticPr fontId="6" type="noConversion"/>
  </si>
  <si>
    <t xml:space="preserve">010-9087-2323 </t>
    <phoneticPr fontId="6" type="noConversion"/>
  </si>
  <si>
    <t>dm.lee@tbell.co.kr</t>
    <phoneticPr fontId="6" type="noConversion"/>
  </si>
  <si>
    <t>삼작로368번길 15-7, D동 201호(원종동, 백합빌라)</t>
    <phoneticPr fontId="6" type="noConversion"/>
  </si>
  <si>
    <t>김가은</t>
    <phoneticPr fontId="6" type="noConversion"/>
  </si>
  <si>
    <t>KIM, Gaeun</t>
  </si>
  <si>
    <t>001117-4483013</t>
    <phoneticPr fontId="6" type="noConversion"/>
  </si>
  <si>
    <t>010-5505-8900</t>
    <phoneticPr fontId="6" type="noConversion"/>
  </si>
  <si>
    <t>정보보호학과</t>
    <phoneticPr fontId="6" type="noConversion"/>
  </si>
  <si>
    <t>정보처리기능사
워드프로세서
컴퓨터활용 2급</t>
    <phoneticPr fontId="6" type="noConversion"/>
  </si>
  <si>
    <t>2019-12-26
2019-02-01
2017-06-09</t>
    <phoneticPr fontId="6" type="noConversion"/>
  </si>
  <si>
    <t>181-167865-01-014</t>
    <phoneticPr fontId="6" type="noConversion"/>
  </si>
  <si>
    <t>010-6552-6700</t>
  </si>
  <si>
    <t>ge.kim@tbell.co.kr</t>
    <phoneticPr fontId="6" type="noConversion"/>
  </si>
  <si>
    <t>봉천로12길 25, 904호(신림동)</t>
    <phoneticPr fontId="6" type="noConversion"/>
  </si>
  <si>
    <t>이보람</t>
    <phoneticPr fontId="6" type="noConversion"/>
  </si>
  <si>
    <t>LEE, Boram</t>
  </si>
  <si>
    <t>820410-1065918</t>
    <phoneticPr fontId="6" type="noConversion"/>
  </si>
  <si>
    <t>010-3023-9409</t>
    <phoneticPr fontId="6" type="noConversion"/>
  </si>
  <si>
    <t>1년 00개월</t>
    <phoneticPr fontId="6" type="noConversion"/>
  </si>
  <si>
    <t>청주대학교</t>
    <phoneticPr fontId="6" type="noConversion"/>
  </si>
  <si>
    <t>컴퓨터정보공학과</t>
    <phoneticPr fontId="6" type="noConversion"/>
  </si>
  <si>
    <t>389-096527-01-014</t>
    <phoneticPr fontId="6" type="noConversion"/>
  </si>
  <si>
    <t>누나</t>
    <phoneticPr fontId="6" type="noConversion"/>
  </si>
  <si>
    <t xml:space="preserve">010-3243-9409 </t>
    <phoneticPr fontId="6" type="noConversion"/>
  </si>
  <si>
    <t>br.lee@tbell.co.kr</t>
    <phoneticPr fontId="6" type="noConversion"/>
  </si>
  <si>
    <t>분당구</t>
    <phoneticPr fontId="6" type="noConversion"/>
  </si>
  <si>
    <t>분당로201번길 17, 114동 702호(서현동, 효자촌)</t>
    <phoneticPr fontId="6" type="noConversion"/>
  </si>
  <si>
    <t>이현직</t>
    <phoneticPr fontId="6" type="noConversion"/>
  </si>
  <si>
    <t>LEE, Hyunjik</t>
  </si>
  <si>
    <t>800909-1069918</t>
    <phoneticPr fontId="6" type="noConversion"/>
  </si>
  <si>
    <t>010-9496-2029</t>
    <phoneticPr fontId="6" type="noConversion"/>
  </si>
  <si>
    <t>16년 7개월</t>
    <phoneticPr fontId="6" type="noConversion"/>
  </si>
  <si>
    <t>전북대학교</t>
    <phoneticPr fontId="6" type="noConversion"/>
  </si>
  <si>
    <t>정보통신학과</t>
    <phoneticPr fontId="6" type="noConversion"/>
  </si>
  <si>
    <t>경영지원 총괄</t>
    <phoneticPr fontId="6" type="noConversion"/>
  </si>
  <si>
    <t>국민은행</t>
    <phoneticPr fontId="5" type="noConversion"/>
  </si>
  <si>
    <t>234302-04-023497</t>
    <phoneticPr fontId="6" type="noConversion"/>
  </si>
  <si>
    <t>010-9441-1032</t>
    <phoneticPr fontId="6" type="noConversion"/>
  </si>
  <si>
    <t>hyunjik.lee@tbell.co.kr</t>
    <phoneticPr fontId="6" type="noConversion"/>
  </si>
  <si>
    <t>철산로 57 1314동 1208호(철산3동,주공13단지)</t>
    <phoneticPr fontId="6" type="noConversion"/>
  </si>
  <si>
    <t>경기도 광명시 시청로 70 철산자이더헤리티지 105동 2001호</t>
    <phoneticPr fontId="6" type="noConversion"/>
  </si>
  <si>
    <t>김태은</t>
    <phoneticPr fontId="6" type="noConversion"/>
  </si>
  <si>
    <t>KIM, Taeeun</t>
  </si>
  <si>
    <t>941121-2222110</t>
    <phoneticPr fontId="6" type="noConversion"/>
  </si>
  <si>
    <t>010-6272-9313</t>
    <phoneticPr fontId="6" type="noConversion"/>
  </si>
  <si>
    <t>0년 7개월</t>
    <phoneticPr fontId="6" type="noConversion"/>
  </si>
  <si>
    <t>경민대학교</t>
    <phoneticPr fontId="6" type="noConversion"/>
  </si>
  <si>
    <t>호텔외식조리</t>
    <phoneticPr fontId="6" type="noConversion"/>
  </si>
  <si>
    <t>242-134899-01-019</t>
    <phoneticPr fontId="6" type="noConversion"/>
  </si>
  <si>
    <t xml:space="preserve">010-8296-9313 </t>
    <phoneticPr fontId="6" type="noConversion"/>
  </si>
  <si>
    <t>te.kim@tbell.co.kr</t>
    <phoneticPr fontId="6" type="noConversion"/>
  </si>
  <si>
    <t>광주역8로 14, 202동 604호(역동, 경기광주역행복주택)</t>
    <phoneticPr fontId="6" type="noConversion"/>
  </si>
  <si>
    <t>선다운</t>
    <phoneticPr fontId="6" type="noConversion"/>
  </si>
  <si>
    <t>SUN, Daun</t>
  </si>
  <si>
    <t>961231-2057816</t>
    <phoneticPr fontId="6" type="noConversion"/>
  </si>
  <si>
    <t>010-7628-0464</t>
    <phoneticPr fontId="6" type="noConversion"/>
  </si>
  <si>
    <t>5년 5개월</t>
    <phoneticPr fontId="6" type="noConversion"/>
  </si>
  <si>
    <t>숭실원격생교육원대학교</t>
    <phoneticPr fontId="6" type="noConversion"/>
  </si>
  <si>
    <t>053-082341-02-022</t>
    <phoneticPr fontId="6" type="noConversion"/>
  </si>
  <si>
    <t>010-7552-0464</t>
    <phoneticPr fontId="6" type="noConversion"/>
  </si>
  <si>
    <t>du.sun@tbell.co.kr</t>
    <phoneticPr fontId="6" type="noConversion"/>
  </si>
  <si>
    <t>신길로40길 19(신길동)</t>
    <phoneticPr fontId="6" type="noConversion"/>
  </si>
  <si>
    <t>정선경</t>
    <phoneticPr fontId="6" type="noConversion"/>
  </si>
  <si>
    <t>흥국생명 1팀</t>
  </si>
  <si>
    <t>JUNG, Sunkyung</t>
  </si>
  <si>
    <t>820723-2009218</t>
    <phoneticPr fontId="6" type="noConversion"/>
  </si>
  <si>
    <t>010-6669-2624</t>
    <phoneticPr fontId="6" type="noConversion"/>
  </si>
  <si>
    <t>경영과</t>
    <phoneticPr fontId="6" type="noConversion"/>
  </si>
  <si>
    <t>011-076779-01-026</t>
    <phoneticPr fontId="6" type="noConversion"/>
  </si>
  <si>
    <t>010-3215-4597</t>
    <phoneticPr fontId="6" type="noConversion"/>
  </si>
  <si>
    <t>sk.jung@tbell.co.kr</t>
    <phoneticPr fontId="6" type="noConversion"/>
  </si>
  <si>
    <t>노원구</t>
    <phoneticPr fontId="6" type="noConversion"/>
  </si>
  <si>
    <t>중계로 230, 508동 1001호(중계동, 주공아파트)</t>
    <phoneticPr fontId="6" type="noConversion"/>
  </si>
  <si>
    <t>성한솔</t>
    <phoneticPr fontId="6" type="noConversion"/>
  </si>
  <si>
    <t>SUNG, Hansol</t>
  </si>
  <si>
    <t>941015-2162617</t>
    <phoneticPr fontId="6" type="noConversion"/>
  </si>
  <si>
    <t>010-3455-5434</t>
    <phoneticPr fontId="6" type="noConversion"/>
  </si>
  <si>
    <t>성신여자대학교</t>
    <phoneticPr fontId="6" type="noConversion"/>
  </si>
  <si>
    <t>의류학과</t>
    <phoneticPr fontId="6" type="noConversion"/>
  </si>
  <si>
    <t>081-134349-02-014</t>
    <phoneticPr fontId="6" type="noConversion"/>
  </si>
  <si>
    <t>010-7533-4570</t>
    <phoneticPr fontId="6" type="noConversion"/>
  </si>
  <si>
    <t>hs.sung@tbell.co.kr</t>
    <phoneticPr fontId="6" type="noConversion"/>
  </si>
  <si>
    <t>목감로 188, 301호(광명동, 신우빌라)</t>
    <phoneticPr fontId="6" type="noConversion"/>
  </si>
  <si>
    <t>송민주</t>
    <phoneticPr fontId="6" type="noConversion"/>
  </si>
  <si>
    <t>SONG, Minju</t>
  </si>
  <si>
    <t>001115-4483817</t>
    <phoneticPr fontId="6" type="noConversion"/>
  </si>
  <si>
    <t>184-097526-01-010</t>
    <phoneticPr fontId="6" type="noConversion"/>
  </si>
  <si>
    <t>010-7211-6704</t>
    <phoneticPr fontId="6" type="noConversion"/>
  </si>
  <si>
    <t>mj.song@tbell.co.kr</t>
    <phoneticPr fontId="6" type="noConversion"/>
  </si>
  <si>
    <t>매봉로 134 신동아아파트 6동 605호</t>
    <phoneticPr fontId="6" type="noConversion"/>
  </si>
  <si>
    <t>김현진</t>
    <phoneticPr fontId="6" type="noConversion"/>
  </si>
  <si>
    <t>KIM, Hyunjin</t>
  </si>
  <si>
    <t>980511-2151713</t>
    <phoneticPr fontId="6" type="noConversion"/>
  </si>
  <si>
    <t>010-8698-9802</t>
    <phoneticPr fontId="6" type="noConversion"/>
  </si>
  <si>
    <t>4년 0개월</t>
    <phoneticPr fontId="6" type="noConversion"/>
  </si>
  <si>
    <t>동서울대학교</t>
    <phoneticPr fontId="6" type="noConversion"/>
  </si>
  <si>
    <t>게임콘텐츠과</t>
    <phoneticPr fontId="6" type="noConversion"/>
  </si>
  <si>
    <t>129-078305-01-010</t>
    <phoneticPr fontId="6" type="noConversion"/>
  </si>
  <si>
    <t>010-6346-6933</t>
    <phoneticPr fontId="6" type="noConversion"/>
  </si>
  <si>
    <t>hyunjin.kim@tbell.co.kr</t>
    <phoneticPr fontId="6" type="noConversion"/>
  </si>
  <si>
    <t>법원단지길 158-8, B01호(신림동, 청림빌라)</t>
    <phoneticPr fontId="6" type="noConversion"/>
  </si>
  <si>
    <t>김지수</t>
    <phoneticPr fontId="6" type="noConversion"/>
  </si>
  <si>
    <t>삼성물산 1팀</t>
  </si>
  <si>
    <t>KIM, JiSoo</t>
  </si>
  <si>
    <t>880901-2055036</t>
    <phoneticPr fontId="6" type="noConversion"/>
  </si>
  <si>
    <t>010-8756-9145</t>
    <phoneticPr fontId="6" type="noConversion"/>
  </si>
  <si>
    <t>금융보험학과</t>
    <phoneticPr fontId="6" type="noConversion"/>
  </si>
  <si>
    <t>191-126105-01-011</t>
    <phoneticPr fontId="6" type="noConversion"/>
  </si>
  <si>
    <t>010-3666-9145</t>
    <phoneticPr fontId="6" type="noConversion"/>
  </si>
  <si>
    <t>jisoo.kim@tbell.co.kr</t>
    <phoneticPr fontId="6" type="noConversion"/>
  </si>
  <si>
    <t>송파구</t>
    <phoneticPr fontId="6" type="noConversion"/>
  </si>
  <si>
    <t>양재대로68길 3, 301호(가락동,동방빌라)</t>
    <phoneticPr fontId="6" type="noConversion"/>
  </si>
  <si>
    <t>이한나래</t>
    <phoneticPr fontId="6" type="noConversion"/>
  </si>
  <si>
    <t>LEE, HanNaRae</t>
  </si>
  <si>
    <t>970203-2168621</t>
    <phoneticPr fontId="6" type="noConversion"/>
  </si>
  <si>
    <t>010-3805-9049</t>
    <phoneticPr fontId="6" type="noConversion"/>
  </si>
  <si>
    <t>산업예술전문학사</t>
    <phoneticPr fontId="6" type="noConversion"/>
  </si>
  <si>
    <t>389-131615-01-013</t>
    <phoneticPr fontId="6" type="noConversion"/>
  </si>
  <si>
    <t>010-8974-9049</t>
    <phoneticPr fontId="6" type="noConversion"/>
  </si>
  <si>
    <t>hnr.lee@tbell.co.kr</t>
    <phoneticPr fontId="6" type="noConversion"/>
  </si>
  <si>
    <t>서현로 181, 208동 401호</t>
    <phoneticPr fontId="6" type="noConversion"/>
  </si>
  <si>
    <t>이현성</t>
    <phoneticPr fontId="6" type="noConversion"/>
  </si>
  <si>
    <t>LEE, HyeonSeong</t>
  </si>
  <si>
    <t>940131-1071318</t>
    <phoneticPr fontId="6" type="noConversion"/>
  </si>
  <si>
    <t>010-5650-1541</t>
    <phoneticPr fontId="6" type="noConversion"/>
  </si>
  <si>
    <t>경남정보대학교</t>
    <phoneticPr fontId="6" type="noConversion"/>
  </si>
  <si>
    <t>컴퓨터정보전공과</t>
    <phoneticPr fontId="6" type="noConversion"/>
  </si>
  <si>
    <t>066-091585-01-018</t>
    <phoneticPr fontId="6" type="noConversion"/>
  </si>
  <si>
    <t>010-2045-1335</t>
    <phoneticPr fontId="6" type="noConversion"/>
  </si>
  <si>
    <t>hyeonseong.lee@tbell.co.kr</t>
    <phoneticPr fontId="6" type="noConversion"/>
  </si>
  <si>
    <t>시흥대로153길 17</t>
    <phoneticPr fontId="6" type="noConversion"/>
  </si>
  <si>
    <t>안나영</t>
    <phoneticPr fontId="6" type="noConversion"/>
  </si>
  <si>
    <t>AN, Nayoung</t>
  </si>
  <si>
    <t>930118-2168015</t>
    <phoneticPr fontId="6" type="noConversion"/>
  </si>
  <si>
    <t>010-2618-8244</t>
    <phoneticPr fontId="6" type="noConversion"/>
  </si>
  <si>
    <t>10년 6개월</t>
    <phoneticPr fontId="6" type="noConversion"/>
  </si>
  <si>
    <t>한국폴리텍Ⅰ대학교</t>
    <phoneticPr fontId="6" type="noConversion"/>
  </si>
  <si>
    <t>정보통신시스템과</t>
    <phoneticPr fontId="6" type="noConversion"/>
  </si>
  <si>
    <t>113-105580-01-025</t>
    <phoneticPr fontId="6" type="noConversion"/>
  </si>
  <si>
    <t>010-4125-8846</t>
  </si>
  <si>
    <t>ny.an@tbell.co.kr</t>
    <phoneticPr fontId="6" type="noConversion"/>
  </si>
  <si>
    <t>중원구</t>
    <phoneticPr fontId="6" type="noConversion"/>
  </si>
  <si>
    <t>광명로335번길 24-20, B01호(금광동, 다세대주택)</t>
    <phoneticPr fontId="6" type="noConversion"/>
  </si>
  <si>
    <t>남기철</t>
    <phoneticPr fontId="6" type="noConversion"/>
  </si>
  <si>
    <t>NAM, Kicheol</t>
  </si>
  <si>
    <t>900517-1069313</t>
    <phoneticPr fontId="6" type="noConversion"/>
  </si>
  <si>
    <t>010-5216-9517</t>
    <phoneticPr fontId="6" type="noConversion"/>
  </si>
  <si>
    <t>나사렛대학교</t>
    <phoneticPr fontId="6" type="noConversion"/>
  </si>
  <si>
    <t>074-116323-02-019</t>
    <phoneticPr fontId="6" type="noConversion"/>
  </si>
  <si>
    <t>kh.nam@tbell.co.kr</t>
    <phoneticPr fontId="6" type="noConversion"/>
  </si>
  <si>
    <t>난곡로35길 28-7, 다동 1001호(신림동, 건영아파트)</t>
    <phoneticPr fontId="6" type="noConversion"/>
  </si>
  <si>
    <t>조혜진</t>
    <phoneticPr fontId="6" type="noConversion"/>
  </si>
  <si>
    <t>CHO, Hyejin</t>
  </si>
  <si>
    <t>771222-2323412</t>
    <phoneticPr fontId="6" type="noConversion"/>
  </si>
  <si>
    <t>010-8744-9634</t>
    <phoneticPr fontId="6" type="noConversion"/>
  </si>
  <si>
    <t>15년 6개월</t>
    <phoneticPr fontId="6" type="noConversion"/>
  </si>
  <si>
    <t>Googl Educator
OCP
PMP</t>
    <phoneticPr fontId="6" type="noConversion"/>
  </si>
  <si>
    <t>Google
ORACLE
PMI</t>
    <phoneticPr fontId="6" type="noConversion"/>
  </si>
  <si>
    <t>2021-12-11
2000-10-26
2013-6-21</t>
    <phoneticPr fontId="6" type="noConversion"/>
  </si>
  <si>
    <t>944-039857-01-010</t>
    <phoneticPr fontId="6" type="noConversion"/>
  </si>
  <si>
    <t>010-2747-3253</t>
    <phoneticPr fontId="6" type="noConversion"/>
  </si>
  <si>
    <t>hyejin.cho@tbell.co.kr</t>
    <phoneticPr fontId="6" type="noConversion"/>
  </si>
  <si>
    <t>영통구</t>
    <phoneticPr fontId="6" type="noConversion"/>
  </si>
  <si>
    <t>도청로 65, 5405동 301호(이의동, 자연&amp;힐스테이트아파트)</t>
    <phoneticPr fontId="6" type="noConversion"/>
  </si>
  <si>
    <t>이길원</t>
    <phoneticPr fontId="6" type="noConversion"/>
  </si>
  <si>
    <t>LEE, Gilwon</t>
  </si>
  <si>
    <t>790518-1036528</t>
    <phoneticPr fontId="6" type="noConversion"/>
  </si>
  <si>
    <t>010-4446-6389</t>
    <phoneticPr fontId="6" type="noConversion"/>
  </si>
  <si>
    <t>13년 2개월</t>
    <phoneticPr fontId="6" type="noConversion"/>
  </si>
  <si>
    <t>협성대학교</t>
    <phoneticPr fontId="6" type="noConversion"/>
  </si>
  <si>
    <t>신학부</t>
    <phoneticPr fontId="6" type="noConversion"/>
  </si>
  <si>
    <t>CCNA
네트워크관리사 2급</t>
    <phoneticPr fontId="6" type="noConversion"/>
  </si>
  <si>
    <t>CISCO
한국정보통신자격협회</t>
    <phoneticPr fontId="6" type="noConversion"/>
  </si>
  <si>
    <t>2012-01-13
2009-03-03</t>
    <phoneticPr fontId="6" type="noConversion"/>
  </si>
  <si>
    <t>236-065374-01-010</t>
    <phoneticPr fontId="6" type="noConversion"/>
  </si>
  <si>
    <t>010-4446-7132</t>
    <phoneticPr fontId="6" type="noConversion"/>
  </si>
  <si>
    <t>gw.lee@tbell.co.kr</t>
    <phoneticPr fontId="6" type="noConversion"/>
  </si>
  <si>
    <t>하남시</t>
    <phoneticPr fontId="6" type="noConversion"/>
  </si>
  <si>
    <t>미사강변동로 177, 1201동 1303호(망월동, 미사강변도시12단지)</t>
    <phoneticPr fontId="6" type="noConversion"/>
  </si>
  <si>
    <t>창준호</t>
    <phoneticPr fontId="6" type="noConversion"/>
  </si>
  <si>
    <t>CHANG, Junho</t>
  </si>
  <si>
    <t>801026-1228415</t>
    <phoneticPr fontId="6" type="noConversion"/>
  </si>
  <si>
    <t>010-6435-5788</t>
    <phoneticPr fontId="6" type="noConversion"/>
  </si>
  <si>
    <t>11년 11개월</t>
    <phoneticPr fontId="6" type="noConversion"/>
  </si>
  <si>
    <t>한국교통대학교</t>
    <phoneticPr fontId="6" type="noConversion"/>
  </si>
  <si>
    <t>신소재공학과(공학사)</t>
    <phoneticPr fontId="6" type="noConversion"/>
  </si>
  <si>
    <t>933-022914-01-011</t>
    <phoneticPr fontId="6" type="noConversion"/>
  </si>
  <si>
    <t>010-3628-6480</t>
    <phoneticPr fontId="6" type="noConversion"/>
  </si>
  <si>
    <t>jh.chang@tbell.co.kr</t>
    <phoneticPr fontId="6" type="noConversion"/>
  </si>
  <si>
    <t>영신로41길 8, 502호(당산동1가, D.S퍼스트)</t>
    <phoneticPr fontId="6" type="noConversion"/>
  </si>
  <si>
    <t>홍승민</t>
    <phoneticPr fontId="6" type="noConversion"/>
  </si>
  <si>
    <t>삼성카드 2팀</t>
  </si>
  <si>
    <t>HONG, SeungMin</t>
  </si>
  <si>
    <t>890307-1063722</t>
    <phoneticPr fontId="6" type="noConversion"/>
  </si>
  <si>
    <t>010-5416-4637</t>
    <phoneticPr fontId="6" type="noConversion"/>
  </si>
  <si>
    <t>4년 2개월</t>
    <phoneticPr fontId="6" type="noConversion"/>
  </si>
  <si>
    <t>생약자원개발학과</t>
    <phoneticPr fontId="6" type="noConversion"/>
  </si>
  <si>
    <t>501-068898-01-017</t>
    <phoneticPr fontId="6" type="noConversion"/>
  </si>
  <si>
    <t>010-5282-9628</t>
    <phoneticPr fontId="6" type="noConversion"/>
  </si>
  <si>
    <t>sm.hong@tbell.co.kr</t>
    <phoneticPr fontId="6" type="noConversion"/>
  </si>
  <si>
    <t>공원로6나길 17-5</t>
    <phoneticPr fontId="6" type="noConversion"/>
  </si>
  <si>
    <t>이나리</t>
    <phoneticPr fontId="6" type="noConversion"/>
  </si>
  <si>
    <t>STE실</t>
  </si>
  <si>
    <t>대기자(STE)</t>
  </si>
  <si>
    <t>LEE, NaRi</t>
  </si>
  <si>
    <t>880910-2470723</t>
    <phoneticPr fontId="6" type="noConversion"/>
  </si>
  <si>
    <t>010-3109-4930</t>
    <phoneticPr fontId="6" type="noConversion"/>
  </si>
  <si>
    <t>군산대학교</t>
    <phoneticPr fontId="6" type="noConversion"/>
  </si>
  <si>
    <t>국어국문학과</t>
    <phoneticPr fontId="6" type="noConversion"/>
  </si>
  <si>
    <t>078-167348-01-014</t>
    <phoneticPr fontId="6" type="noConversion"/>
  </si>
  <si>
    <t>010-4057-4930</t>
    <phoneticPr fontId="6" type="noConversion"/>
  </si>
  <si>
    <t>nr.lee@tbell.co.kr</t>
    <phoneticPr fontId="6" type="noConversion"/>
  </si>
  <si>
    <t>남부순환로 248길 56, 101동 509호(봉천동, 낙성현대아파트)</t>
    <phoneticPr fontId="6" type="noConversion"/>
  </si>
  <si>
    <t>정화실</t>
    <phoneticPr fontId="6" type="noConversion"/>
  </si>
  <si>
    <t>JUNG, HwaSil</t>
  </si>
  <si>
    <t>810225-2850824</t>
    <phoneticPr fontId="6" type="noConversion"/>
  </si>
  <si>
    <t>010-3802-2143</t>
    <phoneticPr fontId="6" type="noConversion"/>
  </si>
  <si>
    <t>19년 6개월</t>
    <phoneticPr fontId="6" type="noConversion"/>
  </si>
  <si>
    <t>한국방송통신대학교</t>
    <phoneticPr fontId="6" type="noConversion"/>
  </si>
  <si>
    <t>미디어영상학과</t>
    <phoneticPr fontId="6" type="noConversion"/>
  </si>
  <si>
    <t>257-065680-01-014</t>
    <phoneticPr fontId="6" type="noConversion"/>
  </si>
  <si>
    <t>010-4301-2143</t>
    <phoneticPr fontId="6" type="noConversion"/>
  </si>
  <si>
    <t>hs.jung@tbell.co.kr</t>
    <phoneticPr fontId="6" type="noConversion"/>
  </si>
  <si>
    <t>김포한강2로 361, 707동 1002호(장기동,호반베르디움 더퍼스트)</t>
    <phoneticPr fontId="6" type="noConversion"/>
  </si>
  <si>
    <t>주호정</t>
    <phoneticPr fontId="6" type="noConversion"/>
  </si>
  <si>
    <t>사업전략팀</t>
  </si>
  <si>
    <t>JOO, HoJeong</t>
  </si>
  <si>
    <t>021225-4151523</t>
    <phoneticPr fontId="6" type="noConversion"/>
  </si>
  <si>
    <t>010-4196-7157</t>
    <phoneticPr fontId="6" type="noConversion"/>
  </si>
  <si>
    <t>농협은행</t>
    <phoneticPr fontId="5" type="noConversion"/>
  </si>
  <si>
    <t>302-1491-6153-41</t>
    <phoneticPr fontId="6" type="noConversion"/>
  </si>
  <si>
    <t>010-6376-7157</t>
    <phoneticPr fontId="6" type="noConversion"/>
  </si>
  <si>
    <t>hj.joo@tbell.co.kr</t>
    <phoneticPr fontId="6" type="noConversion"/>
  </si>
  <si>
    <t>시흥시</t>
    <phoneticPr fontId="6" type="noConversion"/>
  </si>
  <si>
    <t>역전로 375-8, 101동 704호 (정왕동, 화성아파트)</t>
    <phoneticPr fontId="6" type="noConversion"/>
  </si>
  <si>
    <t>이정원</t>
    <phoneticPr fontId="6" type="noConversion"/>
  </si>
  <si>
    <t>Lee, JeongWon</t>
  </si>
  <si>
    <t>050819-3080113</t>
    <phoneticPr fontId="6" type="noConversion"/>
  </si>
  <si>
    <t>010-5698-2819</t>
    <phoneticPr fontId="6" type="noConversion"/>
  </si>
  <si>
    <t>992-021736-02-012</t>
    <phoneticPr fontId="6" type="noConversion"/>
  </si>
  <si>
    <t>jw.lee@tbell.co.kr</t>
    <phoneticPr fontId="6" type="noConversion"/>
  </si>
  <si>
    <t>성내천로43라길8, 201호(마천동,을해빌라 4차)</t>
    <phoneticPr fontId="6" type="noConversion"/>
  </si>
  <si>
    <t>이상현</t>
    <phoneticPr fontId="6" type="noConversion"/>
  </si>
  <si>
    <t>LEE, Sanghyun</t>
  </si>
  <si>
    <t>051220-3011514</t>
    <phoneticPr fontId="6" type="noConversion"/>
  </si>
  <si>
    <t>010-2214-2891</t>
    <phoneticPr fontId="6" type="noConversion"/>
  </si>
  <si>
    <t>973-067582-01-016</t>
    <phoneticPr fontId="6" type="noConversion"/>
  </si>
  <si>
    <t>sanghyun.lee@tbell.co.kr</t>
    <phoneticPr fontId="6" type="noConversion"/>
  </si>
  <si>
    <t>중랑천로 8, 1502호 (면목동,형진아파트)</t>
    <phoneticPr fontId="6" type="noConversion"/>
  </si>
  <si>
    <t>이수정</t>
    <phoneticPr fontId="6" type="noConversion"/>
  </si>
  <si>
    <t>LEE, SooJung</t>
  </si>
  <si>
    <t>020314-4058711</t>
    <phoneticPr fontId="6" type="noConversion"/>
  </si>
  <si>
    <t>010-2448-3518</t>
    <phoneticPr fontId="6" type="noConversion"/>
  </si>
  <si>
    <t>덕원여자고등학교</t>
    <phoneticPr fontId="6" type="noConversion"/>
  </si>
  <si>
    <t>478-080669-01-015</t>
    <phoneticPr fontId="6" type="noConversion"/>
  </si>
  <si>
    <t>sj.lee@tbell.co.kr</t>
    <phoneticPr fontId="6" type="noConversion"/>
  </si>
  <si>
    <t>화곡로19길 41, B동 402호(화곡동,다솜타운)</t>
    <phoneticPr fontId="6" type="noConversion"/>
  </si>
  <si>
    <t>김민서</t>
    <phoneticPr fontId="6" type="noConversion"/>
  </si>
  <si>
    <t>KIM, MinSeo</t>
  </si>
  <si>
    <t>030712-4411610</t>
    <phoneticPr fontId="6" type="noConversion"/>
  </si>
  <si>
    <t>010-4934-2783</t>
    <phoneticPr fontId="6" type="noConversion"/>
  </si>
  <si>
    <t>보성여자고등학교</t>
    <phoneticPr fontId="6" type="noConversion"/>
  </si>
  <si>
    <t>926-009780-02-012</t>
    <phoneticPr fontId="6" type="noConversion"/>
  </si>
  <si>
    <t>010-5212-2783</t>
    <phoneticPr fontId="6" type="noConversion"/>
  </si>
  <si>
    <t>ms.kim@tbell.co.kr</t>
    <phoneticPr fontId="6" type="noConversion"/>
  </si>
  <si>
    <t>용산구</t>
    <phoneticPr fontId="6" type="noConversion"/>
  </si>
  <si>
    <t>대사관로20길 33</t>
    <phoneticPr fontId="6" type="noConversion"/>
  </si>
  <si>
    <t>용상수</t>
    <phoneticPr fontId="6" type="noConversion"/>
  </si>
  <si>
    <t>LG전자 4팀</t>
  </si>
  <si>
    <t>YONG, SangSoo</t>
  </si>
  <si>
    <t>850420-1321416</t>
    <phoneticPr fontId="6" type="noConversion"/>
  </si>
  <si>
    <t>010-9873-7139</t>
    <phoneticPr fontId="6" type="noConversion"/>
  </si>
  <si>
    <t>티체크</t>
    <phoneticPr fontId="6" type="noConversion"/>
  </si>
  <si>
    <t>15년 9개월</t>
    <phoneticPr fontId="6" type="noConversion"/>
  </si>
  <si>
    <t>경북전문대학교</t>
    <phoneticPr fontId="6" type="noConversion"/>
  </si>
  <si>
    <t>422-147442-02-019</t>
    <phoneticPr fontId="6" type="noConversion"/>
  </si>
  <si>
    <t>ss.yong@tbell.co.kr</t>
    <phoneticPr fontId="6" type="noConversion"/>
  </si>
  <si>
    <t>오산시</t>
    <phoneticPr fontId="6" type="noConversion"/>
  </si>
  <si>
    <t>운천로 16-22, 604동 304호(원동,주공아파트)</t>
    <phoneticPr fontId="6" type="noConversion"/>
  </si>
  <si>
    <t>이소연</t>
    <phoneticPr fontId="6" type="noConversion"/>
  </si>
  <si>
    <t>SK텔레콤 26팀</t>
  </si>
  <si>
    <t>LEE, SoYeon</t>
  </si>
  <si>
    <t>930909-2930714</t>
    <phoneticPr fontId="6" type="noConversion"/>
  </si>
  <si>
    <t>010-5027-6528</t>
    <phoneticPr fontId="6" type="noConversion"/>
  </si>
  <si>
    <t>창원문성대학교</t>
    <phoneticPr fontId="6" type="noConversion"/>
  </si>
  <si>
    <t>사회복지행정과</t>
    <phoneticPr fontId="6" type="noConversion"/>
  </si>
  <si>
    <t>580-024864-01-014</t>
    <phoneticPr fontId="6" type="noConversion"/>
  </si>
  <si>
    <t>010-9101-6779</t>
    <phoneticPr fontId="6" type="noConversion"/>
  </si>
  <si>
    <t>sy.lee@tbell.co.kr</t>
    <phoneticPr fontId="6" type="noConversion"/>
  </si>
  <si>
    <t>강서로231, 101동 1403호(화곡동, 우장산역 해링턴타워)</t>
    <phoneticPr fontId="6" type="noConversion"/>
  </si>
  <si>
    <t>김민지</t>
    <phoneticPr fontId="6" type="noConversion"/>
  </si>
  <si>
    <t>KIM, MinJi</t>
  </si>
  <si>
    <t>951229-2249611</t>
    <phoneticPr fontId="6" type="noConversion"/>
  </si>
  <si>
    <t>010-2020-1692</t>
    <phoneticPr fontId="6" type="noConversion"/>
  </si>
  <si>
    <t>극동대학교</t>
    <phoneticPr fontId="6" type="noConversion"/>
  </si>
  <si>
    <t>광고컨테츠디자인학과</t>
    <phoneticPr fontId="6" type="noConversion"/>
  </si>
  <si>
    <t>583-061997-01-019</t>
    <phoneticPr fontId="6" type="noConversion"/>
  </si>
  <si>
    <t>010-3383-4599</t>
    <phoneticPr fontId="6" type="noConversion"/>
  </si>
  <si>
    <t>minji.kim@tbell.co.kr</t>
    <phoneticPr fontId="6" type="noConversion"/>
  </si>
  <si>
    <t>사은로126번길 33, 205동 1001호(보라동, 민속마을신창미선힐아파트)</t>
    <phoneticPr fontId="6" type="noConversion"/>
  </si>
  <si>
    <t>이인혜</t>
    <phoneticPr fontId="6" type="noConversion"/>
  </si>
  <si>
    <t>LEE, InHye</t>
  </si>
  <si>
    <t>930703-2169520</t>
    <phoneticPr fontId="6" type="noConversion"/>
  </si>
  <si>
    <t>010-4424-4922</t>
    <phoneticPr fontId="6" type="noConversion"/>
  </si>
  <si>
    <t>단국대학교</t>
    <phoneticPr fontId="6" type="noConversion"/>
  </si>
  <si>
    <t>공예과</t>
    <phoneticPr fontId="6" type="noConversion"/>
  </si>
  <si>
    <t>583-062008-01-011</t>
    <phoneticPr fontId="6" type="noConversion"/>
  </si>
  <si>
    <t>ih.lee@tbell.co.kr</t>
    <phoneticPr fontId="6" type="noConversion"/>
  </si>
  <si>
    <t>충청남도</t>
    <phoneticPr fontId="6" type="noConversion"/>
  </si>
  <si>
    <t>천안시</t>
    <phoneticPr fontId="6" type="noConversion"/>
  </si>
  <si>
    <t>서북구</t>
    <phoneticPr fontId="6" type="noConversion"/>
  </si>
  <si>
    <t>천안대로 980-17, 106동 2403호</t>
    <phoneticPr fontId="6" type="noConversion"/>
  </si>
  <si>
    <t>이수용</t>
    <phoneticPr fontId="6" type="noConversion"/>
  </si>
  <si>
    <t>LEE, SooYong</t>
  </si>
  <si>
    <t>930225-1144016</t>
    <phoneticPr fontId="6" type="noConversion"/>
  </si>
  <si>
    <t>010-2536-1153</t>
    <phoneticPr fontId="6" type="noConversion"/>
  </si>
  <si>
    <t>5년 3개월</t>
    <phoneticPr fontId="6" type="noConversion"/>
  </si>
  <si>
    <t>서남대학교</t>
    <phoneticPr fontId="6" type="noConversion"/>
  </si>
  <si>
    <t>컴퓨터정보학과</t>
    <phoneticPr fontId="6" type="noConversion"/>
  </si>
  <si>
    <t>568-042838-02-013</t>
    <phoneticPr fontId="6" type="noConversion"/>
  </si>
  <si>
    <t>sooyong.lee@tbell.co.kr</t>
    <phoneticPr fontId="6" type="noConversion"/>
  </si>
  <si>
    <t>장안구</t>
    <phoneticPr fontId="6" type="noConversion"/>
  </si>
  <si>
    <t>정자로19번길 18, 503동 702호</t>
    <phoneticPr fontId="6" type="noConversion"/>
  </si>
  <si>
    <t>조미선</t>
    <phoneticPr fontId="6" type="noConversion"/>
  </si>
  <si>
    <t>Cho, MiSeon</t>
  </si>
  <si>
    <t>830722-2081321</t>
    <phoneticPr fontId="6" type="noConversion"/>
  </si>
  <si>
    <t>010-7409-6847</t>
    <phoneticPr fontId="6" type="noConversion"/>
  </si>
  <si>
    <t>수원여자대학교</t>
    <phoneticPr fontId="6" type="noConversion"/>
  </si>
  <si>
    <t>영어과</t>
    <phoneticPr fontId="6" type="noConversion"/>
  </si>
  <si>
    <t>081-053285-01-024</t>
    <phoneticPr fontId="6" type="noConversion"/>
  </si>
  <si>
    <t>010-6293-6847</t>
    <phoneticPr fontId="6" type="noConversion"/>
  </si>
  <si>
    <t>ms.cho@tbell.co.kr</t>
    <phoneticPr fontId="6" type="noConversion"/>
  </si>
  <si>
    <t>남부순환로95길 54, 105동 708호</t>
    <phoneticPr fontId="6" type="noConversion"/>
  </si>
  <si>
    <t>배종은</t>
    <phoneticPr fontId="6" type="noConversion"/>
  </si>
  <si>
    <t>Bae, JongEun</t>
  </si>
  <si>
    <t>950602-1253522</t>
    <phoneticPr fontId="6" type="noConversion"/>
  </si>
  <si>
    <t>010-8077-8426</t>
    <phoneticPr fontId="6" type="noConversion"/>
  </si>
  <si>
    <t>목원대학교</t>
    <phoneticPr fontId="6" type="noConversion"/>
  </si>
  <si>
    <t>경영학과</t>
    <phoneticPr fontId="6" type="noConversion"/>
  </si>
  <si>
    <t>353-095189-01-010</t>
    <phoneticPr fontId="6" type="noConversion"/>
  </si>
  <si>
    <t>010-2000-9141</t>
    <phoneticPr fontId="6" type="noConversion"/>
  </si>
  <si>
    <t>je.bae@tcheck.co.kr</t>
    <phoneticPr fontId="6" type="noConversion"/>
  </si>
  <si>
    <t>평택시</t>
    <phoneticPr fontId="6" type="noConversion"/>
  </si>
  <si>
    <t>송일로37번길 28, 201호</t>
    <phoneticPr fontId="6" type="noConversion"/>
  </si>
  <si>
    <t>강요한</t>
    <phoneticPr fontId="6" type="noConversion"/>
  </si>
  <si>
    <t>KANG, YoHan</t>
  </si>
  <si>
    <t>920206-1018822</t>
    <phoneticPr fontId="6" type="noConversion"/>
  </si>
  <si>
    <t>010-4166-9783</t>
    <phoneticPr fontId="6" type="noConversion"/>
  </si>
  <si>
    <t>6년 8개월</t>
    <phoneticPr fontId="6" type="noConversion"/>
  </si>
  <si>
    <t>게임컨텐츠과</t>
    <phoneticPr fontId="6" type="noConversion"/>
  </si>
  <si>
    <t>568-036115-01-017</t>
    <phoneticPr fontId="6" type="noConversion"/>
  </si>
  <si>
    <t>yh.kang@tbell.co.kr</t>
    <phoneticPr fontId="6" type="noConversion"/>
  </si>
  <si>
    <t>신장로136번길 38, 지1층(덕풍동)</t>
    <phoneticPr fontId="6" type="noConversion"/>
  </si>
  <si>
    <t>김건희</t>
    <phoneticPr fontId="6" type="noConversion"/>
  </si>
  <si>
    <t>KIM, GeonHui</t>
  </si>
  <si>
    <t>941007-1167928</t>
    <phoneticPr fontId="6" type="noConversion"/>
  </si>
  <si>
    <t>010-9371-6472</t>
    <phoneticPr fontId="6" type="noConversion"/>
  </si>
  <si>
    <t>3년 2개월</t>
    <phoneticPr fontId="6" type="noConversion"/>
  </si>
  <si>
    <t>스마트IT컨텐츠과</t>
    <phoneticPr fontId="6" type="noConversion"/>
  </si>
  <si>
    <t>299-083329-02-013</t>
    <phoneticPr fontId="6" type="noConversion"/>
  </si>
  <si>
    <t>geonhui.kim@tbell.co.kr</t>
    <phoneticPr fontId="6" type="noConversion"/>
  </si>
  <si>
    <t>강남동로20, 505동 601호(구갈동,강남마을코오롱하늘채)</t>
    <phoneticPr fontId="6" type="noConversion"/>
  </si>
  <si>
    <t>김효민</t>
    <phoneticPr fontId="6" type="noConversion"/>
  </si>
  <si>
    <t>KIM, HyoMin</t>
  </si>
  <si>
    <t>980814-2066420</t>
    <phoneticPr fontId="6" type="noConversion"/>
  </si>
  <si>
    <t>010-5675-2940</t>
    <phoneticPr fontId="6" type="noConversion"/>
  </si>
  <si>
    <t>2년 1개월</t>
    <phoneticPr fontId="6" type="noConversion"/>
  </si>
  <si>
    <t>컴퓨터소프트웨어과</t>
    <phoneticPr fontId="6" type="noConversion"/>
  </si>
  <si>
    <t>513-049147-02-015</t>
    <phoneticPr fontId="6" type="noConversion"/>
  </si>
  <si>
    <t>hm.kim@tbell.co.kr</t>
    <phoneticPr fontId="6" type="noConversion"/>
  </si>
  <si>
    <t>독서당로62길 43,10동 1304호(응봉동,대림아파트)</t>
    <phoneticPr fontId="6" type="noConversion"/>
  </si>
  <si>
    <t>홍운주</t>
    <phoneticPr fontId="6" type="noConversion"/>
  </si>
  <si>
    <t>Hong, UnJoo</t>
  </si>
  <si>
    <t>000601-4196626</t>
    <phoneticPr fontId="6" type="noConversion"/>
  </si>
  <si>
    <t>010-2396-2814</t>
    <phoneticPr fontId="6" type="noConversion"/>
  </si>
  <si>
    <t>1년 1개월</t>
    <phoneticPr fontId="6" type="noConversion"/>
  </si>
  <si>
    <t>장안대학교</t>
    <phoneticPr fontId="6" type="noConversion"/>
  </si>
  <si>
    <t>589-060521-01-015</t>
    <phoneticPr fontId="6" type="noConversion"/>
  </si>
  <si>
    <t>010-4322-2814</t>
    <phoneticPr fontId="6" type="noConversion"/>
  </si>
  <si>
    <t>uj.hong@tbell.co.kr</t>
    <phoneticPr fontId="6" type="noConversion"/>
  </si>
  <si>
    <t>동두천시</t>
    <phoneticPr fontId="6" type="noConversion"/>
  </si>
  <si>
    <t>동두천로 185, 504동 1002호(생연동,부영아파트)</t>
    <phoneticPr fontId="6" type="noConversion"/>
  </si>
  <si>
    <t>정기명</t>
    <phoneticPr fontId="6" type="noConversion"/>
  </si>
  <si>
    <t>Jeong, KiMyoung</t>
  </si>
  <si>
    <t>900103-1567413</t>
    <phoneticPr fontId="6" type="noConversion"/>
  </si>
  <si>
    <t>010-6221-3129</t>
    <phoneticPr fontId="6" type="noConversion"/>
  </si>
  <si>
    <t>3년 4개월</t>
    <phoneticPr fontId="6" type="noConversion"/>
  </si>
  <si>
    <t>영진전문대학교</t>
    <phoneticPr fontId="6" type="noConversion"/>
  </si>
  <si>
    <t>컴퓨터정보계열</t>
    <phoneticPr fontId="6" type="noConversion"/>
  </si>
  <si>
    <t>469-049691-01-015</t>
    <phoneticPr fontId="6" type="noConversion"/>
  </si>
  <si>
    <t>km.jeong@tbell.co.kr</t>
    <phoneticPr fontId="6" type="noConversion"/>
  </si>
  <si>
    <t>느티로 22, A동 616호(정자동, 백궁동양파라곤)</t>
    <phoneticPr fontId="6" type="noConversion"/>
  </si>
  <si>
    <t>고재권</t>
    <phoneticPr fontId="6" type="noConversion"/>
  </si>
  <si>
    <t>Go, HaeKwon</t>
  </si>
  <si>
    <t>011011-3207011</t>
    <phoneticPr fontId="6" type="noConversion"/>
  </si>
  <si>
    <t>010-7240-6963</t>
    <phoneticPr fontId="6" type="noConversion"/>
  </si>
  <si>
    <t>오산대학교</t>
    <phoneticPr fontId="6" type="noConversion"/>
  </si>
  <si>
    <t>소프트웨어학과</t>
    <phoneticPr fontId="6" type="noConversion"/>
  </si>
  <si>
    <t>129-083867-01-014</t>
    <phoneticPr fontId="6" type="noConversion"/>
  </si>
  <si>
    <t>jk.go@tcheck.co.kr</t>
    <phoneticPr fontId="6" type="noConversion"/>
  </si>
  <si>
    <t>온사로290번길 33,라동 103호(오산동,은하연림)</t>
    <phoneticPr fontId="6" type="noConversion"/>
  </si>
  <si>
    <t>최재현</t>
    <phoneticPr fontId="6" type="noConversion"/>
  </si>
  <si>
    <t>Choi, JaeHyeon</t>
  </si>
  <si>
    <t>960509-1411810</t>
    <phoneticPr fontId="6" type="noConversion"/>
  </si>
  <si>
    <t>010-5644-6110</t>
    <phoneticPr fontId="6" type="noConversion"/>
  </si>
  <si>
    <t>순천향대학교</t>
    <phoneticPr fontId="6" type="noConversion"/>
  </si>
  <si>
    <t>ㅊLD</t>
    <phoneticPr fontId="6" type="noConversion"/>
  </si>
  <si>
    <t>341-125333-02-014</t>
    <phoneticPr fontId="6" type="noConversion"/>
  </si>
  <si>
    <t>jh.choi@tbell.co.kr</t>
    <phoneticPr fontId="6" type="noConversion"/>
  </si>
  <si>
    <t>신촌로73번길 5-7, 203호(보정동)</t>
    <phoneticPr fontId="6" type="noConversion"/>
  </si>
  <si>
    <t>문희</t>
    <phoneticPr fontId="6" type="noConversion"/>
  </si>
  <si>
    <t>SK텔레콤 11팀</t>
  </si>
  <si>
    <t>Mun, Hee</t>
    <phoneticPr fontId="6" type="noConversion"/>
  </si>
  <si>
    <t>781205-2231712</t>
    <phoneticPr fontId="6" type="noConversion"/>
  </si>
  <si>
    <t>010-7208-8722</t>
    <phoneticPr fontId="6" type="noConversion"/>
  </si>
  <si>
    <t>7년 7개월</t>
    <phoneticPr fontId="6" type="noConversion"/>
  </si>
  <si>
    <t>0년1개월</t>
  </si>
  <si>
    <t>산업경영과</t>
    <phoneticPr fontId="6" type="noConversion"/>
  </si>
  <si>
    <t>미해당</t>
  </si>
  <si>
    <t>954-038150-02-019</t>
    <phoneticPr fontId="6" type="noConversion"/>
  </si>
  <si>
    <t>h.mun@tbell.co.kr</t>
    <phoneticPr fontId="6" type="noConversion"/>
  </si>
  <si>
    <t>강동구</t>
    <phoneticPr fontId="6" type="noConversion"/>
  </si>
  <si>
    <t>상암로79길 88, 708동 2801호(상일동,고덕롯데캐슬베네루체)</t>
    <phoneticPr fontId="6" type="noConversion"/>
  </si>
  <si>
    <t>9/14 계약 종료 후 정규직 전환</t>
    <phoneticPr fontId="6" type="noConversion"/>
  </si>
  <si>
    <t>김현수</t>
    <phoneticPr fontId="6" type="noConversion"/>
  </si>
  <si>
    <t>KIM, HyunSoo</t>
  </si>
  <si>
    <t>930812-1262113</t>
    <phoneticPr fontId="6" type="noConversion"/>
  </si>
  <si>
    <t>010-4067-6295</t>
    <phoneticPr fontId="6" type="noConversion"/>
  </si>
  <si>
    <t>세명대학교</t>
    <phoneticPr fontId="6" type="noConversion"/>
  </si>
  <si>
    <t>072-142509-02-012</t>
    <phoneticPr fontId="6" type="noConversion"/>
  </si>
  <si>
    <t>010-7240-5295</t>
    <phoneticPr fontId="6" type="noConversion"/>
  </si>
  <si>
    <t>hs.kim@tbell.co.kr</t>
    <phoneticPr fontId="6" type="noConversion"/>
  </si>
  <si>
    <t>효령로 22, 602호 (방배동, 멤버스뷰)</t>
    <phoneticPr fontId="6" type="noConversion"/>
  </si>
  <si>
    <t>오은규</t>
    <phoneticPr fontId="6" type="noConversion"/>
  </si>
  <si>
    <t>Oh, EunGyu</t>
  </si>
  <si>
    <t>000104-3198211</t>
    <phoneticPr fontId="6" type="noConversion"/>
  </si>
  <si>
    <t>010-2298-2143</t>
    <phoneticPr fontId="6" type="noConversion"/>
  </si>
  <si>
    <t>345-151104-02-011</t>
    <phoneticPr fontId="6" type="noConversion"/>
  </si>
  <si>
    <t>eg.oh@tbell.co.kr</t>
    <phoneticPr fontId="6" type="noConversion"/>
  </si>
  <si>
    <t>상록구</t>
    <phoneticPr fontId="6" type="noConversion"/>
  </si>
  <si>
    <t>본삼로8, 110동 104호(본오동,본오주공아파트)</t>
    <phoneticPr fontId="6" type="noConversion"/>
  </si>
  <si>
    <t>이광진</t>
    <phoneticPr fontId="6" type="noConversion"/>
  </si>
  <si>
    <t>LEE, KwangJin</t>
  </si>
  <si>
    <t>960104-1209218</t>
    <phoneticPr fontId="6" type="noConversion"/>
  </si>
  <si>
    <t>010-9605-4294</t>
    <phoneticPr fontId="6" type="noConversion"/>
  </si>
  <si>
    <t>건축과</t>
    <phoneticPr fontId="6" type="noConversion"/>
  </si>
  <si>
    <t>261-080888-01-012</t>
    <phoneticPr fontId="6" type="noConversion"/>
  </si>
  <si>
    <t>kj.lee@tbell.co.kr</t>
    <phoneticPr fontId="6" type="noConversion"/>
  </si>
  <si>
    <t>아차산로29길 52-10</t>
    <phoneticPr fontId="6" type="noConversion"/>
  </si>
  <si>
    <t>김지성</t>
    <phoneticPr fontId="6" type="noConversion"/>
  </si>
  <si>
    <t>KIM, JISEONG</t>
  </si>
  <si>
    <t>950107-1063331</t>
    <phoneticPr fontId="6" type="noConversion"/>
  </si>
  <si>
    <t>010-2799-1701</t>
    <phoneticPr fontId="6" type="noConversion"/>
  </si>
  <si>
    <t>강릉원주대학교</t>
    <phoneticPr fontId="6" type="noConversion"/>
  </si>
  <si>
    <t>051-040474-01-025</t>
    <phoneticPr fontId="6" type="noConversion"/>
  </si>
  <si>
    <t>jiseong.kim@tbell.co.kr</t>
    <phoneticPr fontId="6" type="noConversion"/>
  </si>
  <si>
    <t>공항대로61길 60, 103동 601호(염창동,태영송화아파트)</t>
    <phoneticPr fontId="6" type="noConversion"/>
  </si>
  <si>
    <t>최수빈</t>
    <phoneticPr fontId="6" type="noConversion"/>
  </si>
  <si>
    <t>CHOI, SuBin</t>
  </si>
  <si>
    <t>990322-2162318</t>
    <phoneticPr fontId="6" type="noConversion"/>
  </si>
  <si>
    <t>010-8779-7325</t>
    <phoneticPr fontId="6" type="noConversion"/>
  </si>
  <si>
    <t>2년 9개월</t>
    <phoneticPr fontId="6" type="noConversion"/>
  </si>
  <si>
    <t>한국폴리텍대학</t>
    <phoneticPr fontId="6" type="noConversion"/>
  </si>
  <si>
    <t>컴퓨터정보과</t>
    <phoneticPr fontId="6" type="noConversion"/>
  </si>
  <si>
    <t>034-105765-02-011</t>
    <phoneticPr fontId="6" type="noConversion"/>
  </si>
  <si>
    <t>sb.choi@tbell.co.kr</t>
    <phoneticPr fontId="6" type="noConversion"/>
  </si>
  <si>
    <t>중동로364번길 28-13,A동503호</t>
    <phoneticPr fontId="6" type="noConversion"/>
  </si>
  <si>
    <t>홍승재</t>
    <phoneticPr fontId="6" type="noConversion"/>
  </si>
  <si>
    <t>HONG, SeungJae</t>
  </si>
  <si>
    <t>970503-1042339</t>
    <phoneticPr fontId="6" type="noConversion"/>
  </si>
  <si>
    <t>010-9771-3654</t>
    <phoneticPr fontId="6" type="noConversion"/>
  </si>
  <si>
    <t>연성대학교</t>
    <phoneticPr fontId="6" type="noConversion"/>
  </si>
  <si>
    <t>디지털전자과</t>
    <phoneticPr fontId="6" type="noConversion"/>
  </si>
  <si>
    <t>973-004745-01-012</t>
    <phoneticPr fontId="6" type="noConversion"/>
  </si>
  <si>
    <t>sj.hong@tbell.co.kr</t>
    <phoneticPr fontId="6" type="noConversion"/>
  </si>
  <si>
    <t>은평구</t>
    <phoneticPr fontId="6" type="noConversion"/>
  </si>
  <si>
    <t>연서로9길 10-1, 402호</t>
    <phoneticPr fontId="6" type="noConversion"/>
  </si>
  <si>
    <t>유정선</t>
    <phoneticPr fontId="6" type="noConversion"/>
  </si>
  <si>
    <t>RYU, JungSun</t>
  </si>
  <si>
    <t>920904-1017212</t>
    <phoneticPr fontId="6" type="noConversion"/>
  </si>
  <si>
    <t>010-7710-4562</t>
    <phoneticPr fontId="6" type="noConversion"/>
  </si>
  <si>
    <t>1년 10개월</t>
    <phoneticPr fontId="6" type="noConversion"/>
  </si>
  <si>
    <t>가천대학교</t>
    <phoneticPr fontId="6" type="noConversion"/>
  </si>
  <si>
    <t>수학금융정보학과</t>
    <phoneticPr fontId="6" type="noConversion"/>
  </si>
  <si>
    <t>SQL 개발자</t>
    <phoneticPr fontId="6" type="noConversion"/>
  </si>
  <si>
    <t>한국데이터산업진흥협회</t>
    <phoneticPr fontId="6" type="noConversion"/>
  </si>
  <si>
    <t>942-017219-01-011</t>
    <phoneticPr fontId="6" type="noConversion"/>
  </si>
  <si>
    <t>js.ryu@tbell.co.kr</t>
    <phoneticPr fontId="6" type="noConversion"/>
  </si>
  <si>
    <t>수정구</t>
    <phoneticPr fontId="6" type="noConversion"/>
  </si>
  <si>
    <t>창업로40번길 6, 101동 425호</t>
    <phoneticPr fontId="6" type="noConversion"/>
  </si>
  <si>
    <t>박현수</t>
    <phoneticPr fontId="6" type="noConversion"/>
  </si>
  <si>
    <t>PARK, Hyeonsu</t>
  </si>
  <si>
    <t>970909-1300811</t>
    <phoneticPr fontId="6" type="noConversion"/>
  </si>
  <si>
    <t>010-5098-9577</t>
    <phoneticPr fontId="6" type="noConversion"/>
  </si>
  <si>
    <t>구미대학교</t>
    <phoneticPr fontId="6" type="noConversion"/>
  </si>
  <si>
    <t>컴퓨터소프트웨어</t>
    <phoneticPr fontId="6" type="noConversion"/>
  </si>
  <si>
    <t>973-010585-01-014</t>
    <phoneticPr fontId="6" type="noConversion"/>
  </si>
  <si>
    <t>hs.park@tbell.co.kr</t>
    <phoneticPr fontId="6" type="noConversion"/>
  </si>
  <si>
    <t>향남읍</t>
    <phoneticPr fontId="6" type="noConversion"/>
  </si>
  <si>
    <t>향남로39번길 22, 1501동 602호</t>
    <phoneticPr fontId="6" type="noConversion"/>
  </si>
  <si>
    <t>사지영</t>
    <phoneticPr fontId="6" type="noConversion"/>
  </si>
  <si>
    <t>SA, JiYoung</t>
  </si>
  <si>
    <t>041221-4032411</t>
    <phoneticPr fontId="6" type="noConversion"/>
  </si>
  <si>
    <t>010-7152-9054</t>
    <phoneticPr fontId="6" type="noConversion"/>
  </si>
  <si>
    <t>반도체소프트웨어과</t>
    <phoneticPr fontId="6" type="noConversion"/>
  </si>
  <si>
    <t>재학중</t>
    <phoneticPr fontId="6" type="noConversion"/>
  </si>
  <si>
    <t>310-151525-02-010</t>
    <phoneticPr fontId="6" type="noConversion"/>
  </si>
  <si>
    <t>jy.sa@tbell.co.kr</t>
    <phoneticPr fontId="6" type="noConversion"/>
  </si>
  <si>
    <t>도봉로98길 33, 101동 305호 (번동, 삼성아파트)</t>
    <phoneticPr fontId="6" type="noConversion"/>
  </si>
  <si>
    <t>조하은</t>
    <phoneticPr fontId="6" type="noConversion"/>
  </si>
  <si>
    <t>CHO, HaEun</t>
  </si>
  <si>
    <t>980714-2187713</t>
    <phoneticPr fontId="6" type="noConversion"/>
  </si>
  <si>
    <t>010-5403-0640</t>
    <phoneticPr fontId="6" type="noConversion"/>
  </si>
  <si>
    <t>경인여자대학교</t>
    <phoneticPr fontId="6" type="noConversion"/>
  </si>
  <si>
    <t>사회복지과</t>
    <phoneticPr fontId="6" type="noConversion"/>
  </si>
  <si>
    <t>149-126673-02-018</t>
    <phoneticPr fontId="6" type="noConversion"/>
  </si>
  <si>
    <t>010-5293-7534</t>
    <phoneticPr fontId="6" type="noConversion"/>
  </si>
  <si>
    <t>he.cho@tbell.co.kr</t>
    <phoneticPr fontId="6" type="noConversion"/>
  </si>
  <si>
    <t>대방천로14길 32, 301동 810호 (신길동, 우성아파트)</t>
    <phoneticPr fontId="6" type="noConversion"/>
  </si>
  <si>
    <t>김진</t>
    <phoneticPr fontId="6" type="noConversion"/>
  </si>
  <si>
    <t>KIM, Jin</t>
    <phoneticPr fontId="6" type="noConversion"/>
  </si>
  <si>
    <t>980216-1057527</t>
    <phoneticPr fontId="6" type="noConversion"/>
  </si>
  <si>
    <t>010-9822-4849</t>
    <phoneticPr fontId="6" type="noConversion"/>
  </si>
  <si>
    <t>458-072001-01-011</t>
    <phoneticPr fontId="6" type="noConversion"/>
  </si>
  <si>
    <t>010-5342-4849</t>
    <phoneticPr fontId="6" type="noConversion"/>
  </si>
  <si>
    <t>jin.kim@tbell.co.kr</t>
    <phoneticPr fontId="6" type="noConversion"/>
  </si>
  <si>
    <t>일산서구</t>
    <phoneticPr fontId="6" type="noConversion"/>
  </si>
  <si>
    <t>산현로17번길 38, 1107동 602호 (탄현동, 탄현마을)</t>
    <phoneticPr fontId="6" type="noConversion"/>
  </si>
  <si>
    <t>김종혁</t>
    <phoneticPr fontId="6" type="noConversion"/>
  </si>
  <si>
    <t>2실장</t>
  </si>
  <si>
    <t>KIM, JongHyuk</t>
  </si>
  <si>
    <t>790303-1560519</t>
    <phoneticPr fontId="6" type="noConversion"/>
  </si>
  <si>
    <t>010-9872-4812</t>
    <phoneticPr fontId="6" type="noConversion"/>
  </si>
  <si>
    <t>19년 8개월</t>
    <phoneticPr fontId="6" type="noConversion"/>
  </si>
  <si>
    <t>성공회대학교</t>
    <phoneticPr fontId="6" type="noConversion"/>
  </si>
  <si>
    <t>257-107264-01-012</t>
    <phoneticPr fontId="6" type="noConversion"/>
  </si>
  <si>
    <t>아내</t>
    <phoneticPr fontId="6" type="noConversion"/>
  </si>
  <si>
    <t>010-9872-0246</t>
    <phoneticPr fontId="6" type="noConversion"/>
  </si>
  <si>
    <t>jonghyuk.kim@tbell.co.kr</t>
    <phoneticPr fontId="6" type="noConversion"/>
  </si>
  <si>
    <t>도림로 313, 나동 1201호</t>
    <phoneticPr fontId="6" type="noConversion"/>
  </si>
  <si>
    <t>주재우</t>
    <phoneticPr fontId="6" type="noConversion"/>
  </si>
  <si>
    <t>JU, JaeWoo</t>
  </si>
  <si>
    <t>830422-1066210</t>
    <phoneticPr fontId="6" type="noConversion"/>
  </si>
  <si>
    <t>010-8214-4302</t>
    <phoneticPr fontId="6" type="noConversion"/>
  </si>
  <si>
    <t>11년 9개월</t>
    <phoneticPr fontId="6" type="noConversion"/>
  </si>
  <si>
    <r>
      <t>일본전자전문학교 (日本電子</t>
    </r>
    <r>
      <rPr>
        <sz val="9"/>
        <color rgb="FF000000"/>
        <rFont val="Yu Gothic"/>
        <family val="3"/>
        <charset val="128"/>
      </rPr>
      <t>専門学校</t>
    </r>
    <r>
      <rPr>
        <sz val="9"/>
        <color rgb="FF000000"/>
        <rFont val="맑은 고딕"/>
        <family val="3"/>
        <charset val="129"/>
      </rPr>
      <t>)</t>
    </r>
    <phoneticPr fontId="6" type="noConversion"/>
  </si>
  <si>
    <t>게임프로그래밍과</t>
    <phoneticPr fontId="6" type="noConversion"/>
  </si>
  <si>
    <t>257-107327-01-011</t>
    <phoneticPr fontId="6" type="noConversion"/>
  </si>
  <si>
    <t>jw.joo@tbell.co.kr</t>
    <phoneticPr fontId="6" type="noConversion"/>
  </si>
  <si>
    <t>오정구</t>
    <phoneticPr fontId="6" type="noConversion"/>
  </si>
  <si>
    <t>소사로 855, 102동 606호</t>
    <phoneticPr fontId="6" type="noConversion"/>
  </si>
  <si>
    <t>구지원</t>
    <phoneticPr fontId="6" type="noConversion"/>
  </si>
  <si>
    <t>KOO, JiWon</t>
  </si>
  <si>
    <t>010523-4268717</t>
    <phoneticPr fontId="6" type="noConversion"/>
  </si>
  <si>
    <t>010-6536-7576</t>
    <phoneticPr fontId="6" type="noConversion"/>
  </si>
  <si>
    <t>비주얼게임컨텐츠</t>
    <phoneticPr fontId="6" type="noConversion"/>
  </si>
  <si>
    <t>564-063637-01-010</t>
    <phoneticPr fontId="6" type="noConversion"/>
  </si>
  <si>
    <t>010-9798-9009</t>
    <phoneticPr fontId="6" type="noConversion"/>
  </si>
  <si>
    <t>jw.koo@tbell.co.kr</t>
    <phoneticPr fontId="6" type="noConversion"/>
  </si>
  <si>
    <t>서울특별시</t>
    <phoneticPr fontId="6" type="noConversion"/>
  </si>
  <si>
    <t>서부샛길 528, 815호 (가산동, 가산 미소지움)</t>
    <phoneticPr fontId="6" type="noConversion"/>
  </si>
  <si>
    <t>박소현</t>
    <phoneticPr fontId="6" type="noConversion"/>
  </si>
  <si>
    <t>PARK, SoHyun</t>
  </si>
  <si>
    <t>960506-2213716</t>
    <phoneticPr fontId="6" type="noConversion"/>
  </si>
  <si>
    <t>010-6852-0631</t>
    <phoneticPr fontId="6" type="noConversion"/>
  </si>
  <si>
    <t>중부대학교</t>
    <phoneticPr fontId="6" type="noConversion"/>
  </si>
  <si>
    <t>427-160922-02-019</t>
    <phoneticPr fontId="6" type="noConversion"/>
  </si>
  <si>
    <t>sohyun.park@tbell.co.kr</t>
    <phoneticPr fontId="6" type="noConversion"/>
  </si>
  <si>
    <t>백남준로 50-12, A동 3층</t>
    <phoneticPr fontId="6" type="noConversion"/>
  </si>
  <si>
    <t>정승헌</t>
    <phoneticPr fontId="6" type="noConversion"/>
  </si>
  <si>
    <t>JEONG, SeungHeon</t>
  </si>
  <si>
    <t>910610-1068014</t>
    <phoneticPr fontId="6" type="noConversion"/>
  </si>
  <si>
    <t>010-5102-9345</t>
    <phoneticPr fontId="6" type="noConversion"/>
  </si>
  <si>
    <t>486-048961-01-018</t>
    <phoneticPr fontId="6" type="noConversion"/>
  </si>
  <si>
    <t>sh.jeong@tbell.co.kr</t>
    <phoneticPr fontId="6" type="noConversion"/>
  </si>
  <si>
    <t>장고개로337번길</t>
    <phoneticPr fontId="6" type="noConversion"/>
  </si>
  <si>
    <t>32, 5동 1408호</t>
    <phoneticPr fontId="6" type="noConversion"/>
  </si>
  <si>
    <t>최인석</t>
    <phoneticPr fontId="6" type="noConversion"/>
  </si>
  <si>
    <t>CHOI, Insuk</t>
  </si>
  <si>
    <t>881125-1163217</t>
    <phoneticPr fontId="6" type="noConversion"/>
  </si>
  <si>
    <t>010-4288-7185</t>
    <phoneticPr fontId="6" type="noConversion"/>
  </si>
  <si>
    <t>6년 2개월</t>
    <phoneticPr fontId="6" type="noConversion"/>
  </si>
  <si>
    <t>607-041129-01-011</t>
    <phoneticPr fontId="6" type="noConversion"/>
  </si>
  <si>
    <t>010-5518-6204</t>
    <phoneticPr fontId="6" type="noConversion"/>
  </si>
  <si>
    <t>is.choi@tbell.co.kr</t>
    <phoneticPr fontId="6" type="noConversion"/>
  </si>
  <si>
    <t>동탄공원로 21-12, 910동 2002호 (능동, 동탄푸른마을 포스코더샾 아파트)</t>
    <phoneticPr fontId="6" type="noConversion"/>
  </si>
  <si>
    <t>최현민</t>
    <phoneticPr fontId="6" type="noConversion"/>
  </si>
  <si>
    <t>CHOI, HyunMin</t>
  </si>
  <si>
    <t>930924-1185117</t>
    <phoneticPr fontId="6" type="noConversion"/>
  </si>
  <si>
    <t>010-2060-4263</t>
    <phoneticPr fontId="6" type="noConversion"/>
  </si>
  <si>
    <t>3년 7개월</t>
    <phoneticPr fontId="6" type="noConversion"/>
  </si>
  <si>
    <t>450-077390-01-017</t>
    <phoneticPr fontId="6" type="noConversion"/>
  </si>
  <si>
    <t>010-6470-4263</t>
    <phoneticPr fontId="6" type="noConversion"/>
  </si>
  <si>
    <t>hm.choi@tbell.co.kr</t>
    <phoneticPr fontId="6" type="noConversion"/>
  </si>
  <si>
    <t>성대로3길 16 (상도동)</t>
    <phoneticPr fontId="6" type="noConversion"/>
  </si>
  <si>
    <t>손진빈</t>
    <phoneticPr fontId="6" type="noConversion"/>
  </si>
  <si>
    <t>SON, JinBin</t>
  </si>
  <si>
    <t>000226-3047319</t>
    <phoneticPr fontId="6" type="noConversion"/>
  </si>
  <si>
    <t>010-3476-0882</t>
    <phoneticPr fontId="6" type="noConversion"/>
  </si>
  <si>
    <t>049-027897-01-032</t>
    <phoneticPr fontId="6" type="noConversion"/>
  </si>
  <si>
    <t>010-5671-0882</t>
    <phoneticPr fontId="6" type="noConversion"/>
  </si>
  <si>
    <t>jb.son@tbell.co.kr</t>
    <phoneticPr fontId="6" type="noConversion"/>
  </si>
  <si>
    <t>광성로 17, 101동 2102호</t>
    <phoneticPr fontId="6" type="noConversion"/>
  </si>
  <si>
    <t>최재영</t>
    <phoneticPr fontId="6" type="noConversion"/>
  </si>
  <si>
    <t>CHOI, JaeYeong</t>
  </si>
  <si>
    <t>950615-1019728</t>
    <phoneticPr fontId="6" type="noConversion"/>
  </si>
  <si>
    <t>010-4609-8633</t>
    <phoneticPr fontId="6" type="noConversion"/>
  </si>
  <si>
    <t>7년 1개월</t>
    <phoneticPr fontId="6" type="noConversion"/>
  </si>
  <si>
    <t>이동통신과</t>
    <phoneticPr fontId="6" type="noConversion"/>
  </si>
  <si>
    <t>2016.02.22</t>
    <phoneticPr fontId="6" type="noConversion"/>
  </si>
  <si>
    <t>060-159223-02-016</t>
    <phoneticPr fontId="6" type="noConversion"/>
  </si>
  <si>
    <t>010-2243-8633</t>
    <phoneticPr fontId="6" type="noConversion"/>
  </si>
  <si>
    <t>jy.choi@tbell.co.kr</t>
    <phoneticPr fontId="6" type="noConversion"/>
  </si>
  <si>
    <t>상일동 고덕리엔파크, 301-1001호</t>
    <phoneticPr fontId="6" type="noConversion"/>
  </si>
  <si>
    <t>최영훈</t>
    <phoneticPr fontId="6" type="noConversion"/>
  </si>
  <si>
    <t>CHOI, Younghun</t>
  </si>
  <si>
    <t>941115-1894718</t>
    <phoneticPr fontId="6" type="noConversion"/>
  </si>
  <si>
    <t>010-4955-9999</t>
    <phoneticPr fontId="6" type="noConversion"/>
  </si>
  <si>
    <t>유아특수교육과</t>
    <phoneticPr fontId="6" type="noConversion"/>
  </si>
  <si>
    <t>129-084462-02-016</t>
    <phoneticPr fontId="6" type="noConversion"/>
  </si>
  <si>
    <t>yh.choi@tbell.co.kr</t>
    <phoneticPr fontId="6" type="noConversion"/>
  </si>
  <si>
    <t>일산동구</t>
    <phoneticPr fontId="6" type="noConversion"/>
  </si>
  <si>
    <t>태극로 11</t>
    <phoneticPr fontId="6" type="noConversion"/>
  </si>
  <si>
    <t>김주완</t>
    <phoneticPr fontId="6" type="noConversion"/>
  </si>
  <si>
    <t>KIM, JuWan</t>
  </si>
  <si>
    <t>960328-1590814</t>
    <phoneticPr fontId="6" type="noConversion"/>
  </si>
  <si>
    <t>010-7154-2144</t>
    <phoneticPr fontId="6" type="noConversion"/>
  </si>
  <si>
    <t>2년 0개월</t>
    <phoneticPr fontId="6" type="noConversion"/>
  </si>
  <si>
    <t>백석대학교</t>
    <phoneticPr fontId="6" type="noConversion"/>
  </si>
  <si>
    <t>061-115010-02-016</t>
    <phoneticPr fontId="6" type="noConversion"/>
  </si>
  <si>
    <t>010-6665-2145</t>
    <phoneticPr fontId="6" type="noConversion"/>
  </si>
  <si>
    <t>juwan.kim@tbell.co.kr</t>
    <phoneticPr fontId="6" type="noConversion"/>
  </si>
  <si>
    <t>수풍로 90, 109동 1101호</t>
    <phoneticPr fontId="6" type="noConversion"/>
  </si>
  <si>
    <t>조준후</t>
    <phoneticPr fontId="6" type="noConversion"/>
  </si>
  <si>
    <t>JO, Junhu</t>
  </si>
  <si>
    <t>910518-1508819</t>
    <phoneticPr fontId="6" type="noConversion"/>
  </si>
  <si>
    <t>010-5018-4683</t>
    <phoneticPr fontId="6" type="noConversion"/>
  </si>
  <si>
    <t>남부대학교</t>
    <phoneticPr fontId="6" type="noConversion"/>
  </si>
  <si>
    <t>식품영양학과</t>
    <phoneticPr fontId="6" type="noConversion"/>
  </si>
  <si>
    <t>143-100142-01-016</t>
    <phoneticPr fontId="6" type="noConversion"/>
  </si>
  <si>
    <t>동생</t>
    <phoneticPr fontId="6" type="noConversion"/>
  </si>
  <si>
    <t>010-4928-8288</t>
    <phoneticPr fontId="6" type="noConversion"/>
  </si>
  <si>
    <t>jh.jo@tbell.co.kr</t>
    <phoneticPr fontId="6" type="noConversion"/>
  </si>
  <si>
    <t>언남길 49, 405호</t>
    <phoneticPr fontId="6" type="noConversion"/>
  </si>
  <si>
    <t>권혁만</t>
    <phoneticPr fontId="6" type="noConversion"/>
  </si>
  <si>
    <t>삼성생명 2팀</t>
  </si>
  <si>
    <t>KWON, HyukMan</t>
  </si>
  <si>
    <t>801024-1348011</t>
    <phoneticPr fontId="6" type="noConversion"/>
  </si>
  <si>
    <t>010-2329-3437</t>
    <phoneticPr fontId="6" type="noConversion"/>
  </si>
  <si>
    <t>15년 7개월</t>
    <phoneticPr fontId="6" type="noConversion"/>
  </si>
  <si>
    <t>425-059512-02-018</t>
    <phoneticPr fontId="6" type="noConversion"/>
  </si>
  <si>
    <t>hm.kwon@tbell.co.kr</t>
    <phoneticPr fontId="6" type="noConversion"/>
  </si>
  <si>
    <t>도약로 146, 208동 2005호 (중동, 덕유마을)</t>
    <phoneticPr fontId="6" type="noConversion"/>
  </si>
  <si>
    <t>유예진</t>
    <phoneticPr fontId="6" type="noConversion"/>
  </si>
  <si>
    <t>YOO, YeJin</t>
  </si>
  <si>
    <t>970910-2360612</t>
    <phoneticPr fontId="6" type="noConversion"/>
  </si>
  <si>
    <t>010-8669-6831</t>
    <phoneticPr fontId="6" type="noConversion"/>
  </si>
  <si>
    <t>3년 3개월</t>
    <phoneticPr fontId="6" type="noConversion"/>
  </si>
  <si>
    <t>대전대학교</t>
    <phoneticPr fontId="6" type="noConversion"/>
  </si>
  <si>
    <t>전자정보통신공학과</t>
    <phoneticPr fontId="6" type="noConversion"/>
  </si>
  <si>
    <t>541-063698-02-014</t>
    <phoneticPr fontId="6" type="noConversion"/>
  </si>
  <si>
    <t>yj.yoo@tbell.co.kr</t>
    <phoneticPr fontId="6" type="noConversion"/>
  </si>
  <si>
    <t>사당로26길 90, 905호(사당동, 감골)</t>
    <phoneticPr fontId="6" type="noConversion"/>
  </si>
  <si>
    <t>문시원</t>
    <phoneticPr fontId="6" type="noConversion"/>
  </si>
  <si>
    <t>MOON, SiWon</t>
  </si>
  <si>
    <t>980620-1081426</t>
    <phoneticPr fontId="6" type="noConversion"/>
  </si>
  <si>
    <t>010-4827-7473</t>
    <phoneticPr fontId="6" type="noConversion"/>
  </si>
  <si>
    <t>2년 5개월</t>
    <phoneticPr fontId="6" type="noConversion"/>
  </si>
  <si>
    <t>충북도립대학교</t>
    <phoneticPr fontId="6" type="noConversion"/>
  </si>
  <si>
    <t>정보보안학과</t>
    <phoneticPr fontId="6" type="noConversion"/>
  </si>
  <si>
    <t>SQL 개발자</t>
  </si>
  <si>
    <t>060-159407-02-011</t>
    <phoneticPr fontId="6" type="noConversion"/>
  </si>
  <si>
    <t>sw.moon@tbell.co.kr</t>
    <phoneticPr fontId="6" type="noConversion"/>
  </si>
  <si>
    <t>진황도로25길 50, 101호</t>
    <phoneticPr fontId="6" type="noConversion"/>
  </si>
  <si>
    <t>문희은</t>
    <phoneticPr fontId="6" type="noConversion"/>
  </si>
  <si>
    <t>Mun, Heeeun</t>
  </si>
  <si>
    <t>890716-2651219</t>
    <phoneticPr fontId="6" type="noConversion"/>
  </si>
  <si>
    <t>010-6305-2254</t>
    <phoneticPr fontId="6" type="noConversion"/>
  </si>
  <si>
    <t>조선대학교</t>
    <phoneticPr fontId="6" type="noConversion"/>
  </si>
  <si>
    <t>컴퓨터통계학과</t>
    <phoneticPr fontId="6" type="noConversion"/>
  </si>
  <si>
    <t>311-068329-01-019</t>
    <phoneticPr fontId="6" type="noConversion"/>
  </si>
  <si>
    <t>남편</t>
    <phoneticPr fontId="6" type="noConversion"/>
  </si>
  <si>
    <t>010-6694-1688</t>
    <phoneticPr fontId="6" type="noConversion"/>
  </si>
  <si>
    <t>he.mun@tbell.co.kr</t>
    <phoneticPr fontId="6" type="noConversion"/>
  </si>
  <si>
    <t>동안구</t>
    <phoneticPr fontId="6" type="noConversion"/>
  </si>
  <si>
    <t>관평로 212번길 21, 310동 710호 (관양동, 공작부영아파트)</t>
    <phoneticPr fontId="6" type="noConversion"/>
  </si>
  <si>
    <t>이재령</t>
    <phoneticPr fontId="6" type="noConversion"/>
  </si>
  <si>
    <t>LEE, JaeRyeong</t>
  </si>
  <si>
    <t>041129-4067116</t>
    <phoneticPr fontId="6" type="noConversion"/>
  </si>
  <si>
    <t>010-6442-6837</t>
    <phoneticPr fontId="6" type="noConversion"/>
  </si>
  <si>
    <t>070-183872-01-019</t>
    <phoneticPr fontId="6" type="noConversion"/>
  </si>
  <si>
    <t>010-4750-6837</t>
    <phoneticPr fontId="6" type="noConversion"/>
  </si>
  <si>
    <t>jr.lee@tbell.co.kr</t>
    <phoneticPr fontId="6" type="noConversion"/>
  </si>
  <si>
    <t>은천로 93, 102동 304호 (봉천동, 벽산블루밍아파트)</t>
    <phoneticPr fontId="6" type="noConversion"/>
  </si>
  <si>
    <t>김수민</t>
    <phoneticPr fontId="6" type="noConversion"/>
  </si>
  <si>
    <t>KIM, SuMin</t>
  </si>
  <si>
    <t>040923-4070311</t>
    <phoneticPr fontId="6" type="noConversion"/>
  </si>
  <si>
    <t>010-8138-3332</t>
    <phoneticPr fontId="6" type="noConversion"/>
  </si>
  <si>
    <t>123-180345-01-017</t>
    <phoneticPr fontId="6" type="noConversion"/>
  </si>
  <si>
    <t>010-2547-5772</t>
    <phoneticPr fontId="6" type="noConversion"/>
  </si>
  <si>
    <t>sm.kim@tbell.co.kr</t>
    <phoneticPr fontId="6" type="noConversion"/>
  </si>
  <si>
    <t>인천광역시</t>
    <phoneticPr fontId="6" type="noConversion"/>
  </si>
  <si>
    <t>안남로222번길</t>
    <phoneticPr fontId="6" type="noConversion"/>
  </si>
  <si>
    <t>30, 202동 307호 (산곡동, 경남아파트)</t>
    <phoneticPr fontId="6" type="noConversion"/>
  </si>
  <si>
    <t>박수진</t>
    <phoneticPr fontId="6" type="noConversion"/>
  </si>
  <si>
    <t>Park, SuJin</t>
  </si>
  <si>
    <t>040320-4074114</t>
    <phoneticPr fontId="6" type="noConversion"/>
  </si>
  <si>
    <t>010-2450-4009</t>
    <phoneticPr fontId="6" type="noConversion"/>
  </si>
  <si>
    <t>301-116690-02-011</t>
    <phoneticPr fontId="6" type="noConversion"/>
  </si>
  <si>
    <t>010-8269-4009</t>
    <phoneticPr fontId="6" type="noConversion"/>
  </si>
  <si>
    <t>sj.park2@tbell.co.kr</t>
    <phoneticPr fontId="6" type="noConversion"/>
  </si>
  <si>
    <t>백련산로2길 19, 110동 1303호 (응암동, 백련산 힐스테이트1차)</t>
    <phoneticPr fontId="6" type="noConversion"/>
  </si>
  <si>
    <t>조현비</t>
    <phoneticPr fontId="6" type="noConversion"/>
  </si>
  <si>
    <t>Jo, HyeonBi</t>
  </si>
  <si>
    <t>040909-4159112</t>
    <phoneticPr fontId="6" type="noConversion"/>
  </si>
  <si>
    <t>010-7327-4528</t>
    <phoneticPr fontId="6" type="noConversion"/>
  </si>
  <si>
    <t>499-091708-01-019</t>
    <phoneticPr fontId="6" type="noConversion"/>
  </si>
  <si>
    <t>hb.jo@tbell.co.kr</t>
    <phoneticPr fontId="6" type="noConversion"/>
  </si>
  <si>
    <t>책향기로</t>
    <phoneticPr fontId="6" type="noConversion"/>
  </si>
  <si>
    <t>337, 302동 901호 (문발동, 숲속길마을 동문굿모닝힐)</t>
    <phoneticPr fontId="6" type="noConversion"/>
  </si>
  <si>
    <t>이동환</t>
    <phoneticPr fontId="6" type="noConversion"/>
  </si>
  <si>
    <t>SK텔레콤 20팀</t>
  </si>
  <si>
    <t>LEE, DongHwan</t>
  </si>
  <si>
    <t>950427-1065325</t>
    <phoneticPr fontId="6" type="noConversion"/>
  </si>
  <si>
    <t>010-4704-3249</t>
    <phoneticPr fontId="6" type="noConversion"/>
  </si>
  <si>
    <t>1년 6개월</t>
    <phoneticPr fontId="6" type="noConversion"/>
  </si>
  <si>
    <t>한국공학대학교</t>
    <phoneticPr fontId="6" type="noConversion"/>
  </si>
  <si>
    <t>212-124681-02-019</t>
    <phoneticPr fontId="6" type="noConversion"/>
  </si>
  <si>
    <t>010-9990-3259</t>
    <phoneticPr fontId="6" type="noConversion"/>
  </si>
  <si>
    <t>dh.lee@tbell.co.kr</t>
    <phoneticPr fontId="6" type="noConversion"/>
  </si>
  <si>
    <t>신내로 155, 808동 1308호 (신내동, 화성아파트)</t>
    <phoneticPr fontId="6" type="noConversion"/>
  </si>
  <si>
    <t>김채영</t>
    <phoneticPr fontId="6" type="noConversion"/>
  </si>
  <si>
    <t>KIM, ChaeYoung</t>
  </si>
  <si>
    <t>961217-2169813</t>
    <phoneticPr fontId="6" type="noConversion"/>
  </si>
  <si>
    <t>010-5375-9350</t>
    <phoneticPr fontId="6" type="noConversion"/>
  </si>
  <si>
    <t>아주대학교</t>
    <phoneticPr fontId="6" type="noConversion"/>
  </si>
  <si>
    <t>호텔관광과</t>
    <phoneticPr fontId="6" type="noConversion"/>
  </si>
  <si>
    <t>422-081526-01-017</t>
    <phoneticPr fontId="6" type="noConversion"/>
  </si>
  <si>
    <t>010-3247-9350</t>
  </si>
  <si>
    <t>cy.kim@tbell.co.kr</t>
    <phoneticPr fontId="6" type="noConversion"/>
  </si>
  <si>
    <t>쌍림동 151-70, 301호</t>
    <phoneticPr fontId="6" type="noConversion"/>
  </si>
  <si>
    <t>문승익</t>
    <phoneticPr fontId="6" type="noConversion"/>
  </si>
  <si>
    <t>MOON, SeungIk</t>
  </si>
  <si>
    <t>960626-1177922</t>
    <phoneticPr fontId="6" type="noConversion"/>
  </si>
  <si>
    <t>010-5239-5925</t>
    <phoneticPr fontId="6" type="noConversion"/>
  </si>
  <si>
    <t>4년 3개월</t>
    <phoneticPr fontId="6" type="noConversion"/>
  </si>
  <si>
    <t>스마트소프트웨어학과</t>
    <phoneticPr fontId="6" type="noConversion"/>
  </si>
  <si>
    <t>931-030571-01-016</t>
    <phoneticPr fontId="6" type="noConversion"/>
  </si>
  <si>
    <t>010-3680-0935</t>
    <phoneticPr fontId="6" type="noConversion"/>
  </si>
  <si>
    <t>si.mun@tbell.co.kr</t>
    <phoneticPr fontId="6" type="noConversion"/>
  </si>
  <si>
    <t>관악대로359번길 10-18, 802호 (관양동, 신송프라자)</t>
    <phoneticPr fontId="6" type="noConversion"/>
  </si>
  <si>
    <t>서성현</t>
    <phoneticPr fontId="6" type="noConversion"/>
  </si>
  <si>
    <t>SEO, SeongHyeon</t>
  </si>
  <si>
    <t>951229-1158019</t>
    <phoneticPr fontId="6" type="noConversion"/>
  </si>
  <si>
    <t>010-8622-6519</t>
    <phoneticPr fontId="6" type="noConversion"/>
  </si>
  <si>
    <t>재능대학교</t>
    <phoneticPr fontId="6" type="noConversion"/>
  </si>
  <si>
    <t>381-109073-01-016</t>
    <phoneticPr fontId="6" type="noConversion"/>
  </si>
  <si>
    <t>010-9197-6519</t>
    <phoneticPr fontId="6" type="noConversion"/>
  </si>
  <si>
    <t>sh.seo@tbell.co.kr</t>
    <phoneticPr fontId="6" type="noConversion"/>
  </si>
  <si>
    <t>원인재로 59, 6동 501호</t>
    <phoneticPr fontId="6" type="noConversion"/>
  </si>
  <si>
    <t>오연지</t>
    <phoneticPr fontId="6" type="noConversion"/>
  </si>
  <si>
    <t>OH, YeonJi</t>
  </si>
  <si>
    <t>960207-2059417</t>
    <phoneticPr fontId="6" type="noConversion"/>
  </si>
  <si>
    <t>010-7128-3169</t>
    <phoneticPr fontId="6" type="noConversion"/>
  </si>
  <si>
    <t>식품영양전공</t>
    <phoneticPr fontId="6" type="noConversion"/>
  </si>
  <si>
    <t>421-066456-01-016</t>
    <phoneticPr fontId="6" type="noConversion"/>
  </si>
  <si>
    <t>010-5627-3207</t>
    <phoneticPr fontId="6" type="noConversion"/>
  </si>
  <si>
    <t>yj.oh@tbell.co.kr</t>
    <phoneticPr fontId="6" type="noConversion"/>
  </si>
  <si>
    <t>성복1로 62, 103동 303호</t>
    <phoneticPr fontId="6" type="noConversion"/>
  </si>
  <si>
    <t>김지연</t>
    <phoneticPr fontId="6" type="noConversion"/>
  </si>
  <si>
    <t>KIM, JiYeon</t>
  </si>
  <si>
    <t>970329-2157915</t>
    <phoneticPr fontId="6" type="noConversion"/>
  </si>
  <si>
    <t>010-5441-2491</t>
    <phoneticPr fontId="6" type="noConversion"/>
  </si>
  <si>
    <t>2년 7개월</t>
    <phoneticPr fontId="6" type="noConversion"/>
  </si>
  <si>
    <t>차의과학대학교</t>
    <phoneticPr fontId="6" type="noConversion"/>
  </si>
  <si>
    <t>데이터경영학과</t>
    <phoneticPr fontId="6" type="noConversion"/>
  </si>
  <si>
    <t>955-050799-02-011</t>
    <phoneticPr fontId="6" type="noConversion"/>
  </si>
  <si>
    <t>jy.kim@tbell.co.kr</t>
    <phoneticPr fontId="6" type="noConversion"/>
  </si>
  <si>
    <t>중봉대로586번길</t>
    <phoneticPr fontId="6" type="noConversion"/>
  </si>
  <si>
    <t>22, 103동 2006호 (청라동, 청라엑슬루타워)</t>
    <phoneticPr fontId="6" type="noConversion"/>
  </si>
  <si>
    <t>김채영b</t>
    <phoneticPr fontId="6" type="noConversion"/>
  </si>
  <si>
    <t>040714-4830418</t>
    <phoneticPr fontId="6" type="noConversion"/>
  </si>
  <si>
    <t>010-3144-6131</t>
    <phoneticPr fontId="6" type="noConversion"/>
  </si>
  <si>
    <t>070-184613-01-017</t>
    <phoneticPr fontId="6" type="noConversion"/>
  </si>
  <si>
    <t>010-5760-6125</t>
    <phoneticPr fontId="6" type="noConversion"/>
  </si>
  <si>
    <t>cy.kim2@tbell.co.kr</t>
    <phoneticPr fontId="6" type="noConversion"/>
  </si>
  <si>
    <t>난곡로16길 27 (신림동)</t>
    <phoneticPr fontId="6" type="noConversion"/>
  </si>
  <si>
    <t>홍승진</t>
    <phoneticPr fontId="6" type="noConversion"/>
  </si>
  <si>
    <t>HONG, SeungJin</t>
  </si>
  <si>
    <t>890317-1032912</t>
    <phoneticPr fontId="6" type="noConversion"/>
  </si>
  <si>
    <t>010-9117-2567</t>
    <phoneticPr fontId="6" type="noConversion"/>
  </si>
  <si>
    <t>8년 7개월</t>
    <phoneticPr fontId="6" type="noConversion"/>
  </si>
  <si>
    <t>홍익대학교</t>
    <phoneticPr fontId="6" type="noConversion"/>
  </si>
  <si>
    <t>261-079760-01-019</t>
    <phoneticPr fontId="6" type="noConversion"/>
  </si>
  <si>
    <t>010-9254-2569</t>
    <phoneticPr fontId="6" type="noConversion"/>
  </si>
  <si>
    <t>sj.hong2@tbell.co.kr</t>
    <phoneticPr fontId="6" type="noConversion"/>
  </si>
  <si>
    <t>곰달래로13길 8 (신월동)</t>
    <phoneticPr fontId="6" type="noConversion"/>
  </si>
  <si>
    <t>윤승한</t>
    <phoneticPr fontId="6" type="noConversion"/>
  </si>
  <si>
    <t>YUN, SeungHan</t>
  </si>
  <si>
    <t>910712-1057513</t>
    <phoneticPr fontId="6" type="noConversion"/>
  </si>
  <si>
    <t>010-7711-8963</t>
    <phoneticPr fontId="6" type="noConversion"/>
  </si>
  <si>
    <t>4년 10개월</t>
    <phoneticPr fontId="6" type="noConversion"/>
  </si>
  <si>
    <t>한세대학교</t>
    <phoneticPr fontId="6" type="noConversion"/>
  </si>
  <si>
    <t>471-043477-01-019</t>
    <phoneticPr fontId="6" type="noConversion"/>
  </si>
  <si>
    <t>sh.yun@tbell.co.kr</t>
    <phoneticPr fontId="6" type="noConversion"/>
  </si>
  <si>
    <t>도림로20길 30, 가동 810호 (구로동, 성락아파트)</t>
    <phoneticPr fontId="6" type="noConversion"/>
  </si>
  <si>
    <t>노선동</t>
    <phoneticPr fontId="6" type="noConversion"/>
  </si>
  <si>
    <t>흥국생명 2팀</t>
  </si>
  <si>
    <t>NOH, SunDong</t>
  </si>
  <si>
    <t>810119-1051829</t>
    <phoneticPr fontId="6" type="noConversion"/>
  </si>
  <si>
    <t>010-2830-8561</t>
    <phoneticPr fontId="6" type="noConversion"/>
  </si>
  <si>
    <t>18년 11개월</t>
    <phoneticPr fontId="6" type="noConversion"/>
  </si>
  <si>
    <t>경동대학교</t>
    <phoneticPr fontId="6" type="noConversion"/>
  </si>
  <si>
    <t>257-092694-01-019</t>
    <phoneticPr fontId="6" type="noConversion"/>
  </si>
  <si>
    <t>010-9376-3581</t>
    <phoneticPr fontId="6" type="noConversion"/>
  </si>
  <si>
    <t>sd.noh@tbell.co.kr</t>
    <phoneticPr fontId="6" type="noConversion"/>
  </si>
  <si>
    <t>천호대로134길 46, 602호</t>
    <phoneticPr fontId="6" type="noConversion"/>
  </si>
  <si>
    <t>금동해</t>
    <phoneticPr fontId="6" type="noConversion"/>
  </si>
  <si>
    <t>KEUM, DongHae</t>
  </si>
  <si>
    <t>851119-1247113</t>
    <phoneticPr fontId="6" type="noConversion"/>
  </si>
  <si>
    <t>010-3868-7162</t>
    <phoneticPr fontId="6" type="noConversion"/>
  </si>
  <si>
    <t>12년 6개월</t>
    <phoneticPr fontId="6" type="noConversion"/>
  </si>
  <si>
    <t>336-076379-01-014</t>
    <phoneticPr fontId="6" type="noConversion"/>
  </si>
  <si>
    <t>dh.keum@tbell.co.kr</t>
    <phoneticPr fontId="6" type="noConversion"/>
  </si>
  <si>
    <t>신대방14가길 7-3, 303호 (신대방동, 대방아트빌)</t>
    <phoneticPr fontId="6" type="noConversion"/>
  </si>
  <si>
    <t>추경운</t>
    <phoneticPr fontId="6" type="noConversion"/>
  </si>
  <si>
    <t>CHU, KyungWoon</t>
  </si>
  <si>
    <t>960503-1481521</t>
    <phoneticPr fontId="6" type="noConversion"/>
  </si>
  <si>
    <t>010-5491-1508</t>
    <phoneticPr fontId="6" type="noConversion"/>
  </si>
  <si>
    <t>1년 11개월</t>
    <phoneticPr fontId="6" type="noConversion"/>
  </si>
  <si>
    <t>전주대학교</t>
    <phoneticPr fontId="6" type="noConversion"/>
  </si>
  <si>
    <t>부동산학과</t>
    <phoneticPr fontId="6" type="noConversion"/>
  </si>
  <si>
    <t>206-116264-01-019</t>
    <phoneticPr fontId="6" type="noConversion"/>
  </si>
  <si>
    <t>010-8626-1508</t>
    <phoneticPr fontId="6" type="noConversion"/>
  </si>
  <si>
    <t>kw.chu@tbell.co.kr</t>
    <phoneticPr fontId="6" type="noConversion"/>
  </si>
  <si>
    <t>조원로13길 66, 204호 (신림동, 로얄럭스시티)</t>
    <phoneticPr fontId="6" type="noConversion"/>
  </si>
  <si>
    <t>김동욱b</t>
    <phoneticPr fontId="6" type="noConversion"/>
  </si>
  <si>
    <t>KIM, DongUk</t>
  </si>
  <si>
    <t>910831-1057423</t>
    <phoneticPr fontId="6" type="noConversion"/>
  </si>
  <si>
    <t>010-9990-1755</t>
    <phoneticPr fontId="6" type="noConversion"/>
  </si>
  <si>
    <t>토목환경과</t>
    <phoneticPr fontId="6" type="noConversion"/>
  </si>
  <si>
    <t>203-152408-01-016</t>
    <phoneticPr fontId="6" type="noConversion"/>
  </si>
  <si>
    <t>010-3686-5907</t>
    <phoneticPr fontId="6" type="noConversion"/>
  </si>
  <si>
    <t>du.kim@tbell.co.kr</t>
    <phoneticPr fontId="6" type="noConversion"/>
  </si>
  <si>
    <t>구로중앙로12길 13-15 (구로동)</t>
    <phoneticPr fontId="6" type="noConversion"/>
  </si>
  <si>
    <t>채주리</t>
    <phoneticPr fontId="6" type="noConversion"/>
  </si>
  <si>
    <t>CHAE, JooRi</t>
  </si>
  <si>
    <t>980704-2066921</t>
    <phoneticPr fontId="6" type="noConversion"/>
  </si>
  <si>
    <t>010-9177-7011</t>
    <phoneticPr fontId="6" type="noConversion"/>
  </si>
  <si>
    <t>5년 6개월</t>
    <phoneticPr fontId="6" type="noConversion"/>
  </si>
  <si>
    <t>988-011833-01-011</t>
    <phoneticPr fontId="6" type="noConversion"/>
  </si>
  <si>
    <t>010-6393-9128</t>
    <phoneticPr fontId="6" type="noConversion"/>
  </si>
  <si>
    <t>jr.chae@tbell.co.kr</t>
    <phoneticPr fontId="6" type="noConversion"/>
  </si>
  <si>
    <t>덕릉로 193-11</t>
    <phoneticPr fontId="6" type="noConversion"/>
  </si>
  <si>
    <t>육근원</t>
    <phoneticPr fontId="6" type="noConversion"/>
  </si>
  <si>
    <t>YUK, GeunWon</t>
  </si>
  <si>
    <t>861122-1013021</t>
    <phoneticPr fontId="6" type="noConversion"/>
  </si>
  <si>
    <t>010-4208-8403</t>
    <phoneticPr fontId="6" type="noConversion"/>
  </si>
  <si>
    <t>컴퓨터전자과</t>
    <phoneticPr fontId="6" type="noConversion"/>
  </si>
  <si>
    <t>048-085423-02-016</t>
    <phoneticPr fontId="6" type="noConversion"/>
  </si>
  <si>
    <t>010-6698-6601</t>
    <phoneticPr fontId="6" type="noConversion"/>
  </si>
  <si>
    <t>gw.yuk@tbell.co.kr</t>
    <phoneticPr fontId="6" type="noConversion"/>
  </si>
  <si>
    <t>자양로44길 45, 402호 (구의동)</t>
    <phoneticPr fontId="6" type="noConversion"/>
  </si>
  <si>
    <t>이정민</t>
    <phoneticPr fontId="6" type="noConversion"/>
  </si>
  <si>
    <t>LEE, JeongMin</t>
  </si>
  <si>
    <t>941012-1483410</t>
    <phoneticPr fontId="6" type="noConversion"/>
  </si>
  <si>
    <t>010-6687-1928</t>
    <phoneticPr fontId="6" type="noConversion"/>
  </si>
  <si>
    <t>2년 6개월</t>
    <phoneticPr fontId="6" type="noConversion"/>
  </si>
  <si>
    <t>132-122173-02-012</t>
    <phoneticPr fontId="6" type="noConversion"/>
  </si>
  <si>
    <t>010-5013-1928</t>
    <phoneticPr fontId="6" type="noConversion"/>
  </si>
  <si>
    <t>jm.lee@tbell.co.kr</t>
    <phoneticPr fontId="6" type="noConversion"/>
  </si>
  <si>
    <t>오금로20길 4-4, 203동 (송파동)</t>
    <phoneticPr fontId="6" type="noConversion"/>
  </si>
  <si>
    <t>홍현준</t>
    <phoneticPr fontId="6" type="noConversion"/>
  </si>
  <si>
    <t>HONG, HyeonJun</t>
  </si>
  <si>
    <t>941120-1300413</t>
    <phoneticPr fontId="6" type="noConversion"/>
  </si>
  <si>
    <t>010-3265-6987</t>
    <phoneticPr fontId="6" type="noConversion"/>
  </si>
  <si>
    <t>동해광희고등학교</t>
    <phoneticPr fontId="6" type="noConversion"/>
  </si>
  <si>
    <t>-</t>
    <phoneticPr fontId="6" type="noConversion"/>
  </si>
  <si>
    <t>427-163167-02-014</t>
    <phoneticPr fontId="6" type="noConversion"/>
  </si>
  <si>
    <t>010-5478-6987</t>
    <phoneticPr fontId="6" type="noConversion"/>
  </si>
  <si>
    <t>hj.hong@tbell.co.kr</t>
    <phoneticPr fontId="6" type="noConversion"/>
  </si>
  <si>
    <t>덕양구</t>
    <phoneticPr fontId="6" type="noConversion"/>
  </si>
  <si>
    <t>고만로 48, 902동 705호</t>
    <phoneticPr fontId="6" type="noConversion"/>
  </si>
  <si>
    <t>한혜민</t>
    <phoneticPr fontId="6" type="noConversion"/>
  </si>
  <si>
    <t>HAN, HyeMin</t>
  </si>
  <si>
    <t>961101-2151410</t>
    <phoneticPr fontId="6" type="noConversion"/>
  </si>
  <si>
    <t>010-2994-2362</t>
    <phoneticPr fontId="6" type="noConversion"/>
  </si>
  <si>
    <t>식품영양과</t>
    <phoneticPr fontId="6" type="noConversion"/>
  </si>
  <si>
    <t>635-042981-01-012</t>
    <phoneticPr fontId="6" type="noConversion"/>
  </si>
  <si>
    <t>오빠</t>
    <phoneticPr fontId="6" type="noConversion"/>
  </si>
  <si>
    <t>010-5500-4937</t>
    <phoneticPr fontId="6" type="noConversion"/>
  </si>
  <si>
    <t>hm.han@tbell.co.kr</t>
    <phoneticPr fontId="6" type="noConversion"/>
  </si>
  <si>
    <t>한보라2로 168, 707동 203호 (공세동, 한보라마을 휴먼시아)</t>
    <phoneticPr fontId="6" type="noConversion"/>
  </si>
  <si>
    <t>김연경</t>
    <phoneticPr fontId="6" type="noConversion"/>
  </si>
  <si>
    <t>KIM, Yeonkyeong</t>
  </si>
  <si>
    <t>981124-2066417</t>
    <phoneticPr fontId="6" type="noConversion"/>
  </si>
  <si>
    <t>010-9265-8700</t>
    <phoneticPr fontId="6" type="noConversion"/>
  </si>
  <si>
    <t>5년 4개월</t>
    <phoneticPr fontId="6" type="noConversion"/>
  </si>
  <si>
    <t>302-2110-8339-51</t>
    <phoneticPr fontId="6" type="noConversion"/>
  </si>
  <si>
    <t>010-3118-3533</t>
    <phoneticPr fontId="6" type="noConversion"/>
  </si>
  <si>
    <t>yk.kim2@tbell.co.kr</t>
    <phoneticPr fontId="6" type="noConversion"/>
  </si>
  <si>
    <t>샘골로7길 22, 502호 (본오동, 크리스탈타운)</t>
    <phoneticPr fontId="6" type="noConversion"/>
  </si>
  <si>
    <t>심혜지</t>
    <phoneticPr fontId="6" type="noConversion"/>
  </si>
  <si>
    <t>SHIM, HyeJi</t>
  </si>
  <si>
    <t>910810-2067213</t>
    <phoneticPr fontId="6" type="noConversion"/>
  </si>
  <si>
    <t>010-4080-3865</t>
    <phoneticPr fontId="6" type="noConversion"/>
  </si>
  <si>
    <t>1년 5개월</t>
    <phoneticPr fontId="6" type="noConversion"/>
  </si>
  <si>
    <t>재난관리공학과</t>
    <phoneticPr fontId="6" type="noConversion"/>
  </si>
  <si>
    <t>500-024570-01-019</t>
    <phoneticPr fontId="6" type="noConversion"/>
  </si>
  <si>
    <t>010-6265-3855</t>
    <phoneticPr fontId="6" type="noConversion"/>
  </si>
  <si>
    <t>hj.shim@tbell.co.kr</t>
    <phoneticPr fontId="6" type="noConversion"/>
  </si>
  <si>
    <t>상현로 142, 1005동 102호 (상현동, 성복역 아이파크)</t>
    <phoneticPr fontId="6" type="noConversion"/>
  </si>
  <si>
    <t>신소영</t>
    <phoneticPr fontId="6" type="noConversion"/>
  </si>
  <si>
    <t>SHIN, Soyoung</t>
  </si>
  <si>
    <t>980316-2352225</t>
    <phoneticPr fontId="6" type="noConversion"/>
  </si>
  <si>
    <t>010-4967-6924</t>
    <phoneticPr fontId="6" type="noConversion"/>
  </si>
  <si>
    <t>2년 4개월</t>
    <phoneticPr fontId="6" type="noConversion"/>
  </si>
  <si>
    <t>의료경영삭과</t>
    <phoneticPr fontId="6" type="noConversion"/>
  </si>
  <si>
    <t>214-128827-01-013</t>
    <phoneticPr fontId="6" type="noConversion"/>
  </si>
  <si>
    <t>sy.shin@tbell.co.kr</t>
    <phoneticPr fontId="6" type="noConversion"/>
  </si>
  <si>
    <t>경인로 232, 207호(오류동, 칸타빌레 9차)</t>
    <phoneticPr fontId="6" type="noConversion"/>
  </si>
  <si>
    <t>유우상</t>
    <phoneticPr fontId="6" type="noConversion"/>
  </si>
  <si>
    <t>YU, USang</t>
  </si>
  <si>
    <t>000410-3058735</t>
    <phoneticPr fontId="6" type="noConversion"/>
  </si>
  <si>
    <t>010-5196-8513</t>
    <phoneticPr fontId="6" type="noConversion"/>
  </si>
  <si>
    <t>973-041718-01-019</t>
    <phoneticPr fontId="6" type="noConversion"/>
  </si>
  <si>
    <t>010-2289-8513</t>
    <phoneticPr fontId="6" type="noConversion"/>
  </si>
  <si>
    <t>us.yu@tbell.co.kr</t>
    <phoneticPr fontId="6" type="noConversion"/>
  </si>
  <si>
    <t>동대문구</t>
    <phoneticPr fontId="6" type="noConversion"/>
  </si>
  <si>
    <t>망우로14가길 25, 201호 (휘경동, 동성네스트빌2차)</t>
    <phoneticPr fontId="6" type="noConversion"/>
  </si>
  <si>
    <t>이민규</t>
    <phoneticPr fontId="6" type="noConversion"/>
  </si>
  <si>
    <t>LEE, Minkyu</t>
  </si>
  <si>
    <t>790921-1543711</t>
    <phoneticPr fontId="6" type="noConversion"/>
  </si>
  <si>
    <t>010-8150-3259</t>
    <phoneticPr fontId="6" type="noConversion"/>
  </si>
  <si>
    <t>18년6개월</t>
    <phoneticPr fontId="6" type="noConversion"/>
  </si>
  <si>
    <t>498-006773-02-010</t>
    <phoneticPr fontId="6" type="noConversion"/>
  </si>
  <si>
    <t>010-3410-3280</t>
  </si>
  <si>
    <t>mk.lee@tbell.co.kr</t>
    <phoneticPr fontId="6" type="noConversion"/>
  </si>
  <si>
    <t>대전광역시</t>
    <phoneticPr fontId="6" type="noConversion"/>
  </si>
  <si>
    <t>유성구</t>
    <phoneticPr fontId="6" type="noConversion"/>
  </si>
  <si>
    <t>노은로</t>
  </si>
  <si>
    <t>416(송림마을5단지아파트) 510동 1104호</t>
    <phoneticPr fontId="6" type="noConversion"/>
  </si>
  <si>
    <t>조소리</t>
    <phoneticPr fontId="6" type="noConversion"/>
  </si>
  <si>
    <t>JO, SoRi</t>
  </si>
  <si>
    <t>801224-2405919</t>
    <phoneticPr fontId="6" type="noConversion"/>
  </si>
  <si>
    <t>010-8978-0264</t>
    <phoneticPr fontId="6" type="noConversion"/>
  </si>
  <si>
    <t>한성대학교</t>
    <phoneticPr fontId="6" type="noConversion"/>
  </si>
  <si>
    <t>의상디자인과</t>
    <phoneticPr fontId="6" type="noConversion"/>
  </si>
  <si>
    <t>027-089597-01-010</t>
    <phoneticPr fontId="6" type="noConversion"/>
  </si>
  <si>
    <t>010-9115-0264</t>
    <phoneticPr fontId="6" type="noConversion"/>
  </si>
  <si>
    <t>sr.jo@tbell.co.kr</t>
    <phoneticPr fontId="6" type="noConversion"/>
  </si>
  <si>
    <t>한글비석로 479, 104동 1508호 (상계동, 보람아파트)</t>
    <phoneticPr fontId="6" type="noConversion"/>
  </si>
  <si>
    <t>이은미</t>
    <phoneticPr fontId="6" type="noConversion"/>
  </si>
  <si>
    <t>LEE, EunMi</t>
  </si>
  <si>
    <t>780628-2019721</t>
    <phoneticPr fontId="6" type="noConversion"/>
  </si>
  <si>
    <t>010-7488-6522</t>
    <phoneticPr fontId="6" type="noConversion"/>
  </si>
  <si>
    <t>서울여자대학교</t>
    <phoneticPr fontId="6" type="noConversion"/>
  </si>
  <si>
    <t>478-036068-01-014</t>
    <phoneticPr fontId="6" type="noConversion"/>
  </si>
  <si>
    <t>010-2008-8224</t>
    <phoneticPr fontId="6" type="noConversion"/>
  </si>
  <si>
    <t>um.lee@tbell.co.kr</t>
    <phoneticPr fontId="6" type="noConversion"/>
  </si>
  <si>
    <t>월드컵북로 502-7, 1207동 403호 (상암동, 상암월드컵파크12단지)</t>
    <phoneticPr fontId="6" type="noConversion"/>
  </si>
  <si>
    <t>이정현</t>
    <phoneticPr fontId="6" type="noConversion"/>
  </si>
  <si>
    <t>LEE, JeongHyeon</t>
  </si>
  <si>
    <t>920211-1075228</t>
    <phoneticPr fontId="6" type="noConversion"/>
  </si>
  <si>
    <t>010-3660-6648</t>
    <phoneticPr fontId="6" type="noConversion"/>
  </si>
  <si>
    <t>대영고등학교</t>
    <phoneticPr fontId="6" type="noConversion"/>
  </si>
  <si>
    <t>203-152611-01-010</t>
    <phoneticPr fontId="6" type="noConversion"/>
  </si>
  <si>
    <t>010-2311-6648</t>
    <phoneticPr fontId="6" type="noConversion"/>
  </si>
  <si>
    <t>jh.lee@tbell.co.kr</t>
    <phoneticPr fontId="6" type="noConversion"/>
  </si>
  <si>
    <t>도림로 107, 1동 808호 (구로동, 럭키아파트)</t>
    <phoneticPr fontId="6" type="noConversion"/>
  </si>
  <si>
    <t>이영택</t>
    <phoneticPr fontId="6" type="noConversion"/>
  </si>
  <si>
    <t>KT알파 1팀</t>
  </si>
  <si>
    <t>LEE, YoungTaek</t>
  </si>
  <si>
    <t>850924-1065713</t>
    <phoneticPr fontId="6" type="noConversion"/>
  </si>
  <si>
    <t>010-6343-0748</t>
    <phoneticPr fontId="6" type="noConversion"/>
  </si>
  <si>
    <t>8년 0개월</t>
    <phoneticPr fontId="6" type="noConversion"/>
  </si>
  <si>
    <t>국제대학교</t>
    <phoneticPr fontId="6" type="noConversion"/>
  </si>
  <si>
    <t>항공여행경영과</t>
    <phoneticPr fontId="6" type="noConversion"/>
  </si>
  <si>
    <t>257-106086-01-011</t>
    <phoneticPr fontId="6" type="noConversion"/>
  </si>
  <si>
    <t>yt.lee@tbell.co.kr</t>
    <phoneticPr fontId="6" type="noConversion"/>
  </si>
  <si>
    <t>인천</t>
    <phoneticPr fontId="6" type="noConversion"/>
  </si>
  <si>
    <t>부평동</t>
    <phoneticPr fontId="6" type="noConversion"/>
  </si>
  <si>
    <t>열우물로 90, 111동 3203호 (십정동, 더샵부평센트럴시티)</t>
    <phoneticPr fontId="6" type="noConversion"/>
  </si>
  <si>
    <t>박호서</t>
    <phoneticPr fontId="6" type="noConversion"/>
  </si>
  <si>
    <t>새마을금고 1팀</t>
  </si>
  <si>
    <t>Park, HoSeo</t>
  </si>
  <si>
    <t>840603-1057511</t>
    <phoneticPr fontId="6" type="noConversion"/>
  </si>
  <si>
    <t>010-3924-8406</t>
    <phoneticPr fontId="6" type="noConversion"/>
  </si>
  <si>
    <t>15년 8개월</t>
    <phoneticPr fontId="6" type="noConversion"/>
  </si>
  <si>
    <t>257-092299-01-014</t>
    <phoneticPr fontId="6" type="noConversion"/>
  </si>
  <si>
    <t>hs.park3@tbell.co.kr</t>
    <phoneticPr fontId="6" type="noConversion"/>
  </si>
  <si>
    <t>김포한강1로 10, 205동 702호 (장기동, 초당마을 우미린아파트)</t>
    <phoneticPr fontId="6" type="noConversion"/>
  </si>
  <si>
    <t>이원호</t>
    <phoneticPr fontId="6" type="noConversion"/>
  </si>
  <si>
    <t>LEE, WonHo</t>
  </si>
  <si>
    <t>901008-1081512</t>
    <phoneticPr fontId="6" type="noConversion"/>
  </si>
  <si>
    <t>010-3639-3657</t>
    <phoneticPr fontId="6" type="noConversion"/>
  </si>
  <si>
    <t>건국대학교</t>
    <phoneticPr fontId="6" type="noConversion"/>
  </si>
  <si>
    <t>ISTQB(FL)</t>
    <phoneticPr fontId="6" type="noConversion"/>
  </si>
  <si>
    <t>323-150291-02-010</t>
    <phoneticPr fontId="6" type="noConversion"/>
  </si>
  <si>
    <t>wh.lee@tbell.co.kr</t>
    <phoneticPr fontId="6" type="noConversion"/>
  </si>
  <si>
    <t>오금로53길 39-10, 503호 (거여동, 팰리스힐)</t>
    <phoneticPr fontId="6" type="noConversion"/>
  </si>
  <si>
    <t xml:space="preserve"> </t>
  </si>
  <si>
    <t>이진희</t>
    <phoneticPr fontId="6" type="noConversion"/>
  </si>
  <si>
    <t>LEE, JinHee</t>
  </si>
  <si>
    <t>970218-1104136</t>
    <phoneticPr fontId="6" type="noConversion"/>
  </si>
  <si>
    <t>010-7173-5348</t>
    <phoneticPr fontId="6" type="noConversion"/>
  </si>
  <si>
    <t>3년 0개월</t>
    <phoneticPr fontId="6" type="noConversion"/>
  </si>
  <si>
    <t>컴퓨터정보통신과</t>
    <phoneticPr fontId="6" type="noConversion"/>
  </si>
  <si>
    <t>166-126690-01-011</t>
    <phoneticPr fontId="6" type="noConversion"/>
  </si>
  <si>
    <t>jh.lee4@tbell.co.kr</t>
    <phoneticPr fontId="6" type="noConversion"/>
  </si>
  <si>
    <t>홍제내길 38 (홍제동)</t>
    <phoneticPr fontId="6" type="noConversion"/>
  </si>
  <si>
    <t>강성진</t>
    <phoneticPr fontId="6" type="noConversion"/>
  </si>
  <si>
    <t>KANG, SungJin</t>
  </si>
  <si>
    <t>791205-1183523</t>
    <phoneticPr fontId="6" type="noConversion"/>
  </si>
  <si>
    <t>010-4130-3424</t>
    <phoneticPr fontId="6" type="noConversion"/>
  </si>
  <si>
    <t>14년 3개월</t>
    <phoneticPr fontId="6" type="noConversion"/>
  </si>
  <si>
    <t>부천대학교</t>
    <phoneticPr fontId="6" type="noConversion"/>
  </si>
  <si>
    <t>137-057684-01-017</t>
    <phoneticPr fontId="6" type="noConversion"/>
  </si>
  <si>
    <t>sj.kang@tbell.co.kr</t>
    <phoneticPr fontId="6" type="noConversion"/>
  </si>
  <si>
    <t>완정로92번길 28, 104동 1003호 (마전동, 검단아이파크아파트)</t>
    <phoneticPr fontId="6" type="noConversion"/>
  </si>
  <si>
    <t>장대열</t>
    <phoneticPr fontId="6" type="noConversion"/>
  </si>
  <si>
    <t>HDC랩스 1팀</t>
  </si>
  <si>
    <t>JANG, DaeYeol</t>
  </si>
  <si>
    <t>971208-1011613</t>
    <phoneticPr fontId="6" type="noConversion"/>
  </si>
  <si>
    <t>010-9736-7275</t>
    <phoneticPr fontId="6" type="noConversion"/>
  </si>
  <si>
    <t>관광비즈니스일어과</t>
    <phoneticPr fontId="6" type="noConversion"/>
  </si>
  <si>
    <t>121-180184-01-019</t>
    <phoneticPr fontId="6" type="noConversion"/>
  </si>
  <si>
    <t>dy.jang@tbell.co.kr</t>
    <phoneticPr fontId="6" type="noConversion"/>
  </si>
  <si>
    <t>오목로 190, 501호 (신정동, 천우비지움오피스텔)</t>
    <phoneticPr fontId="6" type="noConversion"/>
  </si>
  <si>
    <t>김정한</t>
    <phoneticPr fontId="6" type="noConversion"/>
  </si>
  <si>
    <t>우리카드 1팀</t>
  </si>
  <si>
    <t>KIM, JeongHan</t>
  </si>
  <si>
    <t>960627-1154613</t>
    <phoneticPr fontId="6" type="noConversion"/>
  </si>
  <si>
    <t>010-4110-4643</t>
    <phoneticPr fontId="6" type="noConversion"/>
  </si>
  <si>
    <t>4년 7개월</t>
    <phoneticPr fontId="6" type="noConversion"/>
  </si>
  <si>
    <t>483-062758-01-010</t>
    <phoneticPr fontId="6" type="noConversion"/>
  </si>
  <si>
    <t>jh.kim@tbell.co.kr</t>
    <phoneticPr fontId="6" type="noConversion"/>
  </si>
  <si>
    <t>양주시</t>
    <phoneticPr fontId="6" type="noConversion"/>
  </si>
  <si>
    <t>회천중앙로 220, 204동 2604호 (덕계동, 회천대광로제비앙더센트럴)</t>
    <phoneticPr fontId="6" type="noConversion"/>
  </si>
  <si>
    <t>유하은</t>
    <phoneticPr fontId="6" type="noConversion"/>
  </si>
  <si>
    <t>YU, HaEun</t>
  </si>
  <si>
    <t>001122-4216026</t>
    <phoneticPr fontId="6" type="noConversion"/>
  </si>
  <si>
    <t>010-3634-1613</t>
    <phoneticPr fontId="6" type="noConversion"/>
  </si>
  <si>
    <t>IT융합비즈니스과</t>
    <phoneticPr fontId="6" type="noConversion"/>
  </si>
  <si>
    <t>568-043941-01-011</t>
    <phoneticPr fontId="6" type="noConversion"/>
  </si>
  <si>
    <t>he.yu@tbell.co.kr</t>
    <phoneticPr fontId="6" type="noConversion"/>
  </si>
  <si>
    <t>은행로 208, 203동 601호 (대야동, 우성아파트)</t>
    <phoneticPr fontId="6" type="noConversion"/>
  </si>
  <si>
    <t>이소현</t>
    <phoneticPr fontId="6" type="noConversion"/>
  </si>
  <si>
    <t>LEE, SoHyun</t>
  </si>
  <si>
    <t>970118-2245510</t>
    <phoneticPr fontId="6" type="noConversion"/>
  </si>
  <si>
    <t>010-3405-3370</t>
    <phoneticPr fontId="6" type="noConversion"/>
  </si>
  <si>
    <t>여주대학교</t>
    <phoneticPr fontId="6" type="noConversion"/>
  </si>
  <si>
    <t>작업치료과</t>
    <phoneticPr fontId="6" type="noConversion"/>
  </si>
  <si>
    <t>074-117119-02-019</t>
    <phoneticPr fontId="6" type="noConversion"/>
  </si>
  <si>
    <t>010-3444-3370</t>
    <phoneticPr fontId="6" type="noConversion"/>
  </si>
  <si>
    <t>sh.lee2@tbell.co.kr</t>
    <phoneticPr fontId="6" type="noConversion"/>
  </si>
  <si>
    <t>조원로 109, 404호 (신림동)</t>
    <phoneticPr fontId="6" type="noConversion"/>
  </si>
  <si>
    <t>최성기</t>
    <phoneticPr fontId="6" type="noConversion"/>
  </si>
  <si>
    <t>Choi, SeongKi</t>
  </si>
  <si>
    <t>860712-1566212</t>
    <phoneticPr fontId="6" type="noConversion"/>
  </si>
  <si>
    <t>010-4658-9415</t>
    <phoneticPr fontId="6" type="noConversion"/>
  </si>
  <si>
    <t>037-502198-01-010</t>
    <phoneticPr fontId="6" type="noConversion"/>
  </si>
  <si>
    <t>010-4400-1223</t>
    <phoneticPr fontId="6" type="noConversion"/>
  </si>
  <si>
    <t>sk.choi@tbell.co.kr</t>
    <phoneticPr fontId="6" type="noConversion"/>
  </si>
  <si>
    <t>동판교로 91, 416동 1003호 (백현동, 백현마을)</t>
    <phoneticPr fontId="6" type="noConversion"/>
  </si>
  <si>
    <t>김민영</t>
    <phoneticPr fontId="6" type="noConversion"/>
  </si>
  <si>
    <t>KIM, MinYeong</t>
  </si>
  <si>
    <t>910924-2659717</t>
    <phoneticPr fontId="6" type="noConversion"/>
  </si>
  <si>
    <t>010-4079-4667</t>
    <phoneticPr fontId="6" type="noConversion"/>
  </si>
  <si>
    <t>원자력공학과</t>
    <phoneticPr fontId="6" type="noConversion"/>
  </si>
  <si>
    <t>189-148857-01-010</t>
    <phoneticPr fontId="6" type="noConversion"/>
  </si>
  <si>
    <t>010-9110-6897</t>
    <phoneticPr fontId="6" type="noConversion"/>
  </si>
  <si>
    <t>my.kim@tbell.co.kr</t>
    <phoneticPr fontId="6" type="noConversion"/>
  </si>
  <si>
    <t>호암로 417, 106동 602호 (신림동, 국제산장아파트)</t>
    <phoneticPr fontId="6" type="noConversion"/>
  </si>
  <si>
    <t>현기성</t>
    <phoneticPr fontId="6" type="noConversion"/>
  </si>
  <si>
    <t>HYUN, KiSung</t>
  </si>
  <si>
    <t>881208-1237510</t>
    <phoneticPr fontId="6" type="noConversion"/>
  </si>
  <si>
    <t>010-3367-1753</t>
    <phoneticPr fontId="6" type="noConversion"/>
  </si>
  <si>
    <t>7년 10개월</t>
    <phoneticPr fontId="6" type="noConversion"/>
  </si>
  <si>
    <t>932-021345-01-011</t>
    <phoneticPr fontId="6" type="noConversion"/>
  </si>
  <si>
    <t>ks.hyun@tbell.co.kr</t>
    <phoneticPr fontId="6" type="noConversion"/>
  </si>
  <si>
    <t>백현로144번길 10 (정자동)</t>
    <phoneticPr fontId="6" type="noConversion"/>
  </si>
  <si>
    <t>이준현</t>
    <phoneticPr fontId="6" type="noConversion"/>
  </si>
  <si>
    <t>LEE, JunHyun</t>
  </si>
  <si>
    <t>901225-1178425</t>
    <phoneticPr fontId="6" type="noConversion"/>
  </si>
  <si>
    <t>010-6419-8120</t>
    <phoneticPr fontId="6" type="noConversion"/>
  </si>
  <si>
    <t>5년 2개월</t>
    <phoneticPr fontId="6" type="noConversion"/>
  </si>
  <si>
    <t>서울사이버대학교</t>
    <phoneticPr fontId="6" type="noConversion"/>
  </si>
  <si>
    <t>인공지능학과</t>
    <phoneticPr fontId="6" type="noConversion"/>
  </si>
  <si>
    <t>기업은행</t>
    <phoneticPr fontId="6" type="noConversion"/>
  </si>
  <si>
    <t>107-110341-01-019</t>
    <phoneticPr fontId="6" type="noConversion"/>
  </si>
  <si>
    <t>010-2312-8120</t>
    <phoneticPr fontId="6" type="noConversion"/>
  </si>
  <si>
    <t>jh.lee5@tbell.co.kr</t>
    <phoneticPr fontId="6" type="noConversion"/>
  </si>
  <si>
    <t>송파대로 567, 510동 1502호 (잠실동, 아파트)</t>
    <phoneticPr fontId="6" type="noConversion"/>
  </si>
  <si>
    <t>김영민</t>
    <phoneticPr fontId="6" type="noConversion"/>
  </si>
  <si>
    <t>KIM, YoungMin</t>
  </si>
  <si>
    <t>800628-1177538</t>
    <phoneticPr fontId="6" type="noConversion"/>
  </si>
  <si>
    <t>010-8555-1317</t>
    <phoneticPr fontId="6" type="noConversion"/>
  </si>
  <si>
    <t>17년 2개월</t>
    <phoneticPr fontId="6" type="noConversion"/>
  </si>
  <si>
    <t>390-044253-02-015</t>
    <phoneticPr fontId="6" type="noConversion"/>
  </si>
  <si>
    <t>ym.kim@tbell.co.kr</t>
    <phoneticPr fontId="6" type="noConversion"/>
  </si>
  <si>
    <t>본삼로 48, 123동 106호(본오동, 월드아파트)</t>
    <phoneticPr fontId="6" type="noConversion"/>
  </si>
  <si>
    <t>임재민</t>
    <phoneticPr fontId="6" type="noConversion"/>
  </si>
  <si>
    <t>LIM, JaeMin</t>
  </si>
  <si>
    <t>920404-1041627</t>
  </si>
  <si>
    <t>010-4932-9244</t>
    <phoneticPr fontId="6" type="noConversion"/>
  </si>
  <si>
    <t>충남대학교</t>
    <phoneticPr fontId="6" type="noConversion"/>
  </si>
  <si>
    <t>농업경제학과</t>
    <phoneticPr fontId="6" type="noConversion"/>
  </si>
  <si>
    <t>074-120081-02-016</t>
    <phoneticPr fontId="6" type="noConversion"/>
  </si>
  <si>
    <t>jm.lim@tbell.co.kr</t>
    <phoneticPr fontId="6" type="noConversion"/>
  </si>
  <si>
    <t>신림로11길 73-14, 601호 (신림동)</t>
    <phoneticPr fontId="6" type="noConversion"/>
  </si>
  <si>
    <t>김기식</t>
    <phoneticPr fontId="6" type="noConversion"/>
  </si>
  <si>
    <t>KIM, GiSik</t>
  </si>
  <si>
    <t>830625-1386117</t>
    <phoneticPr fontId="6" type="noConversion"/>
  </si>
  <si>
    <t>010-2800-9245</t>
    <phoneticPr fontId="6" type="noConversion"/>
  </si>
  <si>
    <t>21년 0개월</t>
    <phoneticPr fontId="6" type="noConversion"/>
  </si>
  <si>
    <t>김천대학교</t>
    <phoneticPr fontId="6" type="noConversion"/>
  </si>
  <si>
    <t>CSTS(FL)</t>
    <phoneticPr fontId="6" type="noConversion"/>
  </si>
  <si>
    <t>158/8/11</t>
    <phoneticPr fontId="6" type="noConversion"/>
  </si>
  <si>
    <t>001-417448-01-010</t>
    <phoneticPr fontId="6" type="noConversion"/>
  </si>
  <si>
    <t>gs.kim@tbell.co.kr</t>
    <phoneticPr fontId="6" type="noConversion"/>
  </si>
  <si>
    <t>수정남로326번길 10-6, 201호</t>
    <phoneticPr fontId="6" type="noConversion"/>
  </si>
  <si>
    <t>김기식</t>
  </si>
  <si>
    <t>김연서</t>
    <phoneticPr fontId="6" type="noConversion"/>
  </si>
  <si>
    <t>KIM, YeoJin</t>
  </si>
  <si>
    <t>020804-4140313</t>
    <phoneticPr fontId="6" type="noConversion"/>
  </si>
  <si>
    <t>010-4284-0752</t>
    <phoneticPr fontId="6" type="noConversion"/>
  </si>
  <si>
    <t>심리치료학과</t>
    <phoneticPr fontId="6" type="noConversion"/>
  </si>
  <si>
    <t>566-036166-01-015</t>
    <phoneticPr fontId="6" type="noConversion"/>
  </si>
  <si>
    <t>010-2284-0752</t>
    <phoneticPr fontId="6" type="noConversion"/>
  </si>
  <si>
    <t>yj.kim@tbell.co.kr</t>
    <phoneticPr fontId="6" type="noConversion"/>
  </si>
  <si>
    <t>상정로 41, 104동 2102호</t>
    <phoneticPr fontId="6" type="noConversion"/>
  </si>
  <si>
    <t>임나연</t>
    <phoneticPr fontId="6" type="noConversion"/>
  </si>
  <si>
    <t>LIM, NaYeon</t>
  </si>
  <si>
    <t>910217-2011729</t>
    <phoneticPr fontId="6" type="noConversion"/>
  </si>
  <si>
    <t>010-4654-3459</t>
    <phoneticPr fontId="6" type="noConversion"/>
  </si>
  <si>
    <t>Griffith University</t>
    <phoneticPr fontId="6" type="noConversion"/>
  </si>
  <si>
    <t>호텔경영학과</t>
    <phoneticPr fontId="6" type="noConversion"/>
  </si>
  <si>
    <t>학사</t>
  </si>
  <si>
    <t>420-099398-02-018</t>
    <phoneticPr fontId="6" type="noConversion"/>
  </si>
  <si>
    <t>ny.lim@tbell.co.kr</t>
    <phoneticPr fontId="6" type="noConversion"/>
  </si>
  <si>
    <t>동일로 126길 35-16, 202호</t>
    <phoneticPr fontId="6" type="noConversion"/>
  </si>
  <si>
    <t>김명호</t>
    <phoneticPr fontId="6" type="noConversion"/>
  </si>
  <si>
    <t>KIM, MyeongHo</t>
  </si>
  <si>
    <t>930928-1041214</t>
    <phoneticPr fontId="6" type="noConversion"/>
  </si>
  <si>
    <t>010-2669-7577</t>
    <phoneticPr fontId="6" type="noConversion"/>
  </si>
  <si>
    <t>세종대학교</t>
    <phoneticPr fontId="6" type="noConversion"/>
  </si>
  <si>
    <t>물리천문과학</t>
    <phoneticPr fontId="6" type="noConversion"/>
  </si>
  <si>
    <t>301-115541-02-015</t>
    <phoneticPr fontId="6" type="noConversion"/>
  </si>
  <si>
    <t>010-4944-8948</t>
    <phoneticPr fontId="6" type="noConversion"/>
  </si>
  <si>
    <t>mh.kim@tbell.co.kr</t>
    <phoneticPr fontId="6" type="noConversion"/>
  </si>
  <si>
    <t>포방터2나길 21-8, 201호</t>
    <phoneticPr fontId="6" type="noConversion"/>
  </si>
  <si>
    <t>김성현b</t>
    <phoneticPr fontId="6" type="noConversion"/>
  </si>
  <si>
    <t>KIM, SungHyeon</t>
  </si>
  <si>
    <t>970726-1274012</t>
    <phoneticPr fontId="6" type="noConversion"/>
  </si>
  <si>
    <t>010-7517-6137</t>
    <phoneticPr fontId="6" type="noConversion"/>
  </si>
  <si>
    <t>3년 9개월</t>
    <phoneticPr fontId="6" type="noConversion"/>
  </si>
  <si>
    <t>영어영문학과</t>
    <phoneticPr fontId="6" type="noConversion"/>
  </si>
  <si>
    <t>421-072023-02-017</t>
    <phoneticPr fontId="6" type="noConversion"/>
  </si>
  <si>
    <t>010-2405-6137</t>
    <phoneticPr fontId="6" type="noConversion"/>
  </si>
  <si>
    <t>sh.kim2@tbell.co.kr</t>
    <phoneticPr fontId="6" type="noConversion"/>
  </si>
  <si>
    <t xml:space="preserve"> 서울특별시</t>
    <phoneticPr fontId="6" type="noConversion"/>
  </si>
  <si>
    <t>광교로 120, 911호 (이의동, 스페이스광교)</t>
    <phoneticPr fontId="6" type="noConversion"/>
  </si>
  <si>
    <t>제상우</t>
    <phoneticPr fontId="6" type="noConversion"/>
  </si>
  <si>
    <t>CHE, Sangwoo</t>
  </si>
  <si>
    <t>860901-1026310</t>
    <phoneticPr fontId="6" type="noConversion"/>
  </si>
  <si>
    <t>010-3738-2736</t>
    <phoneticPr fontId="6" type="noConversion"/>
  </si>
  <si>
    <t>12년 1개월</t>
    <phoneticPr fontId="6" type="noConversion"/>
  </si>
  <si>
    <t>경희사이버대학교</t>
    <phoneticPr fontId="6" type="noConversion"/>
  </si>
  <si>
    <t>글로벌경영학과</t>
    <phoneticPr fontId="6" type="noConversion"/>
  </si>
  <si>
    <t>010-070158-02-018</t>
    <phoneticPr fontId="6" type="noConversion"/>
  </si>
  <si>
    <t>sw.che@tbell.co.kr</t>
    <phoneticPr fontId="6" type="noConversion"/>
  </si>
  <si>
    <t>장월로18길 34(장위동)</t>
    <phoneticPr fontId="6" type="noConversion"/>
  </si>
  <si>
    <t>박미염</t>
    <phoneticPr fontId="6" type="noConversion"/>
  </si>
  <si>
    <t>PIAO, MeiYan</t>
  </si>
  <si>
    <t>000326-8140033</t>
    <phoneticPr fontId="6" type="noConversion"/>
  </si>
  <si>
    <t>여자</t>
    <phoneticPr fontId="6" type="noConversion"/>
  </si>
  <si>
    <t>중국</t>
    <phoneticPr fontId="6" type="noConversion"/>
  </si>
  <si>
    <t>010-8040-3073</t>
    <phoneticPr fontId="6" type="noConversion"/>
  </si>
  <si>
    <t>Yanbian University</t>
    <phoneticPr fontId="6" type="noConversion"/>
  </si>
  <si>
    <t>일본어과</t>
    <phoneticPr fontId="6" type="noConversion"/>
  </si>
  <si>
    <t>114-195241-01-018</t>
    <phoneticPr fontId="6" type="noConversion"/>
  </si>
  <si>
    <t>010-6428-3073</t>
    <phoneticPr fontId="6" type="noConversion"/>
  </si>
  <si>
    <t>my.park@tbell.co.kr</t>
    <phoneticPr fontId="6" type="noConversion"/>
  </si>
  <si>
    <t>조마루로 358번길 23, 302호</t>
    <phoneticPr fontId="6" type="noConversion"/>
  </si>
  <si>
    <t>김하연</t>
    <phoneticPr fontId="6" type="noConversion"/>
  </si>
  <si>
    <t>KIM, HaYeon</t>
  </si>
  <si>
    <t>850510-2079712</t>
    <phoneticPr fontId="6" type="noConversion"/>
  </si>
  <si>
    <t>010-6461-0307</t>
    <phoneticPr fontId="6" type="noConversion"/>
  </si>
  <si>
    <t>유한대학교</t>
    <phoneticPr fontId="6" type="noConversion"/>
  </si>
  <si>
    <t>전자정보과</t>
    <phoneticPr fontId="6" type="noConversion"/>
  </si>
  <si>
    <t>신한은행</t>
    <phoneticPr fontId="6" type="noConversion"/>
  </si>
  <si>
    <t>110-167-391700</t>
    <phoneticPr fontId="6" type="noConversion"/>
  </si>
  <si>
    <t>친구</t>
    <phoneticPr fontId="6" type="noConversion"/>
  </si>
  <si>
    <t>010-8995-2004</t>
    <phoneticPr fontId="6" type="noConversion"/>
  </si>
  <si>
    <t>hy.kim@tbell.co.kr</t>
    <phoneticPr fontId="6" type="noConversion"/>
  </si>
  <si>
    <t>동탄대로1길 96, 2817동 502호</t>
    <phoneticPr fontId="6" type="noConversion"/>
  </si>
  <si>
    <t>최병성</t>
    <phoneticPr fontId="6" type="noConversion"/>
  </si>
  <si>
    <t>CHOI, ByeongSeong</t>
  </si>
  <si>
    <t>910713-1249127</t>
    <phoneticPr fontId="6" type="noConversion"/>
  </si>
  <si>
    <t>010-9276-0371</t>
    <phoneticPr fontId="6" type="noConversion"/>
  </si>
  <si>
    <t>사이버정보보안과</t>
    <phoneticPr fontId="6" type="noConversion"/>
  </si>
  <si>
    <t>242-094259-01-011</t>
    <phoneticPr fontId="6" type="noConversion"/>
  </si>
  <si>
    <t>010-4216-3021</t>
    <phoneticPr fontId="6" type="noConversion"/>
  </si>
  <si>
    <t>bs.choi@tbell.co.kr</t>
    <phoneticPr fontId="6" type="noConversion"/>
  </si>
  <si>
    <t>처인구</t>
    <phoneticPr fontId="6" type="noConversion"/>
  </si>
  <si>
    <t>백옥대로 1255-6, 302호</t>
    <phoneticPr fontId="6" type="noConversion"/>
  </si>
  <si>
    <t>조하율</t>
    <phoneticPr fontId="6" type="noConversion"/>
  </si>
  <si>
    <t>JO, HaYul</t>
  </si>
  <si>
    <t>991016-2923616</t>
    <phoneticPr fontId="6" type="noConversion"/>
  </si>
  <si>
    <t>010-8884-2821</t>
    <phoneticPr fontId="6" type="noConversion"/>
  </si>
  <si>
    <t>한국폴리텍6대학</t>
    <phoneticPr fontId="6" type="noConversion"/>
  </si>
  <si>
    <t>콘텐츠디자인과</t>
    <phoneticPr fontId="6" type="noConversion"/>
  </si>
  <si>
    <t>217-095737-01-019</t>
    <phoneticPr fontId="6" type="noConversion"/>
  </si>
  <si>
    <t>010-7578-3125</t>
    <phoneticPr fontId="6" type="noConversion"/>
  </si>
  <si>
    <t>hy.jo@tbell.co.kr</t>
    <phoneticPr fontId="6" type="noConversion"/>
  </si>
  <si>
    <t>강남구</t>
    <phoneticPr fontId="6" type="noConversion"/>
  </si>
  <si>
    <t>삼성로107길 23-13, 401호</t>
    <phoneticPr fontId="6" type="noConversion"/>
  </si>
  <si>
    <t>우은순</t>
    <phoneticPr fontId="6" type="noConversion"/>
  </si>
  <si>
    <t>WOO, EunSoon</t>
  </si>
  <si>
    <t>791211-2224414</t>
    <phoneticPr fontId="6" type="noConversion"/>
  </si>
  <si>
    <t>010-6249-5993</t>
    <phoneticPr fontId="6" type="noConversion"/>
  </si>
  <si>
    <t>19년 0개월</t>
    <phoneticPr fontId="6" type="noConversion"/>
  </si>
  <si>
    <t>자동화개발</t>
    <phoneticPr fontId="6" type="noConversion"/>
  </si>
  <si>
    <t>개발자</t>
    <phoneticPr fontId="6" type="noConversion"/>
  </si>
  <si>
    <t>056-123415-01-012</t>
    <phoneticPr fontId="6" type="noConversion"/>
  </si>
  <si>
    <t>010-6201-1801</t>
    <phoneticPr fontId="6" type="noConversion"/>
  </si>
  <si>
    <t>es.woo@tbell.co.kr</t>
    <phoneticPr fontId="6" type="noConversion"/>
  </si>
  <si>
    <t>서달로 123, 102동 1502호 (흑석동, 롯데캐슬에듀포레)</t>
    <phoneticPr fontId="6" type="noConversion"/>
  </si>
  <si>
    <t>신진욱</t>
    <phoneticPr fontId="6" type="noConversion"/>
  </si>
  <si>
    <t>SHIN, JinWook</t>
  </si>
  <si>
    <t>800530-1148114</t>
    <phoneticPr fontId="6" type="noConversion"/>
  </si>
  <si>
    <t>010-7108-6171</t>
    <phoneticPr fontId="6" type="noConversion"/>
  </si>
  <si>
    <t>20년 10개월</t>
    <phoneticPr fontId="6" type="noConversion"/>
  </si>
  <si>
    <t>257-077170-02-017</t>
    <phoneticPr fontId="6" type="noConversion"/>
  </si>
  <si>
    <t>jw.shin@tbell.co.kr</t>
    <phoneticPr fontId="6" type="noConversion"/>
  </si>
  <si>
    <t>봉천로13나길 71-3, 502호 (봉천동, 성도빌라)</t>
    <phoneticPr fontId="6" type="noConversion"/>
  </si>
  <si>
    <t>정승아</t>
    <phoneticPr fontId="6" type="noConversion"/>
  </si>
  <si>
    <t>Jung, Seunga</t>
  </si>
  <si>
    <t>831109-2830813</t>
    <phoneticPr fontId="6" type="noConversion"/>
  </si>
  <si>
    <t>양력</t>
  </si>
  <si>
    <t>한국</t>
  </si>
  <si>
    <t>010-9309-4338</t>
    <phoneticPr fontId="6" type="noConversion"/>
  </si>
  <si>
    <t>18년 0개월</t>
    <phoneticPr fontId="6" type="noConversion"/>
  </si>
  <si>
    <t>동덕여자대학교</t>
    <phoneticPr fontId="6" type="noConversion"/>
  </si>
  <si>
    <t>IT기획 및 품질관리</t>
  </si>
  <si>
    <t>테스팅 엔지니어</t>
  </si>
  <si>
    <t>기업은행</t>
  </si>
  <si>
    <t>477-015367-02-016</t>
    <phoneticPr fontId="6" type="noConversion"/>
  </si>
  <si>
    <t>sa.jeong@tbell.co.kr</t>
    <phoneticPr fontId="6" type="noConversion"/>
  </si>
  <si>
    <t>삼성로61길 6, 301호</t>
    <phoneticPr fontId="6" type="noConversion"/>
  </si>
  <si>
    <t>김종협</t>
    <phoneticPr fontId="6" type="noConversion"/>
  </si>
  <si>
    <t>이사</t>
  </si>
  <si>
    <t>3실장</t>
  </si>
  <si>
    <t>KIM, JongHyub</t>
  </si>
  <si>
    <t>790616-1024315</t>
    <phoneticPr fontId="6" type="noConversion"/>
  </si>
  <si>
    <t>010-3237-1119</t>
    <phoneticPr fontId="6" type="noConversion"/>
  </si>
  <si>
    <t>TBELL</t>
  </si>
  <si>
    <t>통신공학과</t>
    <phoneticPr fontId="6" type="noConversion"/>
  </si>
  <si>
    <t>257-075671-02-017</t>
    <phoneticPr fontId="6" type="noConversion"/>
  </si>
  <si>
    <t>jh.kim2@tbell.co.kr</t>
    <phoneticPr fontId="6" type="noConversion"/>
  </si>
  <si>
    <t>하남유니온로 10, 103동 1701호</t>
    <phoneticPr fontId="6" type="noConversion"/>
  </si>
  <si>
    <t>김영하</t>
    <phoneticPr fontId="6" type="noConversion"/>
  </si>
  <si>
    <t>KIM, YoungHa</t>
  </si>
  <si>
    <t>790107-1019620</t>
    <phoneticPr fontId="6" type="noConversion"/>
  </si>
  <si>
    <t>010-9557-7821</t>
    <phoneticPr fontId="6" type="noConversion"/>
  </si>
  <si>
    <t>21년 1개월</t>
    <phoneticPr fontId="6" type="noConversion"/>
  </si>
  <si>
    <t>학점은행제</t>
    <phoneticPr fontId="6" type="noConversion"/>
  </si>
  <si>
    <t>536-015343-01-014</t>
    <phoneticPr fontId="6" type="noConversion"/>
  </si>
  <si>
    <t>yh.kim@tbell.co.kr</t>
    <phoneticPr fontId="6" type="noConversion"/>
  </si>
  <si>
    <t>별내5로 189-130, 5402동 401호</t>
    <phoneticPr fontId="6" type="noConversion"/>
  </si>
  <si>
    <t>장한별</t>
    <phoneticPr fontId="6" type="noConversion"/>
  </si>
  <si>
    <t>JANG, Hanbyeol</t>
  </si>
  <si>
    <t>920417-2038014</t>
    <phoneticPr fontId="6" type="noConversion"/>
  </si>
  <si>
    <t>010-7371-7305</t>
    <phoneticPr fontId="6" type="noConversion"/>
  </si>
  <si>
    <t>282-057435-01-019</t>
    <phoneticPr fontId="6" type="noConversion"/>
  </si>
  <si>
    <t>010-5204-3238</t>
    <phoneticPr fontId="6" type="noConversion"/>
  </si>
  <si>
    <t>hb.jang@tbell.co.kr</t>
    <phoneticPr fontId="6" type="noConversion"/>
  </si>
  <si>
    <t>별내면</t>
    <phoneticPr fontId="6" type="noConversion"/>
  </si>
  <si>
    <t>청학로 114번길 17, 104동 1202호</t>
    <phoneticPr fontId="6" type="noConversion"/>
  </si>
  <si>
    <t>임주호</t>
    <phoneticPr fontId="6" type="noConversion"/>
  </si>
  <si>
    <t>YIM, JuHo</t>
  </si>
  <si>
    <t>880506-1233513</t>
  </si>
  <si>
    <t>010-4424-5623</t>
    <phoneticPr fontId="6" type="noConversion"/>
  </si>
  <si>
    <t>13년 9개월</t>
    <phoneticPr fontId="6" type="noConversion"/>
  </si>
  <si>
    <t>신안산대학교</t>
    <phoneticPr fontId="6" type="noConversion"/>
  </si>
  <si>
    <t>345-056191-01-011</t>
  </si>
  <si>
    <t>jh.lim@tbell.co.kr</t>
    <phoneticPr fontId="6" type="noConversion"/>
  </si>
  <si>
    <t>경기도</t>
  </si>
  <si>
    <t>광주시</t>
  </si>
  <si>
    <t>고불로 461-26, 106동 505호</t>
    <phoneticPr fontId="6" type="noConversion"/>
  </si>
  <si>
    <t>맹세연</t>
    <phoneticPr fontId="6" type="noConversion"/>
  </si>
  <si>
    <t>MAENG, SeYeon</t>
  </si>
  <si>
    <t>950413-2164810</t>
  </si>
  <si>
    <t>010-9403-6764</t>
    <phoneticPr fontId="6" type="noConversion"/>
  </si>
  <si>
    <t>산업경영공학과</t>
    <phoneticPr fontId="6" type="noConversion"/>
  </si>
  <si>
    <t>037-138028-02-019</t>
  </si>
  <si>
    <t>sy.maeng@tbell.co.kr</t>
    <phoneticPr fontId="6" type="noConversion"/>
  </si>
  <si>
    <t>봉담읍</t>
    <phoneticPr fontId="6" type="noConversion"/>
  </si>
  <si>
    <t>상리3길 87, 505동 701호</t>
    <phoneticPr fontId="6" type="noConversion"/>
  </si>
  <si>
    <t>진용범</t>
    <phoneticPr fontId="6" type="noConversion"/>
  </si>
  <si>
    <t>JIN, YongBeom</t>
  </si>
  <si>
    <t>970124-1163320</t>
  </si>
  <si>
    <t>010-3437-6092</t>
    <phoneticPr fontId="6" type="noConversion"/>
  </si>
  <si>
    <t>982-031210-01-011</t>
  </si>
  <si>
    <t>010-8257-6092</t>
    <phoneticPr fontId="6" type="noConversion"/>
  </si>
  <si>
    <t>yb.jin@tbell.co.kr</t>
    <phoneticPr fontId="6" type="noConversion"/>
  </si>
  <si>
    <t>권선구</t>
    <phoneticPr fontId="6" type="noConversion"/>
  </si>
  <si>
    <t>권중로 82, 701동 303호</t>
    <phoneticPr fontId="6" type="noConversion"/>
  </si>
  <si>
    <t>김지훈</t>
    <phoneticPr fontId="6" type="noConversion"/>
  </si>
  <si>
    <t>KIM, JiHun</t>
  </si>
  <si>
    <t>960911-1033121</t>
  </si>
  <si>
    <t>010-3915-8818</t>
    <phoneticPr fontId="6" type="noConversion"/>
  </si>
  <si>
    <t>5년 11개월</t>
    <phoneticPr fontId="6" type="noConversion"/>
  </si>
  <si>
    <t>토목공학과</t>
    <phoneticPr fontId="6" type="noConversion"/>
  </si>
  <si>
    <t>037-138014-01-016</t>
  </si>
  <si>
    <t>010-9618-8265</t>
    <phoneticPr fontId="6" type="noConversion"/>
  </si>
  <si>
    <t>jh.kim3@tbell.co.kr</t>
    <phoneticPr fontId="6" type="noConversion"/>
  </si>
  <si>
    <t>서울특별시</t>
  </si>
  <si>
    <t>도봉구</t>
  </si>
  <si>
    <t>해등로 286-5, 104동 907호</t>
    <phoneticPr fontId="6" type="noConversion"/>
  </si>
  <si>
    <t>탁예본</t>
    <phoneticPr fontId="6" type="noConversion"/>
  </si>
  <si>
    <t>TAK, YeBon</t>
  </si>
  <si>
    <t>960327-2113311</t>
  </si>
  <si>
    <t>010-7928-2429</t>
    <phoneticPr fontId="6" type="noConversion"/>
  </si>
  <si>
    <t>금명여자고등학교</t>
    <phoneticPr fontId="6" type="noConversion"/>
  </si>
  <si>
    <t>037-138030-01-017</t>
  </si>
  <si>
    <t>010-9971-1309</t>
    <phoneticPr fontId="6" type="noConversion"/>
  </si>
  <si>
    <t>yb.tak@tbell.co.kr</t>
    <phoneticPr fontId="6" type="noConversion"/>
  </si>
  <si>
    <t>은평구</t>
  </si>
  <si>
    <t>은평로11길 23, 402호</t>
    <phoneticPr fontId="6" type="noConversion"/>
  </si>
  <si>
    <t>서영주</t>
    <phoneticPr fontId="6" type="noConversion"/>
  </si>
  <si>
    <t>SEO, YoungJu</t>
  </si>
  <si>
    <t>960227-2852836</t>
  </si>
  <si>
    <t>010-5262-4130</t>
    <phoneticPr fontId="6" type="noConversion"/>
  </si>
  <si>
    <t>037-138075-02-011</t>
    <phoneticPr fontId="5" type="noConversion"/>
  </si>
  <si>
    <t>010-3696-0871</t>
    <phoneticPr fontId="6" type="noConversion"/>
  </si>
  <si>
    <t>yj.seo@tbell.co.kr</t>
    <phoneticPr fontId="6" type="noConversion"/>
  </si>
  <si>
    <t>성북구</t>
  </si>
  <si>
    <t>솔샘로25길 28, 116동 9층 901호</t>
    <phoneticPr fontId="6" type="noConversion"/>
  </si>
  <si>
    <t>이혜리</t>
    <phoneticPr fontId="6" type="noConversion"/>
  </si>
  <si>
    <t>LEE, HyeRi</t>
    <phoneticPr fontId="6" type="noConversion"/>
  </si>
  <si>
    <t>950626-2057818</t>
  </si>
  <si>
    <t>010-7466-5673</t>
    <phoneticPr fontId="6" type="noConversion"/>
  </si>
  <si>
    <t>310-156127-01-015</t>
    <phoneticPr fontId="6" type="noConversion"/>
  </si>
  <si>
    <t>hr.lee@tbell.co.kr</t>
    <phoneticPr fontId="6" type="noConversion"/>
  </si>
  <si>
    <t>길음로 118, 416동 1901호</t>
    <phoneticPr fontId="6" type="noConversion"/>
  </si>
  <si>
    <t>김현아</t>
    <phoneticPr fontId="6" type="noConversion"/>
  </si>
  <si>
    <t>KIM, HyunA</t>
  </si>
  <si>
    <t>901229-2203421</t>
  </si>
  <si>
    <t>010-5150-1292</t>
    <phoneticPr fontId="6" type="noConversion"/>
  </si>
  <si>
    <t>경복대학교</t>
    <phoneticPr fontId="6" type="noConversion"/>
  </si>
  <si>
    <t>세무회계정보과</t>
    <phoneticPr fontId="6" type="noConversion"/>
  </si>
  <si>
    <t>014-147364-02-018</t>
  </si>
  <si>
    <t>010-9172-9282</t>
    <phoneticPr fontId="6" type="noConversion"/>
  </si>
  <si>
    <t>ha.kim@tbell.co.kr</t>
    <phoneticPr fontId="6" type="noConversion"/>
  </si>
  <si>
    <t>중랑구</t>
  </si>
  <si>
    <t>망우로 346, 101동 1903호</t>
    <phoneticPr fontId="6" type="noConversion"/>
  </si>
  <si>
    <t>허윤지</t>
    <phoneticPr fontId="6" type="noConversion"/>
  </si>
  <si>
    <t>HUH, YunJee</t>
  </si>
  <si>
    <t>040705-4201312</t>
  </si>
  <si>
    <t>010-7697-7524</t>
    <phoneticPr fontId="6" type="noConversion"/>
  </si>
  <si>
    <t>305-100678-02-012</t>
  </si>
  <si>
    <t>010-9593-3167</t>
    <phoneticPr fontId="6" type="noConversion"/>
  </si>
  <si>
    <t>yj.heo@tbell.co.kr</t>
    <phoneticPr fontId="6" type="noConversion"/>
  </si>
  <si>
    <t>과천시</t>
  </si>
  <si>
    <t>별양로 110, 618동 1604호</t>
    <phoneticPr fontId="6" type="noConversion"/>
  </si>
  <si>
    <t>조예서</t>
    <phoneticPr fontId="6" type="noConversion"/>
  </si>
  <si>
    <t>CHO, YeSeo</t>
  </si>
  <si>
    <t>050106-4063513</t>
  </si>
  <si>
    <t>010-7567-3278</t>
    <phoneticPr fontId="6" type="noConversion"/>
  </si>
  <si>
    <t>917-920934-02-018</t>
    <phoneticPr fontId="6" type="noConversion"/>
  </si>
  <si>
    <t>ys.cho@tbell.co.kr</t>
    <phoneticPr fontId="6" type="noConversion"/>
  </si>
  <si>
    <t>양주시</t>
  </si>
  <si>
    <t>옥정동로 104, 2111동 1203호</t>
    <phoneticPr fontId="6" type="noConversion"/>
  </si>
  <si>
    <t>이영주</t>
    <phoneticPr fontId="6" type="noConversion"/>
  </si>
  <si>
    <t>LEE, YeongJu</t>
  </si>
  <si>
    <t>811118-2036114</t>
  </si>
  <si>
    <t>010-6203-5131</t>
    <phoneticPr fontId="6" type="noConversion"/>
  </si>
  <si>
    <t>이화여자대학교</t>
    <phoneticPr fontId="6" type="noConversion"/>
  </si>
  <si>
    <t>037-138021-02-013</t>
  </si>
  <si>
    <t>매</t>
    <phoneticPr fontId="6" type="noConversion"/>
  </si>
  <si>
    <t>010-9143-3493</t>
    <phoneticPr fontId="6" type="noConversion"/>
  </si>
  <si>
    <t>yj.lee@tbell.co.kr</t>
    <phoneticPr fontId="6" type="noConversion"/>
  </si>
  <si>
    <t>중구</t>
  </si>
  <si>
    <t>만리재로 175</t>
    <phoneticPr fontId="6" type="noConversion"/>
  </si>
  <si>
    <t>장환진</t>
    <phoneticPr fontId="6" type="noConversion"/>
  </si>
  <si>
    <t>JANG, HwanJin</t>
    <phoneticPr fontId="6" type="noConversion"/>
  </si>
  <si>
    <t>031119-3216310</t>
  </si>
  <si>
    <t>010-4931-9580</t>
    <phoneticPr fontId="6" type="noConversion"/>
  </si>
  <si>
    <t>4년 1개월</t>
    <phoneticPr fontId="6" type="noConversion"/>
  </si>
  <si>
    <t>경기경영고등학교</t>
    <phoneticPr fontId="6" type="noConversion"/>
  </si>
  <si>
    <t>982-187192-01-013</t>
  </si>
  <si>
    <t>hj.jang@tbell.co.kr</t>
    <phoneticPr fontId="6" type="noConversion"/>
  </si>
  <si>
    <t>시흥시</t>
  </si>
  <si>
    <t>검바위1로 38, 나동 1층 104호</t>
    <phoneticPr fontId="6" type="noConversion"/>
  </si>
  <si>
    <t>박형국</t>
    <phoneticPr fontId="6" type="noConversion"/>
  </si>
  <si>
    <t>PARK, HyeongKuk</t>
  </si>
  <si>
    <t>030430-3183310</t>
  </si>
  <si>
    <t>010-3751-8052</t>
    <phoneticPr fontId="6" type="noConversion"/>
  </si>
  <si>
    <t>334-103686-01-011</t>
  </si>
  <si>
    <t>hk.park@tbell.co.kr</t>
    <phoneticPr fontId="6" type="noConversion"/>
  </si>
  <si>
    <t>삼작로416번길 3, 402호</t>
    <phoneticPr fontId="6" type="noConversion"/>
  </si>
  <si>
    <t>성기용</t>
    <phoneticPr fontId="6" type="noConversion"/>
  </si>
  <si>
    <t>Sung, GiYoung</t>
  </si>
  <si>
    <t>940913-1030715</t>
  </si>
  <si>
    <t>010-2928-0913</t>
    <phoneticPr fontId="6" type="noConversion"/>
  </si>
  <si>
    <t>9년 6개월</t>
    <phoneticPr fontId="6" type="noConversion"/>
  </si>
  <si>
    <t>광운전자공업고등학교</t>
    <phoneticPr fontId="6" type="noConversion"/>
  </si>
  <si>
    <t>광운인공지능고등학교</t>
    <phoneticPr fontId="6" type="noConversion"/>
  </si>
  <si>
    <t>504-036933-01-011</t>
    <phoneticPr fontId="6" type="noConversion"/>
  </si>
  <si>
    <t>010-3187-0845</t>
    <phoneticPr fontId="6" type="noConversion"/>
  </si>
  <si>
    <t>gy.sung@tbell.co.kr</t>
    <phoneticPr fontId="6" type="noConversion"/>
  </si>
  <si>
    <t>인수봉로85길 16, 201호</t>
    <phoneticPr fontId="6" type="noConversion"/>
  </si>
  <si>
    <t>이채원</t>
    <phoneticPr fontId="6" type="noConversion"/>
  </si>
  <si>
    <t>사원</t>
    <phoneticPr fontId="6" type="noConversion"/>
  </si>
  <si>
    <t>3실</t>
    <phoneticPr fontId="6" type="noConversion"/>
  </si>
  <si>
    <t>SK텔레콤 11팀</t>
    <phoneticPr fontId="6" type="noConversion"/>
  </si>
  <si>
    <t>LEE, Chae-Won</t>
  </si>
  <si>
    <t>040923-4250831</t>
  </si>
  <si>
    <t>010-2037-8625</t>
  </si>
  <si>
    <t>한양여자대학교</t>
  </si>
  <si>
    <t>스마트IT과</t>
  </si>
  <si>
    <t>전문학사</t>
  </si>
  <si>
    <t>488-095276-02-016</t>
  </si>
  <si>
    <t>cw.lee@tbell.co.kr</t>
    <phoneticPr fontId="6" type="noConversion"/>
  </si>
  <si>
    <t>용인시 수지구</t>
  </si>
  <si>
    <t>풍덕천로 91</t>
  </si>
  <si>
    <t>103동 1802호</t>
  </si>
  <si>
    <t>기타</t>
  </si>
  <si>
    <t>문지훈</t>
    <phoneticPr fontId="6" type="noConversion"/>
  </si>
  <si>
    <t>SK텔레콤 21팀</t>
    <phoneticPr fontId="6" type="noConversion"/>
  </si>
  <si>
    <t>MUN, JI-HUN</t>
    <phoneticPr fontId="6" type="noConversion"/>
  </si>
  <si>
    <t>970525-1085212</t>
  </si>
  <si>
    <t>010-8308-1597</t>
    <phoneticPr fontId="6" type="noConversion"/>
  </si>
  <si>
    <t>김포외국어고등학교</t>
  </si>
  <si>
    <t>고졸</t>
  </si>
  <si>
    <t>147-119018-02-017</t>
  </si>
  <si>
    <t>jh.mun@tbell.co.kr</t>
    <phoneticPr fontId="6" type="noConversion"/>
  </si>
  <si>
    <t>성남시 수정구</t>
  </si>
  <si>
    <t>성남대로 1210</t>
  </si>
  <si>
    <t>1006호</t>
  </si>
  <si>
    <t>임채영</t>
    <phoneticPr fontId="6" type="noConversion"/>
  </si>
  <si>
    <t>LIM, Chae-Young</t>
    <phoneticPr fontId="6" type="noConversion"/>
  </si>
  <si>
    <t>051027-4046619</t>
    <phoneticPr fontId="6" type="noConversion"/>
  </si>
  <si>
    <t>010-7268-5521</t>
  </si>
  <si>
    <t>배화여자대학교</t>
  </si>
  <si>
    <t>반도체소프트웨어과</t>
  </si>
  <si>
    <t>cy.lim@tbell.co.kr</t>
    <phoneticPr fontId="6" type="noConversion"/>
  </si>
  <si>
    <t>서울시</t>
  </si>
  <si>
    <t>마포구</t>
  </si>
  <si>
    <t>만리재로 74</t>
  </si>
  <si>
    <t>206동 1203호</t>
  </si>
  <si>
    <t>서울시 마포구 만리재로 74 206동 1203호</t>
  </si>
  <si>
    <t>주일영</t>
    <phoneticPr fontId="6" type="noConversion"/>
  </si>
  <si>
    <t>수석</t>
    <phoneticPr fontId="6" type="noConversion"/>
  </si>
  <si>
    <t>JOO, Il-Yung</t>
  </si>
  <si>
    <t>720311-1466314</t>
  </si>
  <si>
    <t>720311</t>
  </si>
  <si>
    <t>03</t>
  </si>
  <si>
    <t>남자</t>
  </si>
  <si>
    <t>010-2064-4849</t>
  </si>
  <si>
    <t>명지대학교</t>
  </si>
  <si>
    <t>토목환경공학과</t>
  </si>
  <si>
    <t>109-070140-01-011</t>
  </si>
  <si>
    <t>jh.mun@tbell.co.kr</t>
  </si>
  <si>
    <t>성남시 분당구</t>
  </si>
  <si>
    <t>양현로94번길 29</t>
  </si>
  <si>
    <t>612동 901호</t>
  </si>
  <si>
    <t>경기도 성남시 분당구 양현로94번길 29 612동 901호</t>
  </si>
  <si>
    <t>홍혜정</t>
    <phoneticPr fontId="6" type="noConversion"/>
  </si>
  <si>
    <t>삼성카드 1팀</t>
    <phoneticPr fontId="6" type="noConversion"/>
  </si>
  <si>
    <t>HONG, Hye-Jung</t>
  </si>
  <si>
    <t>030927-4233119</t>
  </si>
  <si>
    <t>010-6347-7491</t>
  </si>
  <si>
    <t>우리은행</t>
    <phoneticPr fontId="6" type="noConversion"/>
  </si>
  <si>
    <t>1002-239-973614</t>
  </si>
  <si>
    <t>hj.hong2@tbell.co.kr</t>
  </si>
  <si>
    <t>파주시 조리읍</t>
  </si>
  <si>
    <t>능안로 37</t>
  </si>
  <si>
    <t>109동 1106호</t>
  </si>
  <si>
    <t>이민지</t>
    <phoneticPr fontId="6" type="noConversion"/>
  </si>
  <si>
    <t>계약직</t>
  </si>
  <si>
    <t>LEE, MinJi</t>
  </si>
  <si>
    <t>030301-4076714</t>
    <phoneticPr fontId="6" type="noConversion"/>
  </si>
  <si>
    <t>010-8377-7443</t>
    <phoneticPr fontId="6" type="noConversion"/>
  </si>
  <si>
    <t>동국대학교</t>
    <phoneticPr fontId="6" type="noConversion"/>
  </si>
  <si>
    <t>우리은행</t>
    <phoneticPr fontId="5" type="noConversion"/>
  </si>
  <si>
    <t>1002-263-440398</t>
    <phoneticPr fontId="6" type="noConversion"/>
  </si>
  <si>
    <t>mj.lee2@tbell.co.kr</t>
    <phoneticPr fontId="6" type="noConversion"/>
  </si>
  <si>
    <t>수정로58, 303호(수진동,세일띠아모아파트)</t>
    <phoneticPr fontId="6" type="noConversion"/>
  </si>
  <si>
    <t/>
  </si>
  <si>
    <t>김윤옥</t>
    <phoneticPr fontId="6" type="noConversion"/>
  </si>
  <si>
    <t>KIM, YoonOk</t>
  </si>
  <si>
    <t>680705-2899121</t>
    <phoneticPr fontId="6" type="noConversion"/>
  </si>
  <si>
    <t>010-3587-0768</t>
    <phoneticPr fontId="6" type="noConversion"/>
  </si>
  <si>
    <t>26년 5개월</t>
    <phoneticPr fontId="6" type="noConversion"/>
  </si>
  <si>
    <t>부산외국어대학교</t>
    <phoneticPr fontId="6" type="noConversion"/>
  </si>
  <si>
    <t>063-035447-01-013</t>
    <phoneticPr fontId="6" type="noConversion"/>
  </si>
  <si>
    <t>yo.kim@tbell.co.kr</t>
    <phoneticPr fontId="6" type="noConversion"/>
  </si>
  <si>
    <t>서원10길 8, 가동 205호 (신림동, 황해연립)</t>
    <phoneticPr fontId="6" type="noConversion"/>
  </si>
  <si>
    <t>조웅기</t>
    <phoneticPr fontId="6" type="noConversion"/>
  </si>
  <si>
    <t>JO, UngGi</t>
  </si>
  <si>
    <t>930929-1057412</t>
  </si>
  <si>
    <t>010-7268-7378</t>
    <phoneticPr fontId="6" type="noConversion"/>
  </si>
  <si>
    <t>1년 7개월</t>
    <phoneticPr fontId="6" type="noConversion"/>
  </si>
  <si>
    <t>강남대학교</t>
  </si>
  <si>
    <t>문헌정보학과</t>
  </si>
  <si>
    <t>경영지원</t>
  </si>
  <si>
    <t>512-064389-01-016</t>
  </si>
  <si>
    <t>모</t>
  </si>
  <si>
    <t>010-3038-7378</t>
  </si>
  <si>
    <t>ug.jo@tbell.co.kr</t>
    <phoneticPr fontId="6" type="noConversion"/>
  </si>
  <si>
    <t>의왕시</t>
    <phoneticPr fontId="6" type="noConversion"/>
  </si>
  <si>
    <t>내손순환로7, 304동 1201호(내손동,래미안 에버하임아파트)</t>
    <phoneticPr fontId="6" type="noConversion"/>
  </si>
  <si>
    <t>박성호C</t>
    <phoneticPr fontId="6" type="noConversion"/>
  </si>
  <si>
    <t>사장</t>
  </si>
  <si>
    <t>PARK, SeongHo</t>
  </si>
  <si>
    <t>680414-1057318</t>
    <phoneticPr fontId="6" type="noConversion"/>
  </si>
  <si>
    <t>010-8984-8448</t>
    <phoneticPr fontId="6" type="noConversion"/>
  </si>
  <si>
    <t>사업관리</t>
    <phoneticPr fontId="6" type="noConversion"/>
  </si>
  <si>
    <t>257-067062-01-011</t>
    <phoneticPr fontId="6" type="noConversion"/>
  </si>
  <si>
    <t>seongho.park@tbell.co.kr</t>
    <phoneticPr fontId="6" type="noConversion"/>
  </si>
  <si>
    <t>주엽로 98, 1707동 2001호</t>
    <phoneticPr fontId="6" type="noConversion"/>
  </si>
  <si>
    <t>김민아</t>
    <phoneticPr fontId="6" type="noConversion"/>
  </si>
  <si>
    <t>KIM, Min-Ah</t>
  </si>
  <si>
    <t>801215-2177727</t>
  </si>
  <si>
    <t>010-3980-2847</t>
  </si>
  <si>
    <t>오타와대학교</t>
  </si>
  <si>
    <t>예술학부</t>
  </si>
  <si>
    <t>222-026919-02-016</t>
  </si>
  <si>
    <t>ma.kim@tbell.co.kr</t>
    <phoneticPr fontId="6" type="noConversion"/>
  </si>
  <si>
    <t>서초구</t>
  </si>
  <si>
    <t>효령로72길 57</t>
  </si>
  <si>
    <t>A-2003호</t>
  </si>
  <si>
    <t>이성진</t>
    <phoneticPr fontId="6" type="noConversion"/>
  </si>
  <si>
    <t>LEE, Sung-Jin</t>
    <phoneticPr fontId="5" type="noConversion"/>
  </si>
  <si>
    <t>730620-2490013</t>
    <phoneticPr fontId="5" type="noConversion"/>
  </si>
  <si>
    <t>010-3243-5707</t>
    <phoneticPr fontId="5" type="noConversion"/>
  </si>
  <si>
    <t>호원대학교</t>
    <phoneticPr fontId="5" type="noConversion"/>
  </si>
  <si>
    <t>회계학과</t>
    <phoneticPr fontId="5" type="noConversion"/>
  </si>
  <si>
    <t>035-119957-01-017</t>
    <phoneticPr fontId="5" type="noConversion"/>
  </si>
  <si>
    <t>njin0418@naver.com</t>
  </si>
  <si>
    <t>서강로 95</t>
    <phoneticPr fontId="5" type="noConversion"/>
  </si>
  <si>
    <t>101동 903호</t>
    <phoneticPr fontId="5" type="noConversion"/>
  </si>
  <si>
    <t>서북권</t>
    <phoneticPr fontId="5" type="noConversion"/>
  </si>
  <si>
    <t>이수연</t>
    <phoneticPr fontId="6" type="noConversion"/>
  </si>
  <si>
    <t>LEE, Su-Youn</t>
    <phoneticPr fontId="5" type="noConversion"/>
  </si>
  <si>
    <t>701210-2173625</t>
    <phoneticPr fontId="5" type="noConversion"/>
  </si>
  <si>
    <t>010-7277-8651</t>
    <phoneticPr fontId="5" type="noConversion"/>
  </si>
  <si>
    <t>경민비즈니스고등학교</t>
    <phoneticPr fontId="5" type="noConversion"/>
  </si>
  <si>
    <t>고졸</t>
    <phoneticPr fontId="5" type="noConversion"/>
  </si>
  <si>
    <t>014-062034-01-028</t>
    <phoneticPr fontId="5" type="noConversion"/>
  </si>
  <si>
    <t>ysy8651n@naver.com</t>
  </si>
  <si>
    <t>중랑구</t>
    <phoneticPr fontId="5" type="noConversion"/>
  </si>
  <si>
    <t>겸재로49길 58</t>
    <phoneticPr fontId="5" type="noConversion"/>
  </si>
  <si>
    <t>102호</t>
    <phoneticPr fontId="5" type="noConversion"/>
  </si>
  <si>
    <t>동북권</t>
    <phoneticPr fontId="5" type="noConversion"/>
  </si>
  <si>
    <t>박소연</t>
    <phoneticPr fontId="6" type="noConversion"/>
  </si>
  <si>
    <t>PARK, So-Yeon</t>
  </si>
  <si>
    <t>801111-2056011</t>
  </si>
  <si>
    <t>010-2292-0101</t>
  </si>
  <si>
    <t>부천대학교</t>
  </si>
  <si>
    <t>컴퓨터응용전공</t>
  </si>
  <si>
    <t>110-470-188945</t>
  </si>
  <si>
    <t>palpal07@naver.com</t>
    <phoneticPr fontId="6" type="noConversion"/>
  </si>
  <si>
    <t>고양시 일산서구</t>
  </si>
  <si>
    <t>일현로 140</t>
  </si>
  <si>
    <t>102동 1406호</t>
  </si>
  <si>
    <t>경기도 고양시 일산서구 일현로 140 102동 1406호</t>
  </si>
  <si>
    <t>정주연</t>
    <phoneticPr fontId="6" type="noConversion"/>
  </si>
  <si>
    <t>프리랜서</t>
  </si>
  <si>
    <t>영업</t>
  </si>
  <si>
    <t>JUNG, JooYeon</t>
  </si>
  <si>
    <t>670324-1642519</t>
    <phoneticPr fontId="6" type="noConversion"/>
  </si>
  <si>
    <t>010-2602-0680</t>
    <phoneticPr fontId="6" type="noConversion"/>
  </si>
  <si>
    <t>전남대학교</t>
    <phoneticPr fontId="6" type="noConversion"/>
  </si>
  <si>
    <t>경제학부</t>
    <phoneticPr fontId="6" type="noConversion"/>
  </si>
  <si>
    <t>408801-01-351443</t>
    <phoneticPr fontId="6" type="noConversion"/>
  </si>
  <si>
    <t>jy.jeong@tbell.co.kr</t>
    <phoneticPr fontId="6" type="noConversion"/>
  </si>
  <si>
    <t>화랑로47길 38, 105동 1104호</t>
    <phoneticPr fontId="6" type="noConversion"/>
  </si>
  <si>
    <t>강영진</t>
    <phoneticPr fontId="6" type="noConversion"/>
  </si>
  <si>
    <t>KANG, YoungJin</t>
  </si>
  <si>
    <t>750125-2051219</t>
    <phoneticPr fontId="6" type="noConversion"/>
  </si>
  <si>
    <t>010-8871-0637</t>
    <phoneticPr fontId="6" type="noConversion"/>
  </si>
  <si>
    <t>13년 10개월</t>
    <phoneticPr fontId="6" type="noConversion"/>
  </si>
  <si>
    <t>서서울생활과학고등학교</t>
    <phoneticPr fontId="6" type="noConversion"/>
  </si>
  <si>
    <t>상업과</t>
    <phoneticPr fontId="6" type="noConversion"/>
  </si>
  <si>
    <t>신한은행</t>
    <phoneticPr fontId="5" type="noConversion"/>
  </si>
  <si>
    <t>110-141-148493</t>
    <phoneticPr fontId="6" type="noConversion"/>
  </si>
  <si>
    <t>yj.kang@tbell.co.kr</t>
    <phoneticPr fontId="6" type="noConversion"/>
  </si>
  <si>
    <t>도림로3길 40, 302호 (구로동)</t>
    <phoneticPr fontId="6" type="noConversion"/>
  </si>
  <si>
    <t>도은정</t>
    <phoneticPr fontId="6" type="noConversion"/>
  </si>
  <si>
    <t>DO, EunJung</t>
  </si>
  <si>
    <t>760825-2635223</t>
    <phoneticPr fontId="6" type="noConversion"/>
  </si>
  <si>
    <t>010-5898-7426</t>
    <phoneticPr fontId="6" type="noConversion"/>
  </si>
  <si>
    <t>9년 0개월</t>
    <phoneticPr fontId="6" type="noConversion"/>
  </si>
  <si>
    <t>벌교상업고등학교</t>
    <phoneticPr fontId="6" type="noConversion"/>
  </si>
  <si>
    <t>정보처리과</t>
    <phoneticPr fontId="6" type="noConversion"/>
  </si>
  <si>
    <t>694-045570-02-018</t>
    <phoneticPr fontId="6" type="noConversion"/>
  </si>
  <si>
    <t>ej.do@tbell.co.kr</t>
    <phoneticPr fontId="6" type="noConversion"/>
  </si>
  <si>
    <t>후곡로 35, 501동 1201호</t>
    <phoneticPr fontId="6" type="noConversion"/>
  </si>
  <si>
    <t>안제승</t>
    <phoneticPr fontId="6" type="noConversion"/>
  </si>
  <si>
    <t>AN, JeSeung</t>
  </si>
  <si>
    <t>950409-1031314</t>
    <phoneticPr fontId="6" type="noConversion"/>
  </si>
  <si>
    <t>010-7793-1675</t>
    <phoneticPr fontId="6" type="noConversion"/>
  </si>
  <si>
    <t>덕수고등학교</t>
    <phoneticPr fontId="6" type="noConversion"/>
  </si>
  <si>
    <t>077-161828-01-011</t>
    <phoneticPr fontId="6" type="noConversion"/>
  </si>
  <si>
    <t>js.an@tbell.co.kr</t>
    <phoneticPr fontId="6" type="noConversion"/>
  </si>
  <si>
    <t>삼양로80가길 35 (수유동)</t>
    <phoneticPr fontId="6" type="noConversion"/>
  </si>
  <si>
    <t>조재훈</t>
    <phoneticPr fontId="6" type="noConversion"/>
  </si>
  <si>
    <t>JO, JaeHoon</t>
  </si>
  <si>
    <t>840326-1058618</t>
    <phoneticPr fontId="6" type="noConversion"/>
  </si>
  <si>
    <t>010-5819-8403</t>
    <phoneticPr fontId="6" type="noConversion"/>
  </si>
  <si>
    <t>인덕대학교</t>
    <phoneticPr fontId="6" type="noConversion"/>
  </si>
  <si>
    <t>008-501415-02-013</t>
    <phoneticPr fontId="6" type="noConversion"/>
  </si>
  <si>
    <t>jh.jo2@tbell.co.kr</t>
    <phoneticPr fontId="6" type="noConversion"/>
  </si>
  <si>
    <t>번영로</t>
    <phoneticPr fontId="6" type="noConversion"/>
  </si>
  <si>
    <t>403, 502동 1006호 (산본동, 가야아파트)</t>
    <phoneticPr fontId="6" type="noConversion"/>
  </si>
  <si>
    <t>노은희</t>
    <phoneticPr fontId="6" type="noConversion"/>
  </si>
  <si>
    <t>NOH, EunHee</t>
  </si>
  <si>
    <t>760122-2522911</t>
  </si>
  <si>
    <t>010-9405-0781</t>
  </si>
  <si>
    <t>20년 8개월</t>
    <phoneticPr fontId="6" type="noConversion"/>
  </si>
  <si>
    <t>세무회계학과</t>
    <phoneticPr fontId="6" type="noConversion"/>
  </si>
  <si>
    <t>특급</t>
  </si>
  <si>
    <t>국민은행</t>
  </si>
  <si>
    <t>099-21-0186-549</t>
  </si>
  <si>
    <t>eh.noh@tbell.co.kr</t>
    <phoneticPr fontId="6" type="noConversion"/>
  </si>
  <si>
    <t>광명시</t>
  </si>
  <si>
    <t>안현로</t>
  </si>
  <si>
    <t>34, 305동 102호 (하안동, 고층주공아파트)</t>
  </si>
  <si>
    <t>이선희</t>
    <phoneticPr fontId="6" type="noConversion"/>
  </si>
  <si>
    <t>LEE, SeonHee</t>
  </si>
  <si>
    <t>630319-2037417</t>
    <phoneticPr fontId="6" type="noConversion"/>
  </si>
  <si>
    <t>010-2578-8644</t>
    <phoneticPr fontId="6" type="noConversion"/>
  </si>
  <si>
    <t>16년 3개월</t>
    <phoneticPr fontId="6" type="noConversion"/>
  </si>
  <si>
    <t>교육학과</t>
    <phoneticPr fontId="6" type="noConversion"/>
  </si>
  <si>
    <t>국민은행</t>
    <phoneticPr fontId="6" type="noConversion"/>
  </si>
  <si>
    <t>472902-01-242624</t>
    <phoneticPr fontId="6" type="noConversion"/>
  </si>
  <si>
    <t>sh.lee3@tbell.co.kr</t>
    <phoneticPr fontId="6" type="noConversion"/>
  </si>
  <si>
    <t xml:space="preserve">상일로 74, 339동 1103호 </t>
    <phoneticPr fontId="6" type="noConversion"/>
  </si>
  <si>
    <t>김미란</t>
    <phoneticPr fontId="6" type="noConversion"/>
  </si>
  <si>
    <t>KIM, Miran</t>
  </si>
  <si>
    <t>720408-2654912</t>
    <phoneticPr fontId="6" type="noConversion"/>
  </si>
  <si>
    <t>010-9000-4038</t>
    <phoneticPr fontId="6" type="noConversion"/>
  </si>
  <si>
    <t>전자계산학과</t>
    <phoneticPr fontId="6" type="noConversion"/>
  </si>
  <si>
    <t>459602-01-119897</t>
    <phoneticPr fontId="6" type="noConversion"/>
  </si>
  <si>
    <t>mr.kim@tbell.co.kr</t>
    <phoneticPr fontId="6" type="noConversion"/>
  </si>
  <si>
    <t>신정로 293, 107동 1203호</t>
    <phoneticPr fontId="6" type="noConversion"/>
  </si>
  <si>
    <t>황연수</t>
    <phoneticPr fontId="6" type="noConversion"/>
  </si>
  <si>
    <t>HWANG, YeonSu</t>
  </si>
  <si>
    <t>721101-2388712</t>
    <phoneticPr fontId="6" type="noConversion"/>
  </si>
  <si>
    <t>010-2769-9170</t>
    <phoneticPr fontId="6" type="noConversion"/>
  </si>
  <si>
    <t>21년 8개월</t>
    <phoneticPr fontId="6" type="noConversion"/>
  </si>
  <si>
    <t>전산경영기술공학부</t>
    <phoneticPr fontId="6" type="noConversion"/>
  </si>
  <si>
    <t>077-151562-01-010</t>
    <phoneticPr fontId="6" type="noConversion"/>
  </si>
  <si>
    <t>ys.hwang@tbell.co.kr</t>
    <phoneticPr fontId="6" type="noConversion"/>
  </si>
  <si>
    <t>다산중앙로20번길 7, 5401동 902호 (다산동, 다산e편한세상 더퍼스트)</t>
    <phoneticPr fontId="6" type="noConversion"/>
  </si>
  <si>
    <t>유애정</t>
    <phoneticPr fontId="6" type="noConversion"/>
  </si>
  <si>
    <t>YU, Aejeong</t>
  </si>
  <si>
    <t>710625-2031114</t>
    <phoneticPr fontId="6" type="noConversion"/>
  </si>
  <si>
    <t>010-3384-0528</t>
    <phoneticPr fontId="6" type="noConversion"/>
  </si>
  <si>
    <t>성암여자정보산업고등학교</t>
    <phoneticPr fontId="6" type="noConversion"/>
  </si>
  <si>
    <t>210-085626-01-016</t>
    <phoneticPr fontId="6" type="noConversion"/>
  </si>
  <si>
    <t>aj.yu@tbell.co.k</t>
    <phoneticPr fontId="6" type="noConversion"/>
  </si>
  <si>
    <t>은형터널로 60, 103동 1103호(수색동, DMC진흥)</t>
    <phoneticPr fontId="6" type="noConversion"/>
  </si>
  <si>
    <t>박성호</t>
    <phoneticPr fontId="6" type="noConversion"/>
  </si>
  <si>
    <t>PARK, Seongho</t>
  </si>
  <si>
    <t>860119-1042317</t>
    <phoneticPr fontId="6" type="noConversion"/>
  </si>
  <si>
    <t>010-4691-3252</t>
    <phoneticPr fontId="6" type="noConversion"/>
  </si>
  <si>
    <t>14년 11개월</t>
    <phoneticPr fontId="6" type="noConversion"/>
  </si>
  <si>
    <t>컴퓨터정보통신공학과</t>
    <phoneticPr fontId="6" type="noConversion"/>
  </si>
  <si>
    <t>하나은행</t>
    <phoneticPr fontId="6" type="noConversion"/>
  </si>
  <si>
    <t>203-890901-11407</t>
    <phoneticPr fontId="6" type="noConversion"/>
  </si>
  <si>
    <t>sh.park2@tbell.co.kr</t>
    <phoneticPr fontId="6" type="noConversion"/>
  </si>
  <si>
    <t>중산로 5길 11-20, 3층 301호(증산동)</t>
    <phoneticPr fontId="6" type="noConversion"/>
  </si>
  <si>
    <t>박명숙</t>
    <phoneticPr fontId="6" type="noConversion"/>
  </si>
  <si>
    <t>PARK, MyungSuk</t>
  </si>
  <si>
    <t>771203-2006118</t>
    <phoneticPr fontId="6" type="noConversion"/>
  </si>
  <si>
    <t>010-9317-8396</t>
    <phoneticPr fontId="6" type="noConversion"/>
  </si>
  <si>
    <t>6년 4개월</t>
    <phoneticPr fontId="6" type="noConversion"/>
  </si>
  <si>
    <t>서울정화상업고등학교</t>
    <phoneticPr fontId="6" type="noConversion"/>
  </si>
  <si>
    <t>011201-04-156029</t>
    <phoneticPr fontId="6" type="noConversion"/>
  </si>
  <si>
    <t>ms.park@tbell.co.kr</t>
    <phoneticPr fontId="6" type="noConversion"/>
  </si>
  <si>
    <t>화도읍</t>
    <phoneticPr fontId="6" type="noConversion"/>
  </si>
  <si>
    <t>경춘로 2102-16, 103동 1606호 (마석그랜드힐아파트)</t>
    <phoneticPr fontId="6" type="noConversion"/>
  </si>
  <si>
    <t>윤제진</t>
  </si>
  <si>
    <t>Yoon, Jae Jin</t>
  </si>
  <si>
    <t>750126-1075327</t>
  </si>
  <si>
    <t>750126</t>
  </si>
  <si>
    <t>01</t>
  </si>
  <si>
    <t>010-4344-1439</t>
  </si>
  <si>
    <t>13년3개월</t>
  </si>
  <si>
    <t>13년 3개월</t>
    <phoneticPr fontId="6" type="noConversion"/>
  </si>
  <si>
    <t>0년2개월</t>
  </si>
  <si>
    <t>한성대학교</t>
  </si>
  <si>
    <t>정보시스템공학</t>
  </si>
  <si>
    <t>MCP</t>
  </si>
  <si>
    <t>MicroSoft</t>
  </si>
  <si>
    <t>케이뱅크</t>
  </si>
  <si>
    <t>100-208-351493</t>
  </si>
  <si>
    <t>처</t>
  </si>
  <si>
    <t>010-7721-5349</t>
  </si>
  <si>
    <t>jj.yoon@tbell.co.kr</t>
  </si>
  <si>
    <t>고양시</t>
  </si>
  <si>
    <t>고양대로 1384번길 60 어울림마을 대명5단지 아파트 502동 403호</t>
  </si>
  <si>
    <t>경기도 고양시 덕양구 고양대로 1384번길 60 어울림마을 대명5단지 아파트 502동 403호</t>
  </si>
  <si>
    <t>오순종</t>
    <phoneticPr fontId="6" type="noConversion"/>
  </si>
  <si>
    <t>OH, SoonJong</t>
  </si>
  <si>
    <t>721221-2622314</t>
  </si>
  <si>
    <t>010-6562-0314</t>
    <phoneticPr fontId="6" type="noConversion"/>
  </si>
  <si>
    <t>송원대학교</t>
  </si>
  <si>
    <t>세무회계과</t>
  </si>
  <si>
    <t>우리은행</t>
  </si>
  <si>
    <t>352-262100-02-001</t>
  </si>
  <si>
    <t>sj.oh@tbell.co.kr</t>
  </si>
  <si>
    <t>영등포구</t>
  </si>
  <si>
    <t>당산로 95, 101동 1503호 (당산동2가, 현대아파트)</t>
  </si>
  <si>
    <t>서남권</t>
  </si>
  <si>
    <t>서울특별시 영등포구 당산로 95, 101동 1503호 (당산동2가, 현대아파트)</t>
  </si>
  <si>
    <t>손희정</t>
    <phoneticPr fontId="6" type="noConversion"/>
  </si>
  <si>
    <t>SON, HeeJung</t>
  </si>
  <si>
    <t>691010-2000210</t>
    <phoneticPr fontId="6" type="noConversion"/>
  </si>
  <si>
    <t>010-2408-3160</t>
    <phoneticPr fontId="6" type="noConversion"/>
  </si>
  <si>
    <t>35년 1개월</t>
    <phoneticPr fontId="6" type="noConversion"/>
  </si>
  <si>
    <t>방송통신대학교</t>
    <phoneticPr fontId="6" type="noConversion"/>
  </si>
  <si>
    <t>문화교양</t>
    <phoneticPr fontId="6" type="noConversion"/>
  </si>
  <si>
    <t>045-121314-02-013</t>
    <phoneticPr fontId="6" type="noConversion"/>
  </si>
  <si>
    <t>hj.son@tbell.co.kr</t>
    <phoneticPr fontId="6" type="noConversion"/>
  </si>
  <si>
    <t xml:space="preserve"> </t>
    <phoneticPr fontId="6" type="noConversion"/>
  </si>
  <si>
    <t>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</si>
</sst>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_(* #,##0_);_(* \(#,##0\);_(* &quot;-&quot;_);_(@_)"/>
    <numFmt numFmtId="178" formatCode="0_);[Red]\(0\)"/>
    <numFmt numFmtId="179" formatCode="_-* #,##0.00_-;\-* #,##0.00_-;_-* &quot;-&quot;_-;_-@_-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rial"/>
      <family val="2"/>
    </font>
    <font>
      <b/>
      <i/>
      <sz val="9"/>
      <color theme="2" tint="-0.249977111117893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</font>
    <font>
      <b/>
      <sz val="10"/>
      <color theme="0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0"/>
      <name val="Arial Unicode MS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Arial Unicode MS"/>
      <family val="2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Yu Gothic"/>
      <family val="3"/>
      <charset val="128"/>
    </font>
    <font>
      <sz val="9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rgb="FF0F243E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6D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7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/>
    <xf numFmtId="177" fontId="1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4" fillId="0" borderId="0" xfId="3" applyFont="1" applyAlignment="1">
      <alignment vertical="center" wrapText="1"/>
    </xf>
    <xf numFmtId="49" fontId="4" fillId="0" borderId="0" xfId="3" applyNumberFormat="1" applyFont="1" applyAlignment="1">
      <alignment horizontal="center" vertical="center" wrapText="1"/>
    </xf>
    <xf numFmtId="49" fontId="4" fillId="0" borderId="0" xfId="3" applyNumberFormat="1" applyFont="1" applyAlignment="1">
      <alignment horizontal="center" vertical="center" shrinkToFit="1"/>
    </xf>
    <xf numFmtId="0" fontId="4" fillId="0" borderId="0" xfId="3" applyFont="1" applyAlignment="1">
      <alignment vertical="center"/>
    </xf>
    <xf numFmtId="0" fontId="7" fillId="2" borderId="1" xfId="3" applyFont="1" applyFill="1" applyBorder="1" applyAlignment="1">
      <alignment horizontal="center" vertical="center" wrapText="1"/>
    </xf>
    <xf numFmtId="49" fontId="8" fillId="2" borderId="1" xfId="3" applyNumberFormat="1" applyFont="1" applyFill="1" applyBorder="1" applyAlignment="1">
      <alignment horizontal="center" vertical="center" wrapText="1"/>
    </xf>
    <xf numFmtId="49" fontId="7" fillId="2" borderId="1" xfId="3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 shrinkToFit="1"/>
    </xf>
    <xf numFmtId="176" fontId="7" fillId="2" borderId="1" xfId="3" applyNumberFormat="1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14" fontId="7" fillId="2" borderId="1" xfId="3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shrinkToFit="1"/>
    </xf>
    <xf numFmtId="14" fontId="7" fillId="2" borderId="1" xfId="3" applyNumberFormat="1" applyFont="1" applyFill="1" applyBorder="1" applyAlignment="1">
      <alignment horizontal="center" vertical="center" shrinkToFit="1"/>
    </xf>
    <xf numFmtId="0" fontId="7" fillId="2" borderId="1" xfId="3" applyFont="1" applyFill="1" applyBorder="1" applyAlignment="1">
      <alignment horizontal="left" vertical="center" shrinkToFit="1"/>
    </xf>
    <xf numFmtId="177" fontId="11" fillId="3" borderId="2" xfId="4" applyFont="1" applyFill="1" applyBorder="1" applyAlignment="1" applyProtection="1">
      <alignment vertical="center" wrapText="1"/>
    </xf>
    <xf numFmtId="177" fontId="11" fillId="3" borderId="2" xfId="4" applyFont="1" applyFill="1" applyBorder="1" applyAlignment="1" applyProtection="1">
      <alignment horizontal="center" vertical="center" wrapText="1"/>
    </xf>
    <xf numFmtId="177" fontId="12" fillId="3" borderId="2" xfId="4" applyFont="1" applyFill="1" applyBorder="1" applyAlignment="1" applyProtection="1">
      <alignment horizontal="center" vertical="center" wrapText="1"/>
    </xf>
    <xf numFmtId="177" fontId="14" fillId="3" borderId="2" xfId="4" applyFont="1" applyFill="1" applyBorder="1" applyAlignment="1" applyProtection="1">
      <alignment horizontal="center" vertical="center" wrapText="1"/>
    </xf>
    <xf numFmtId="177" fontId="12" fillId="3" borderId="3" xfId="4" applyFont="1" applyFill="1" applyBorder="1" applyAlignment="1" applyProtection="1">
      <alignment horizontal="center" vertical="center" wrapText="1"/>
    </xf>
    <xf numFmtId="177" fontId="15" fillId="4" borderId="3" xfId="4" applyFont="1" applyFill="1" applyBorder="1" applyAlignment="1" applyProtection="1">
      <alignment horizontal="center" vertical="center" wrapText="1"/>
    </xf>
    <xf numFmtId="177" fontId="16" fillId="4" borderId="3" xfId="4" applyFont="1" applyFill="1" applyBorder="1" applyAlignment="1" applyProtection="1">
      <alignment horizontal="center" vertical="center" wrapText="1"/>
    </xf>
    <xf numFmtId="177" fontId="15" fillId="4" borderId="3" xfId="5" applyFont="1" applyFill="1" applyBorder="1" applyAlignment="1" applyProtection="1">
      <alignment horizontal="center" vertical="center" wrapText="1"/>
    </xf>
    <xf numFmtId="177" fontId="16" fillId="4" borderId="3" xfId="5" applyFont="1" applyFill="1" applyBorder="1" applyAlignment="1" applyProtection="1">
      <alignment horizontal="center" vertical="center" wrapText="1"/>
    </xf>
    <xf numFmtId="0" fontId="19" fillId="0" borderId="0" xfId="3" applyFont="1" applyAlignment="1">
      <alignment vertical="center"/>
    </xf>
    <xf numFmtId="0" fontId="7" fillId="5" borderId="1" xfId="3" applyFont="1" applyFill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wrapText="1"/>
    </xf>
    <xf numFmtId="176" fontId="21" fillId="0" borderId="4" xfId="3" applyNumberFormat="1" applyFont="1" applyBorder="1" applyAlignment="1">
      <alignment horizontal="center" vertical="center" wrapText="1"/>
    </xf>
    <xf numFmtId="176" fontId="19" fillId="5" borderId="4" xfId="3" applyNumberFormat="1" applyFont="1" applyFill="1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wrapText="1" shrinkToFit="1"/>
    </xf>
    <xf numFmtId="0" fontId="19" fillId="0" borderId="1" xfId="3" applyFont="1" applyBorder="1" applyAlignment="1">
      <alignment horizontal="center" vertical="center" wrapText="1"/>
    </xf>
    <xf numFmtId="14" fontId="19" fillId="0" borderId="4" xfId="3" applyNumberFormat="1" applyFont="1" applyBorder="1" applyAlignment="1">
      <alignment horizontal="center" vertical="center" wrapText="1"/>
    </xf>
    <xf numFmtId="0" fontId="19" fillId="0" borderId="1" xfId="3" applyFont="1" applyBorder="1" applyAlignment="1">
      <alignment horizontal="right" vertical="center" wrapText="1"/>
    </xf>
    <xf numFmtId="0" fontId="21" fillId="0" borderId="1" xfId="3" applyFont="1" applyBorder="1" applyAlignment="1">
      <alignment horizontal="right" vertical="center" wrapText="1"/>
    </xf>
    <xf numFmtId="0" fontId="21" fillId="0" borderId="4" xfId="3" applyFont="1" applyBorder="1" applyAlignment="1">
      <alignment horizontal="center" vertical="center" shrinkToFit="1"/>
    </xf>
    <xf numFmtId="0" fontId="21" fillId="0" borderId="1" xfId="3" applyFont="1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shrinkToFit="1"/>
    </xf>
    <xf numFmtId="0" fontId="19" fillId="0" borderId="4" xfId="3" applyFont="1" applyBorder="1" applyAlignment="1">
      <alignment horizontal="center" vertical="top" wrapText="1" shrinkToFit="1"/>
    </xf>
    <xf numFmtId="0" fontId="21" fillId="0" borderId="4" xfId="3" applyFont="1" applyBorder="1" applyAlignment="1">
      <alignment horizontal="center" vertical="top" wrapText="1" shrinkToFit="1"/>
    </xf>
    <xf numFmtId="0" fontId="21" fillId="0" borderId="1" xfId="3" applyFont="1" applyBorder="1" applyAlignment="1">
      <alignment horizontal="center" vertical="center" wrapText="1" shrinkToFit="1"/>
    </xf>
    <xf numFmtId="0" fontId="19" fillId="0" borderId="1" xfId="3" applyFont="1" applyBorder="1" applyAlignment="1">
      <alignment horizontal="center" vertical="center" wrapText="1" shrinkToFit="1"/>
    </xf>
    <xf numFmtId="0" fontId="21" fillId="0" borderId="4" xfId="3" applyFont="1" applyBorder="1" applyAlignment="1">
      <alignment horizontal="center" vertical="center" wrapText="1" shrinkToFit="1"/>
    </xf>
    <xf numFmtId="0" fontId="21" fillId="0" borderId="1" xfId="3" applyFont="1" applyBorder="1" applyAlignment="1">
      <alignment horizontal="center" vertical="center" shrinkToFit="1"/>
    </xf>
    <xf numFmtId="0" fontId="21" fillId="0" borderId="4" xfId="3" applyFont="1" applyBorder="1" applyAlignment="1">
      <alignment horizontal="left" vertical="center" shrinkToFit="1"/>
    </xf>
    <xf numFmtId="0" fontId="21" fillId="5" borderId="1" xfId="3" applyFont="1" applyFill="1" applyBorder="1" applyAlignment="1">
      <alignment horizontal="center" vertical="center" wrapText="1" shrinkToFit="1"/>
    </xf>
    <xf numFmtId="0" fontId="19" fillId="0" borderId="1" xfId="3" applyFont="1" applyBorder="1" applyAlignment="1">
      <alignment vertical="center" wrapText="1" shrinkToFit="1"/>
    </xf>
    <xf numFmtId="178" fontId="19" fillId="6" borderId="5" xfId="5" applyNumberFormat="1" applyFont="1" applyFill="1" applyBorder="1" applyAlignment="1">
      <alignment vertical="center" wrapText="1"/>
    </xf>
    <xf numFmtId="177" fontId="19" fillId="6" borderId="6" xfId="5" applyFont="1" applyFill="1" applyBorder="1" applyAlignment="1">
      <alignment vertical="center" wrapText="1"/>
    </xf>
    <xf numFmtId="177" fontId="19" fillId="0" borderId="7" xfId="5" applyFont="1" applyFill="1" applyBorder="1" applyAlignment="1">
      <alignment vertical="center" wrapText="1"/>
    </xf>
    <xf numFmtId="177" fontId="19" fillId="0" borderId="6" xfId="5" applyFont="1" applyFill="1" applyBorder="1" applyAlignment="1">
      <alignment vertical="center" wrapText="1"/>
    </xf>
    <xf numFmtId="178" fontId="19" fillId="7" borderId="5" xfId="5" applyNumberFormat="1" applyFont="1" applyFill="1" applyBorder="1" applyAlignment="1">
      <alignment vertical="center" wrapText="1"/>
    </xf>
    <xf numFmtId="177" fontId="19" fillId="7" borderId="6" xfId="5" applyFont="1" applyFill="1" applyBorder="1" applyAlignment="1">
      <alignment vertical="center" wrapText="1"/>
    </xf>
    <xf numFmtId="177" fontId="19" fillId="0" borderId="8" xfId="5" applyFont="1" applyFill="1" applyBorder="1" applyAlignment="1">
      <alignment vertical="center" wrapText="1"/>
    </xf>
    <xf numFmtId="177" fontId="19" fillId="5" borderId="7" xfId="5" applyFont="1" applyFill="1" applyBorder="1" applyAlignment="1">
      <alignment vertical="center" wrapText="1"/>
    </xf>
    <xf numFmtId="177" fontId="19" fillId="5" borderId="8" xfId="5" applyFont="1" applyFill="1" applyBorder="1" applyAlignment="1">
      <alignment vertical="center" wrapText="1"/>
    </xf>
    <xf numFmtId="177" fontId="19" fillId="5" borderId="9" xfId="5" applyFont="1" applyFill="1" applyBorder="1" applyAlignment="1">
      <alignment vertical="center" wrapText="1"/>
    </xf>
    <xf numFmtId="0" fontId="19" fillId="0" borderId="0" xfId="3" applyFont="1" applyAlignment="1">
      <alignment vertical="center" wrapText="1"/>
    </xf>
    <xf numFmtId="0" fontId="19" fillId="0" borderId="0" xfId="3" applyFont="1" applyAlignment="1">
      <alignment horizontal="center" vertical="center" wrapText="1"/>
    </xf>
    <xf numFmtId="49" fontId="19" fillId="0" borderId="0" xfId="3" applyNumberFormat="1" applyFont="1" applyAlignment="1">
      <alignment vertical="center" wrapText="1"/>
    </xf>
    <xf numFmtId="177" fontId="19" fillId="0" borderId="0" xfId="5" applyFont="1" applyFill="1" applyBorder="1" applyAlignment="1">
      <alignment horizontal="center" vertical="center" wrapText="1"/>
    </xf>
    <xf numFmtId="177" fontId="19" fillId="0" borderId="0" xfId="5" applyFont="1" applyBorder="1" applyAlignment="1">
      <alignment vertical="center" wrapText="1"/>
    </xf>
    <xf numFmtId="0" fontId="19" fillId="5" borderId="4" xfId="3" applyFont="1" applyFill="1" applyBorder="1" applyAlignment="1">
      <alignment horizontal="center" vertical="center" wrapText="1"/>
    </xf>
    <xf numFmtId="0" fontId="20" fillId="0" borderId="0" xfId="3" applyFont="1" applyAlignment="1">
      <alignment vertical="center"/>
    </xf>
    <xf numFmtId="0" fontId="2" fillId="0" borderId="1" xfId="2" applyBorder="1" applyAlignment="1">
      <alignment horizontal="center" vertical="center" shrinkToFit="1"/>
    </xf>
    <xf numFmtId="177" fontId="19" fillId="0" borderId="0" xfId="5" applyFont="1" applyFill="1" applyBorder="1" applyAlignment="1">
      <alignment vertical="center" wrapText="1"/>
    </xf>
    <xf numFmtId="178" fontId="19" fillId="8" borderId="5" xfId="5" applyNumberFormat="1" applyFont="1" applyFill="1" applyBorder="1" applyAlignment="1">
      <alignment vertical="center" wrapText="1"/>
    </xf>
    <xf numFmtId="177" fontId="19" fillId="8" borderId="6" xfId="5" applyFont="1" applyFill="1" applyBorder="1" applyAlignment="1">
      <alignment vertical="center" wrapText="1"/>
    </xf>
    <xf numFmtId="176" fontId="23" fillId="0" borderId="4" xfId="3" applyNumberFormat="1" applyFont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shrinkToFit="1"/>
    </xf>
    <xf numFmtId="178" fontId="20" fillId="6" borderId="5" xfId="5" applyNumberFormat="1" applyFont="1" applyFill="1" applyBorder="1" applyAlignment="1">
      <alignment vertical="center" wrapText="1"/>
    </xf>
    <xf numFmtId="178" fontId="20" fillId="7" borderId="5" xfId="5" applyNumberFormat="1" applyFont="1" applyFill="1" applyBorder="1" applyAlignment="1">
      <alignment vertical="center" wrapText="1"/>
    </xf>
    <xf numFmtId="0" fontId="19" fillId="9" borderId="1" xfId="3" applyFont="1" applyFill="1" applyBorder="1" applyAlignment="1">
      <alignment horizontal="center" vertical="center" wrapText="1"/>
    </xf>
    <xf numFmtId="0" fontId="19" fillId="5" borderId="4" xfId="3" applyFont="1" applyFill="1" applyBorder="1" applyAlignment="1">
      <alignment horizontal="center" vertical="center" wrapText="1" shrinkToFit="1"/>
    </xf>
    <xf numFmtId="0" fontId="8" fillId="5" borderId="1" xfId="3" applyFont="1" applyFill="1" applyBorder="1" applyAlignment="1">
      <alignment horizontal="center" vertical="center" wrapText="1"/>
    </xf>
    <xf numFmtId="176" fontId="20" fillId="5" borderId="4" xfId="3" applyNumberFormat="1" applyFont="1" applyFill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 shrinkToFit="1"/>
    </xf>
    <xf numFmtId="0" fontId="20" fillId="0" borderId="1" xfId="3" applyFont="1" applyBorder="1" applyAlignment="1">
      <alignment horizontal="center" vertical="center" wrapText="1"/>
    </xf>
    <xf numFmtId="14" fontId="20" fillId="0" borderId="4" xfId="3" applyNumberFormat="1" applyFont="1" applyBorder="1" applyAlignment="1">
      <alignment horizontal="center" vertical="center" wrapText="1"/>
    </xf>
    <xf numFmtId="0" fontId="20" fillId="0" borderId="1" xfId="3" applyFont="1" applyBorder="1" applyAlignment="1">
      <alignment horizontal="right" vertical="center" wrapText="1"/>
    </xf>
    <xf numFmtId="0" fontId="23" fillId="0" borderId="1" xfId="3" applyFont="1" applyBorder="1" applyAlignment="1">
      <alignment horizontal="right" vertical="center" wrapText="1"/>
    </xf>
    <xf numFmtId="0" fontId="23" fillId="0" borderId="4" xfId="3" applyFont="1" applyBorder="1" applyAlignment="1">
      <alignment horizontal="center" vertical="center" shrinkToFit="1"/>
    </xf>
    <xf numFmtId="0" fontId="20" fillId="0" borderId="4" xfId="3" applyFont="1" applyBorder="1" applyAlignment="1">
      <alignment horizontal="center" vertical="center" shrinkToFit="1"/>
    </xf>
    <xf numFmtId="0" fontId="20" fillId="0" borderId="4" xfId="3" applyFont="1" applyBorder="1" applyAlignment="1">
      <alignment horizontal="center" vertical="top" wrapText="1" shrinkToFit="1"/>
    </xf>
    <xf numFmtId="0" fontId="23" fillId="0" borderId="4" xfId="3" applyFont="1" applyBorder="1" applyAlignment="1">
      <alignment horizontal="center" vertical="top" wrapText="1" shrinkToFit="1"/>
    </xf>
    <xf numFmtId="0" fontId="23" fillId="0" borderId="4" xfId="3" applyFont="1" applyBorder="1" applyAlignment="1">
      <alignment horizontal="center" vertical="center" wrapText="1" shrinkToFit="1"/>
    </xf>
    <xf numFmtId="0" fontId="23" fillId="0" borderId="4" xfId="3" applyFont="1" applyBorder="1" applyAlignment="1">
      <alignment horizontal="left" vertical="center" shrinkToFit="1"/>
    </xf>
    <xf numFmtId="177" fontId="20" fillId="6" borderId="6" xfId="5" applyFont="1" applyFill="1" applyBorder="1" applyAlignment="1">
      <alignment vertical="center" wrapText="1"/>
    </xf>
    <xf numFmtId="177" fontId="20" fillId="0" borderId="7" xfId="5" applyFont="1" applyBorder="1" applyAlignment="1">
      <alignment vertical="center" wrapText="1"/>
    </xf>
    <xf numFmtId="177" fontId="20" fillId="0" borderId="6" xfId="5" applyFont="1" applyBorder="1" applyAlignment="1">
      <alignment vertical="center" wrapText="1"/>
    </xf>
    <xf numFmtId="177" fontId="20" fillId="7" borderId="6" xfId="5" applyFont="1" applyFill="1" applyBorder="1" applyAlignment="1">
      <alignment vertical="center" wrapText="1"/>
    </xf>
    <xf numFmtId="178" fontId="20" fillId="8" borderId="5" xfId="5" applyNumberFormat="1" applyFont="1" applyFill="1" applyBorder="1" applyAlignment="1">
      <alignment vertical="center" wrapText="1"/>
    </xf>
    <xf numFmtId="177" fontId="20" fillId="8" borderId="6" xfId="5" applyFont="1" applyFill="1" applyBorder="1" applyAlignment="1">
      <alignment vertical="center" wrapText="1"/>
    </xf>
    <xf numFmtId="177" fontId="20" fillId="0" borderId="8" xfId="5" applyFont="1" applyBorder="1" applyAlignment="1">
      <alignment vertical="center" wrapText="1"/>
    </xf>
    <xf numFmtId="177" fontId="20" fillId="5" borderId="7" xfId="5" applyFont="1" applyFill="1" applyBorder="1" applyAlignment="1">
      <alignment vertical="center" wrapText="1"/>
    </xf>
    <xf numFmtId="177" fontId="20" fillId="5" borderId="8" xfId="5" applyFont="1" applyFill="1" applyBorder="1" applyAlignment="1">
      <alignment vertical="center" wrapText="1"/>
    </xf>
    <xf numFmtId="177" fontId="20" fillId="5" borderId="9" xfId="5" applyFont="1" applyFill="1" applyBorder="1" applyAlignment="1">
      <alignment vertical="center" wrapText="1"/>
    </xf>
    <xf numFmtId="0" fontId="20" fillId="0" borderId="0" xfId="3" applyFont="1" applyAlignment="1">
      <alignment vertical="center" wrapText="1"/>
    </xf>
    <xf numFmtId="0" fontId="20" fillId="0" borderId="0" xfId="3" applyFont="1" applyAlignment="1">
      <alignment horizontal="center" vertical="center" wrapText="1"/>
    </xf>
    <xf numFmtId="49" fontId="20" fillId="0" borderId="0" xfId="3" applyNumberFormat="1" applyFont="1" applyAlignment="1">
      <alignment vertical="center" wrapText="1"/>
    </xf>
    <xf numFmtId="177" fontId="20" fillId="0" borderId="0" xfId="5" applyFont="1" applyAlignment="1">
      <alignment horizontal="center" vertical="center" wrapText="1"/>
    </xf>
    <xf numFmtId="177" fontId="20" fillId="0" borderId="0" xfId="5" applyFont="1" applyAlignment="1">
      <alignment vertical="center" wrapText="1"/>
    </xf>
    <xf numFmtId="0" fontId="20" fillId="10" borderId="4" xfId="3" applyFont="1" applyFill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wrapText="1"/>
    </xf>
    <xf numFmtId="0" fontId="23" fillId="0" borderId="1" xfId="3" applyFont="1" applyBorder="1" applyAlignment="1">
      <alignment horizontal="center" vertical="center" wrapText="1" shrinkToFit="1"/>
    </xf>
    <xf numFmtId="0" fontId="20" fillId="0" borderId="1" xfId="3" applyFont="1" applyBorder="1" applyAlignment="1">
      <alignment horizontal="center" vertical="center" wrapText="1" shrinkToFit="1"/>
    </xf>
    <xf numFmtId="0" fontId="20" fillId="0" borderId="1" xfId="3" applyFont="1" applyBorder="1" applyAlignment="1">
      <alignment vertical="center" wrapText="1" shrinkToFit="1"/>
    </xf>
    <xf numFmtId="0" fontId="19" fillId="10" borderId="4" xfId="3" applyFont="1" applyFill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shrinkToFit="1"/>
    </xf>
    <xf numFmtId="0" fontId="20" fillId="0" borderId="0" xfId="3" applyFont="1" applyAlignment="1">
      <alignment horizontal="center" vertical="center" wrapText="1" shrinkToFit="1"/>
    </xf>
    <xf numFmtId="0" fontId="23" fillId="0" borderId="0" xfId="3" applyFont="1" applyAlignment="1">
      <alignment horizontal="center" vertical="center" shrinkToFit="1"/>
    </xf>
    <xf numFmtId="14" fontId="20" fillId="0" borderId="0" xfId="3" applyNumberFormat="1" applyFont="1" applyAlignment="1">
      <alignment horizontal="center" vertical="center" wrapText="1"/>
    </xf>
    <xf numFmtId="0" fontId="23" fillId="0" borderId="0" xfId="3" applyFont="1" applyAlignment="1">
      <alignment horizontal="center" vertical="center" wrapText="1"/>
    </xf>
    <xf numFmtId="0" fontId="23" fillId="0" borderId="0" xfId="3" applyFont="1" applyAlignment="1">
      <alignment horizontal="center" vertical="center" wrapText="1" shrinkToFit="1"/>
    </xf>
    <xf numFmtId="0" fontId="23" fillId="0" borderId="0" xfId="3" applyFont="1" applyAlignment="1">
      <alignment horizontal="left" vertical="center" shrinkToFit="1"/>
    </xf>
    <xf numFmtId="0" fontId="21" fillId="5" borderId="0" xfId="3" applyFont="1" applyFill="1" applyAlignment="1">
      <alignment horizontal="center" vertical="center" wrapText="1" shrinkToFit="1"/>
    </xf>
    <xf numFmtId="0" fontId="20" fillId="0" borderId="0" xfId="3" applyFont="1" applyAlignment="1">
      <alignment vertical="center" wrapText="1" shrinkToFit="1"/>
    </xf>
    <xf numFmtId="0" fontId="20" fillId="0" borderId="7" xfId="3" applyFont="1" applyBorder="1" applyAlignment="1">
      <alignment horizontal="center" vertical="center" wrapText="1" shrinkToFit="1"/>
    </xf>
    <xf numFmtId="0" fontId="20" fillId="0" borderId="7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shrinkToFit="1"/>
    </xf>
    <xf numFmtId="14" fontId="20" fillId="0" borderId="7" xfId="3" applyNumberFormat="1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 shrinkToFit="1"/>
    </xf>
    <xf numFmtId="0" fontId="23" fillId="0" borderId="7" xfId="3" applyFont="1" applyBorder="1" applyAlignment="1">
      <alignment horizontal="left" vertical="center" shrinkToFit="1"/>
    </xf>
    <xf numFmtId="0" fontId="21" fillId="5" borderId="7" xfId="3" applyFont="1" applyFill="1" applyBorder="1" applyAlignment="1">
      <alignment horizontal="center" vertical="center" wrapText="1" shrinkToFit="1"/>
    </xf>
    <xf numFmtId="0" fontId="20" fillId="0" borderId="7" xfId="3" applyFont="1" applyBorder="1" applyAlignment="1">
      <alignment vertical="center" wrapText="1" shrinkToFit="1"/>
    </xf>
    <xf numFmtId="0" fontId="19" fillId="0" borderId="7" xfId="6" applyNumberFormat="1" applyFont="1" applyFill="1" applyBorder="1" applyAlignment="1">
      <alignment horizontal="center" vertical="center"/>
    </xf>
    <xf numFmtId="0" fontId="19" fillId="0" borderId="4" xfId="6" applyNumberFormat="1" applyFont="1" applyFill="1" applyBorder="1" applyAlignment="1">
      <alignment horizontal="center" vertical="center"/>
    </xf>
    <xf numFmtId="0" fontId="19" fillId="0" borderId="4" xfId="6" applyNumberFormat="1" applyFont="1" applyFill="1" applyBorder="1" applyAlignment="1">
      <alignment horizontal="center" vertical="center" shrinkToFit="1"/>
    </xf>
    <xf numFmtId="14" fontId="19" fillId="0" borderId="4" xfId="6" applyNumberFormat="1" applyFont="1" applyFill="1" applyBorder="1" applyAlignment="1">
      <alignment horizontal="center" vertical="center"/>
    </xf>
    <xf numFmtId="0" fontId="19" fillId="0" borderId="1" xfId="6" applyNumberFormat="1" applyFont="1" applyFill="1" applyBorder="1" applyAlignment="1">
      <alignment horizontal="center" vertical="center"/>
    </xf>
    <xf numFmtId="0" fontId="19" fillId="0" borderId="1" xfId="6" applyNumberFormat="1" applyFont="1" applyFill="1" applyBorder="1" applyAlignment="1">
      <alignment horizontal="center" vertical="center" shrinkToFit="1"/>
    </xf>
    <xf numFmtId="0" fontId="20" fillId="0" borderId="7" xfId="6" applyNumberFormat="1" applyFont="1" applyBorder="1" applyAlignment="1">
      <alignment horizontal="center"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shrinkToFit="1"/>
    </xf>
    <xf numFmtId="49" fontId="19" fillId="0" borderId="0" xfId="3" applyNumberFormat="1" applyFont="1" applyAlignment="1">
      <alignment vertical="center"/>
    </xf>
    <xf numFmtId="0" fontId="19" fillId="0" borderId="0" xfId="3" applyFont="1" applyAlignment="1">
      <alignment horizontal="center" vertical="center"/>
    </xf>
    <xf numFmtId="0" fontId="19" fillId="0" borderId="0" xfId="3" applyFont="1" applyAlignment="1">
      <alignment vertical="center" shrinkToFit="1"/>
    </xf>
    <xf numFmtId="14" fontId="19" fillId="0" borderId="0" xfId="3" applyNumberFormat="1" applyFont="1" applyAlignment="1">
      <alignment vertical="center"/>
    </xf>
    <xf numFmtId="0" fontId="19" fillId="0" borderId="0" xfId="3" applyFont="1" applyAlignment="1">
      <alignment horizontal="center" vertical="center" shrinkToFit="1"/>
    </xf>
    <xf numFmtId="0" fontId="19" fillId="0" borderId="0" xfId="3" applyFont="1" applyAlignment="1">
      <alignment horizontal="left" vertical="center" shrinkToFit="1"/>
    </xf>
    <xf numFmtId="177" fontId="19" fillId="0" borderId="0" xfId="1" applyFont="1" applyAlignment="1">
      <alignment vertical="center"/>
    </xf>
    <xf numFmtId="179" fontId="19" fillId="0" borderId="0" xfId="1" applyNumberFormat="1" applyFont="1" applyAlignment="1">
      <alignment vertical="center"/>
    </xf>
    <xf numFmtId="177" fontId="19" fillId="0" borderId="0" xfId="5" applyFont="1" applyBorder="1" applyAlignment="1">
      <alignment horizontal="center" vertical="center"/>
    </xf>
    <xf numFmtId="177" fontId="19" fillId="0" borderId="0" xfId="5" applyFont="1" applyBorder="1" applyAlignment="1">
      <alignment vertical="center"/>
    </xf>
    <xf numFmtId="0" fontId="20" fillId="0" borderId="0" xfId="3" applyFont="1" applyAlignment="1">
      <alignment vertical="center" shrinkToFit="1"/>
    </xf>
    <xf numFmtId="177" fontId="19" fillId="0" borderId="0" xfId="3" applyNumberFormat="1" applyFont="1" applyAlignment="1">
      <alignment vertical="center"/>
    </xf>
    <xf numFmtId="0" fontId="3" fillId="0" borderId="0" xfId="3" applyAlignment="1">
      <alignment vertical="center"/>
    </xf>
  </cellXfs>
  <cellStyles count="7">
    <cellStyle name="쉼표 [0]" xfId="1" builtinId="6"/>
    <cellStyle name="쉼표 [0] 2 2 2" xfId="4" xr:uid="{37D8735E-176C-41A6-ADD5-54AE5B9C4330}"/>
    <cellStyle name="쉼표 [0] 2 3" xfId="5" xr:uid="{C93507B6-CE4A-4782-BCC3-7551A1850158}"/>
    <cellStyle name="쉼표 [0] 3" xfId="6" xr:uid="{8EDA6162-708A-4C02-9AA3-2DEF7A64BCF2}"/>
    <cellStyle name="표준" xfId="0" builtinId="0"/>
    <cellStyle name="표준 2 3" xfId="3" xr:uid="{5C4C0422-195E-43A6-BC7D-65B9B40D4E8B}"/>
    <cellStyle name="하이퍼링크" xfId="2" builtinId="8"/>
  </cellStyles>
  <dxfs count="254">
    <dxf>
      <font>
        <color rgb="FF9C0006"/>
      </font>
    </dxf>
    <dxf>
      <fill>
        <patternFill>
          <bgColor theme="0" tint="-0.1499679555650502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bellhr-my.sharepoint.com/personal/admin_tbellhr_onmicrosoft_com/Documents/&#54000;&#48296;/06.%20&#51064;&#49324;&#44288;&#47532;/4.%20&#44396;&#49457;&#50896;&#44288;&#47532;/4-1.%20&#49324;&#50896;&#44288;&#47532;/1.%20&#51076;&#51649;&#50896;DB/2026/&#9733;%20&#51076;&#51649;&#50896;DB_&#52572;&#51333;&#48376;.xlsx" TargetMode="External"/><Relationship Id="rId1" Type="http://schemas.openxmlformats.org/officeDocument/2006/relationships/externalLinkPath" Target="https://tbellhr-my.sharepoint.com/personal/admin_tbellhr_onmicrosoft_com/Documents/&#54000;&#48296;/06.%20&#51064;&#49324;&#44288;&#47532;/4.%20&#44396;&#49457;&#50896;&#44288;&#47532;/4-1.%20&#49324;&#50896;&#44288;&#47532;/1.%20&#51076;&#51649;&#50896;DB/2026/&#9733;%20&#51076;&#51649;&#50896;DB_&#52572;&#51333;&#48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bellhr-my.sharepoint.com/Users/&#51060;&#51452;&#55148;/Desktop/&#51088;&#47928;&#49324;/&#45796;&#45208;&#46972;&#51032;&#50896;,&#54620;&#51032;&#50896;/&#45796;&#45208;&#46972;&#51032;&#50896;(&#51060;&#51116;&#54984;%20&#51064;&#49688;&#51064;&#44228;)/2.%20&#44540;&#47196;&#44228;&#50557;&#49436;/1.%20&#45796;&#45208;&#46972;%20&#44540;&#47196;&#44228;&#50557;&#49436;%20&#48143;%20&#50672;&#48393;&#44228;&#50557;&#49436;_2022.05.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2"/>
      <sheetName val="경력년차"/>
      <sheetName val="25.06 구성원 현황"/>
      <sheetName val="25.06 인사기본정보"/>
      <sheetName val="시간외시간 기준표"/>
      <sheetName val="인사기본정보 (안전보건공단,김준하)"/>
      <sheetName val="노미숙사원 연봉"/>
      <sheetName val="Sheet1"/>
      <sheetName val="인사기본정보"/>
      <sheetName val="퇴사정보(25)"/>
      <sheetName val="퇴사정보(24-보수)"/>
      <sheetName val="퇴사정보(24)"/>
      <sheetName val="퇴사정보(23)"/>
      <sheetName val="퇴사정보(23-보수)"/>
      <sheetName val="퇴사정보(22)"/>
      <sheetName val="프로젝트현황"/>
      <sheetName val="프로젝트현황_구버전"/>
    </sheetNames>
    <sheetDataSet>
      <sheetData sheetId="0"/>
      <sheetData sheetId="1"/>
      <sheetData sheetId="2"/>
      <sheetData sheetId="3"/>
      <sheetData sheetId="4">
        <row r="3">
          <cell r="B3" t="str">
            <v>연봉(원)</v>
          </cell>
          <cell r="C3" t="str">
            <v>연장시간(최대)</v>
          </cell>
        </row>
        <row r="4">
          <cell r="B4">
            <v>26000000</v>
          </cell>
          <cell r="C4">
            <v>0</v>
          </cell>
        </row>
        <row r="5">
          <cell r="B5">
            <v>26200000</v>
          </cell>
          <cell r="C5">
            <v>1</v>
          </cell>
        </row>
        <row r="6">
          <cell r="B6">
            <v>26400000</v>
          </cell>
          <cell r="C6">
            <v>2</v>
          </cell>
        </row>
        <row r="7">
          <cell r="B7">
            <v>26600000</v>
          </cell>
          <cell r="C7">
            <v>3</v>
          </cell>
        </row>
        <row r="8">
          <cell r="B8">
            <v>26800000</v>
          </cell>
          <cell r="C8">
            <v>4</v>
          </cell>
        </row>
        <row r="9">
          <cell r="B9">
            <v>27000000</v>
          </cell>
          <cell r="C9">
            <v>6</v>
          </cell>
        </row>
        <row r="10">
          <cell r="B10">
            <v>27200000</v>
          </cell>
          <cell r="C10">
            <v>7</v>
          </cell>
        </row>
        <row r="11">
          <cell r="B11">
            <v>27400000</v>
          </cell>
          <cell r="C11">
            <v>8</v>
          </cell>
        </row>
        <row r="12">
          <cell r="B12">
            <v>27600000</v>
          </cell>
          <cell r="C12">
            <v>9</v>
          </cell>
        </row>
        <row r="13">
          <cell r="B13">
            <v>27800000</v>
          </cell>
          <cell r="C13">
            <v>10</v>
          </cell>
        </row>
        <row r="14">
          <cell r="B14">
            <v>28000000</v>
          </cell>
          <cell r="C14">
            <v>11</v>
          </cell>
        </row>
        <row r="15">
          <cell r="B15">
            <v>28200000</v>
          </cell>
          <cell r="C15">
            <v>12</v>
          </cell>
        </row>
        <row r="16">
          <cell r="B16">
            <v>28400000</v>
          </cell>
          <cell r="C16">
            <v>13</v>
          </cell>
        </row>
        <row r="17">
          <cell r="B17">
            <v>28600000</v>
          </cell>
          <cell r="C17">
            <v>14</v>
          </cell>
        </row>
        <row r="18">
          <cell r="B18">
            <v>28800000</v>
          </cell>
          <cell r="C18">
            <v>15</v>
          </cell>
        </row>
        <row r="19">
          <cell r="B19">
            <v>29000000</v>
          </cell>
          <cell r="C19">
            <v>16</v>
          </cell>
        </row>
        <row r="20">
          <cell r="B20">
            <v>29200000</v>
          </cell>
          <cell r="C20">
            <v>17</v>
          </cell>
        </row>
        <row r="21">
          <cell r="B21">
            <v>29400000</v>
          </cell>
          <cell r="C21">
            <v>18</v>
          </cell>
        </row>
        <row r="22">
          <cell r="B22">
            <v>29600000</v>
          </cell>
          <cell r="C22">
            <v>20</v>
          </cell>
        </row>
        <row r="23">
          <cell r="B23">
            <v>29800000</v>
          </cell>
          <cell r="C23">
            <v>21</v>
          </cell>
        </row>
        <row r="24">
          <cell r="B24">
            <v>30000000</v>
          </cell>
          <cell r="C24">
            <v>22</v>
          </cell>
        </row>
        <row r="25">
          <cell r="B25">
            <v>30200000</v>
          </cell>
          <cell r="C25">
            <v>23</v>
          </cell>
        </row>
        <row r="26">
          <cell r="B26">
            <v>30400000</v>
          </cell>
          <cell r="C26">
            <v>24</v>
          </cell>
        </row>
        <row r="27">
          <cell r="B27">
            <v>30600000</v>
          </cell>
          <cell r="C27">
            <v>25</v>
          </cell>
        </row>
        <row r="28">
          <cell r="B28">
            <v>30800000</v>
          </cell>
          <cell r="C28">
            <v>26</v>
          </cell>
        </row>
        <row r="29">
          <cell r="B29">
            <v>31000000</v>
          </cell>
          <cell r="C29">
            <v>27</v>
          </cell>
        </row>
        <row r="30">
          <cell r="B30">
            <v>31200000</v>
          </cell>
          <cell r="C30">
            <v>28</v>
          </cell>
        </row>
        <row r="31">
          <cell r="B31">
            <v>31400000</v>
          </cell>
          <cell r="C31">
            <v>29</v>
          </cell>
        </row>
        <row r="32">
          <cell r="B32">
            <v>31600000</v>
          </cell>
          <cell r="C32">
            <v>30</v>
          </cell>
        </row>
        <row r="33">
          <cell r="B33">
            <v>31800000</v>
          </cell>
          <cell r="C33">
            <v>31</v>
          </cell>
        </row>
        <row r="34">
          <cell r="B34">
            <v>32000000</v>
          </cell>
          <cell r="C34">
            <v>32</v>
          </cell>
        </row>
        <row r="35">
          <cell r="B35">
            <v>32200000</v>
          </cell>
          <cell r="C35">
            <v>34</v>
          </cell>
        </row>
        <row r="36">
          <cell r="B36">
            <v>32400000</v>
          </cell>
          <cell r="C36">
            <v>35</v>
          </cell>
        </row>
        <row r="37">
          <cell r="B37">
            <v>32600000</v>
          </cell>
          <cell r="C37">
            <v>36</v>
          </cell>
        </row>
        <row r="38">
          <cell r="B38">
            <v>32800000</v>
          </cell>
          <cell r="C38">
            <v>37</v>
          </cell>
        </row>
        <row r="39">
          <cell r="B39">
            <v>33000000</v>
          </cell>
          <cell r="C39">
            <v>38</v>
          </cell>
        </row>
        <row r="40">
          <cell r="B40">
            <v>33200000</v>
          </cell>
          <cell r="C40">
            <v>39</v>
          </cell>
        </row>
        <row r="41">
          <cell r="B41">
            <v>33400000</v>
          </cell>
          <cell r="C41">
            <v>40</v>
          </cell>
        </row>
        <row r="42">
          <cell r="B42">
            <v>33600000</v>
          </cell>
          <cell r="C42">
            <v>41</v>
          </cell>
        </row>
        <row r="43">
          <cell r="B43">
            <v>33800000</v>
          </cell>
          <cell r="C43">
            <v>42</v>
          </cell>
        </row>
        <row r="44">
          <cell r="B44">
            <v>34000000</v>
          </cell>
          <cell r="C44">
            <v>43</v>
          </cell>
        </row>
        <row r="45">
          <cell r="B45">
            <v>34200000</v>
          </cell>
          <cell r="C45">
            <v>44</v>
          </cell>
        </row>
        <row r="46">
          <cell r="B46">
            <v>34400000</v>
          </cell>
          <cell r="C46">
            <v>45</v>
          </cell>
        </row>
        <row r="47">
          <cell r="B47">
            <v>34600000</v>
          </cell>
          <cell r="C47">
            <v>46</v>
          </cell>
        </row>
        <row r="48">
          <cell r="B48">
            <v>34800000</v>
          </cell>
          <cell r="C48">
            <v>48</v>
          </cell>
        </row>
        <row r="49">
          <cell r="B49">
            <v>35000000</v>
          </cell>
          <cell r="C49">
            <v>49</v>
          </cell>
        </row>
        <row r="50">
          <cell r="B50">
            <v>35200000</v>
          </cell>
          <cell r="C50">
            <v>50</v>
          </cell>
        </row>
        <row r="51">
          <cell r="B51">
            <v>35400000</v>
          </cell>
          <cell r="C51">
            <v>51</v>
          </cell>
        </row>
        <row r="52">
          <cell r="B52">
            <v>35600000</v>
          </cell>
          <cell r="C52">
            <v>52</v>
          </cell>
        </row>
        <row r="53">
          <cell r="B53">
            <v>35800000</v>
          </cell>
          <cell r="C53">
            <v>52</v>
          </cell>
        </row>
        <row r="54">
          <cell r="B54">
            <v>36000000</v>
          </cell>
          <cell r="C54">
            <v>52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I2" t="str">
            <v>팀(신)</v>
          </cell>
          <cell r="J2" t="str">
            <v>프로젝트</v>
          </cell>
          <cell r="K2" t="str">
            <v>인원수</v>
          </cell>
          <cell r="L2" t="str">
            <v>실</v>
          </cell>
          <cell r="M2" t="str">
            <v>시/도</v>
          </cell>
          <cell r="N2" t="str">
            <v>구/시</v>
          </cell>
        </row>
        <row r="3">
          <cell r="I3" t="str">
            <v>SK텔레콤 1팀</v>
          </cell>
          <cell r="J3" t="str">
            <v>채팅플러스</v>
          </cell>
          <cell r="K3" t="e">
            <v>#REF!</v>
          </cell>
          <cell r="L3" t="str">
            <v>1실</v>
          </cell>
          <cell r="M3" t="str">
            <v>서울시</v>
          </cell>
          <cell r="N3" t="str">
            <v>구로구</v>
          </cell>
          <cell r="Y3" t="str">
            <v>은평구</v>
          </cell>
          <cell r="Z3" t="str">
            <v>서북권</v>
          </cell>
        </row>
        <row r="4">
          <cell r="I4" t="str">
            <v>SK텔레콤 2팀</v>
          </cell>
          <cell r="K4" t="e">
            <v>#REF!</v>
          </cell>
          <cell r="L4" t="str">
            <v>1실</v>
          </cell>
          <cell r="M4" t="str">
            <v>서울시</v>
          </cell>
          <cell r="N4" t="str">
            <v>중구</v>
          </cell>
          <cell r="Y4" t="str">
            <v>서대문구</v>
          </cell>
          <cell r="Z4" t="str">
            <v>서북권</v>
          </cell>
        </row>
        <row r="5">
          <cell r="I5" t="str">
            <v>SK텔레콤 3팀</v>
          </cell>
          <cell r="K5" t="e">
            <v>#REF!</v>
          </cell>
          <cell r="L5" t="str">
            <v>1실</v>
          </cell>
          <cell r="M5" t="str">
            <v>서울시</v>
          </cell>
          <cell r="N5" t="str">
            <v>중구</v>
          </cell>
          <cell r="Y5" t="str">
            <v>마포구</v>
          </cell>
          <cell r="Z5" t="str">
            <v>서북권</v>
          </cell>
        </row>
        <row r="6">
          <cell r="I6" t="str">
            <v>SK텔레콤 4팀</v>
          </cell>
          <cell r="K6" t="e">
            <v>#REF!</v>
          </cell>
          <cell r="L6" t="str">
            <v>1실</v>
          </cell>
          <cell r="M6" t="str">
            <v>서울시</v>
          </cell>
          <cell r="N6" t="str">
            <v>중구</v>
          </cell>
          <cell r="Y6" t="str">
            <v>종로구</v>
          </cell>
          <cell r="Z6" t="str">
            <v>서북권</v>
          </cell>
        </row>
        <row r="7">
          <cell r="I7" t="str">
            <v>TMAP 주차 1팀</v>
          </cell>
          <cell r="K7" t="e">
            <v>#REF!</v>
          </cell>
          <cell r="L7" t="str">
            <v>1실</v>
          </cell>
          <cell r="M7" t="str">
            <v>경기도</v>
          </cell>
          <cell r="N7" t="str">
            <v>성남시</v>
          </cell>
          <cell r="Y7" t="str">
            <v>중구</v>
          </cell>
          <cell r="Z7" t="str">
            <v>서북권</v>
          </cell>
        </row>
        <row r="8">
          <cell r="I8" t="str">
            <v>우아한형제들 1팀</v>
          </cell>
          <cell r="K8" t="e">
            <v>#REF!</v>
          </cell>
          <cell r="L8" t="str">
            <v>3실</v>
          </cell>
          <cell r="M8" t="str">
            <v>서울시</v>
          </cell>
          <cell r="N8" t="str">
            <v>금천구</v>
          </cell>
          <cell r="Y8" t="str">
            <v>용산구</v>
          </cell>
          <cell r="Z8" t="str">
            <v>서북권</v>
          </cell>
        </row>
        <row r="9">
          <cell r="I9" t="str">
            <v>GS리테일 1팀</v>
          </cell>
          <cell r="K9" t="e">
            <v>#REF!</v>
          </cell>
          <cell r="L9" t="str">
            <v>3실</v>
          </cell>
          <cell r="M9" t="str">
            <v>서울시</v>
          </cell>
          <cell r="N9" t="str">
            <v>영등포구</v>
          </cell>
          <cell r="Y9" t="str">
            <v>도봉구</v>
          </cell>
          <cell r="Z9" t="str">
            <v>동북권</v>
          </cell>
        </row>
        <row r="10">
          <cell r="I10" t="str">
            <v>카카오페이 1팀</v>
          </cell>
          <cell r="K10" t="e">
            <v>#REF!</v>
          </cell>
          <cell r="L10" t="str">
            <v>3실</v>
          </cell>
          <cell r="M10" t="str">
            <v>경기도</v>
          </cell>
          <cell r="N10" t="str">
            <v>성남시</v>
          </cell>
          <cell r="Y10" t="str">
            <v>노원구</v>
          </cell>
          <cell r="Z10" t="str">
            <v>동북권</v>
          </cell>
        </row>
        <row r="11">
          <cell r="I11" t="str">
            <v>CJ올리브영 1팀</v>
          </cell>
          <cell r="K11" t="e">
            <v>#REF!</v>
          </cell>
          <cell r="L11" t="str">
            <v>1실</v>
          </cell>
          <cell r="M11" t="str">
            <v>서울시</v>
          </cell>
          <cell r="N11" t="str">
            <v>중구</v>
          </cell>
          <cell r="Y11" t="str">
            <v>강북구</v>
          </cell>
          <cell r="Z11" t="str">
            <v>동북권</v>
          </cell>
        </row>
        <row r="12">
          <cell r="I12" t="str">
            <v>라인플러스 2팀</v>
          </cell>
          <cell r="K12" t="e">
            <v>#REF!</v>
          </cell>
          <cell r="L12" t="str">
            <v>2실</v>
          </cell>
          <cell r="M12" t="str">
            <v>경기도</v>
          </cell>
          <cell r="N12" t="str">
            <v>성남시</v>
          </cell>
          <cell r="Y12" t="str">
            <v>성북구</v>
          </cell>
          <cell r="Z12" t="str">
            <v>동북권</v>
          </cell>
        </row>
        <row r="13">
          <cell r="I13" t="str">
            <v>반티바 1팀</v>
          </cell>
          <cell r="K13" t="e">
            <v>#REF!</v>
          </cell>
          <cell r="L13" t="str">
            <v>2실</v>
          </cell>
          <cell r="M13" t="str">
            <v>경기도</v>
          </cell>
          <cell r="N13" t="str">
            <v>성남시</v>
          </cell>
          <cell r="Y13" t="str">
            <v>동대문구</v>
          </cell>
          <cell r="Z13" t="str">
            <v>동북권</v>
          </cell>
        </row>
        <row r="14">
          <cell r="I14" t="str">
            <v>11번가 1팀</v>
          </cell>
          <cell r="K14" t="e">
            <v>#REF!</v>
          </cell>
          <cell r="L14" t="str">
            <v>1실</v>
          </cell>
          <cell r="M14" t="str">
            <v>서울시</v>
          </cell>
          <cell r="N14" t="str">
            <v>중구</v>
          </cell>
          <cell r="Y14" t="str">
            <v>중랑구</v>
          </cell>
          <cell r="Z14" t="str">
            <v>동북권</v>
          </cell>
        </row>
        <row r="15">
          <cell r="I15" t="str">
            <v>LG전자 1팀</v>
          </cell>
          <cell r="K15" t="e">
            <v>#REF!</v>
          </cell>
          <cell r="L15" t="str">
            <v>1실</v>
          </cell>
          <cell r="M15" t="str">
            <v>서울시</v>
          </cell>
          <cell r="N15" t="str">
            <v>강서구</v>
          </cell>
          <cell r="Y15" t="str">
            <v>성동구</v>
          </cell>
          <cell r="Z15" t="str">
            <v>동북권</v>
          </cell>
        </row>
        <row r="16">
          <cell r="I16" t="str">
            <v>한샘 1팀</v>
          </cell>
          <cell r="K16" t="e">
            <v>#REF!</v>
          </cell>
          <cell r="L16" t="str">
            <v>2실</v>
          </cell>
          <cell r="M16" t="str">
            <v>서울시</v>
          </cell>
          <cell r="N16" t="str">
            <v>마포구</v>
          </cell>
          <cell r="Y16" t="str">
            <v>광진구</v>
          </cell>
          <cell r="Z16" t="str">
            <v>동북권</v>
          </cell>
        </row>
        <row r="17">
          <cell r="I17" t="str">
            <v>KT알파 1팀</v>
          </cell>
          <cell r="K17" t="e">
            <v>#REF!</v>
          </cell>
          <cell r="L17" t="str">
            <v>2실</v>
          </cell>
          <cell r="M17" t="str">
            <v>서울시</v>
          </cell>
          <cell r="N17" t="str">
            <v>동작구</v>
          </cell>
          <cell r="Y17" t="str">
            <v>강서구</v>
          </cell>
          <cell r="Z17" t="str">
            <v>서남권</v>
          </cell>
        </row>
        <row r="18">
          <cell r="I18" t="str">
            <v>현대중고차 1팀</v>
          </cell>
          <cell r="K18" t="e">
            <v>#REF!</v>
          </cell>
          <cell r="L18" t="str">
            <v>2실</v>
          </cell>
          <cell r="M18" t="str">
            <v>서울시</v>
          </cell>
          <cell r="N18" t="str">
            <v>용산구</v>
          </cell>
          <cell r="Y18" t="str">
            <v>양천구</v>
          </cell>
          <cell r="Z18" t="str">
            <v>서남권</v>
          </cell>
        </row>
        <row r="19">
          <cell r="I19" t="str">
            <v>웅진씽크빅 1팀</v>
          </cell>
          <cell r="K19" t="e">
            <v>#REF!</v>
          </cell>
          <cell r="L19" t="str">
            <v>1실</v>
          </cell>
          <cell r="M19" t="str">
            <v>서울시</v>
          </cell>
          <cell r="N19" t="str">
            <v>금천구</v>
          </cell>
          <cell r="Y19" t="str">
            <v>구로구</v>
          </cell>
          <cell r="Z19" t="str">
            <v>서남권</v>
          </cell>
        </row>
        <row r="20">
          <cell r="I20" t="str">
            <v>T어시 팀</v>
          </cell>
          <cell r="K20" t="e">
            <v>#REF!</v>
          </cell>
          <cell r="L20" t="str">
            <v>1실</v>
          </cell>
          <cell r="M20" t="str">
            <v>서울시</v>
          </cell>
          <cell r="N20" t="str">
            <v>금천구</v>
          </cell>
          <cell r="Y20" t="str">
            <v>영등포구</v>
          </cell>
          <cell r="Z20" t="str">
            <v>서남권</v>
          </cell>
        </row>
        <row r="21">
          <cell r="I21" t="str">
            <v>SKT 버티컬서비스 팀</v>
          </cell>
          <cell r="K21" t="e">
            <v>#REF!</v>
          </cell>
          <cell r="L21" t="str">
            <v>2실</v>
          </cell>
          <cell r="M21" t="str">
            <v>서울시</v>
          </cell>
          <cell r="N21" t="str">
            <v>금천구</v>
          </cell>
          <cell r="Y21" t="str">
            <v>동작구</v>
          </cell>
          <cell r="Z21" t="str">
            <v>서남권</v>
          </cell>
        </row>
        <row r="22">
          <cell r="I22" t="str">
            <v>SK쉴더스 1팀</v>
          </cell>
          <cell r="K22" t="e">
            <v>#REF!</v>
          </cell>
          <cell r="L22" t="str">
            <v>2실</v>
          </cell>
          <cell r="M22" t="str">
            <v>서울시</v>
          </cell>
          <cell r="N22" t="str">
            <v>강남구</v>
          </cell>
          <cell r="Y22" t="str">
            <v>금천구</v>
          </cell>
          <cell r="Z22" t="str">
            <v>서남권</v>
          </cell>
        </row>
        <row r="23">
          <cell r="I23" t="str">
            <v>현대ITSM 1팀</v>
          </cell>
          <cell r="K23" t="e">
            <v>#REF!</v>
          </cell>
          <cell r="L23" t="str">
            <v>2실</v>
          </cell>
          <cell r="M23" t="str">
            <v>서울시</v>
          </cell>
          <cell r="N23" t="str">
            <v>금천구</v>
          </cell>
          <cell r="Y23" t="str">
            <v>관악구</v>
          </cell>
          <cell r="Z23" t="str">
            <v>서남권</v>
          </cell>
        </row>
        <row r="24">
          <cell r="I24" t="str">
            <v>SK쉴더스 2팀</v>
          </cell>
          <cell r="K24" t="e">
            <v>#REF!</v>
          </cell>
          <cell r="L24" t="str">
            <v>2실</v>
          </cell>
          <cell r="M24" t="str">
            <v>서울시</v>
          </cell>
          <cell r="N24" t="str">
            <v>금천구</v>
          </cell>
          <cell r="Y24" t="str">
            <v>서초구</v>
          </cell>
          <cell r="Z24" t="str">
            <v>동남권</v>
          </cell>
        </row>
        <row r="25">
          <cell r="I25" t="str">
            <v>SK쉴더스 3팀</v>
          </cell>
          <cell r="K25" t="e">
            <v>#REF!</v>
          </cell>
          <cell r="L25" t="str">
            <v>2실</v>
          </cell>
          <cell r="M25" t="str">
            <v>서울시</v>
          </cell>
          <cell r="N25" t="str">
            <v>강남구</v>
          </cell>
          <cell r="Y25" t="str">
            <v>강남구</v>
          </cell>
          <cell r="Z25" t="str">
            <v>동남권</v>
          </cell>
        </row>
        <row r="26">
          <cell r="I26" t="str">
            <v>현대OTA 1팀</v>
          </cell>
          <cell r="K26" t="e">
            <v>#REF!</v>
          </cell>
          <cell r="L26" t="str">
            <v>2실</v>
          </cell>
          <cell r="M26" t="str">
            <v>서울시</v>
          </cell>
          <cell r="N26" t="str">
            <v>금천구</v>
          </cell>
          <cell r="Y26" t="str">
            <v>송파구</v>
          </cell>
          <cell r="Z26" t="str">
            <v>동남권</v>
          </cell>
        </row>
        <row r="27">
          <cell r="I27" t="str">
            <v>모두투어 1팀</v>
          </cell>
          <cell r="K27" t="e">
            <v>#REF!</v>
          </cell>
          <cell r="L27" t="str">
            <v>1실</v>
          </cell>
          <cell r="M27" t="str">
            <v>서울시</v>
          </cell>
          <cell r="N27" t="str">
            <v>중구</v>
          </cell>
          <cell r="Y27" t="str">
            <v>강동구</v>
          </cell>
          <cell r="Z27" t="str">
            <v>동남권</v>
          </cell>
        </row>
        <row r="28">
          <cell r="I28" t="str">
            <v>안전보건공단 1팀</v>
          </cell>
          <cell r="K28" t="e">
            <v>#REF!</v>
          </cell>
          <cell r="L28" t="str">
            <v>1실</v>
          </cell>
          <cell r="M28" t="str">
            <v>경기도</v>
          </cell>
          <cell r="N28" t="str">
            <v>부천시</v>
          </cell>
          <cell r="Y28" t="str">
            <v>성남시</v>
          </cell>
          <cell r="Z28" t="str">
            <v>동남권</v>
          </cell>
        </row>
        <row r="29">
          <cell r="I29" t="str">
            <v>SKT UAM 1팀</v>
          </cell>
          <cell r="K29" t="e">
            <v>#REF!</v>
          </cell>
          <cell r="L29" t="str">
            <v>2실</v>
          </cell>
          <cell r="M29" t="str">
            <v>서울시</v>
          </cell>
          <cell r="N29" t="str">
            <v>금천구</v>
          </cell>
          <cell r="Y29" t="str">
            <v>고양시</v>
          </cell>
          <cell r="Z29" t="str">
            <v>서북권</v>
          </cell>
        </row>
        <row r="30">
          <cell r="I30" t="str">
            <v>라인플러스 3팀</v>
          </cell>
          <cell r="J30" t="str">
            <v>VOOM</v>
          </cell>
          <cell r="K30" t="e">
            <v>#REF!</v>
          </cell>
          <cell r="L30" t="str">
            <v>3실</v>
          </cell>
          <cell r="M30" t="str">
            <v>경기도</v>
          </cell>
          <cell r="N30" t="str">
            <v>성남시</v>
          </cell>
          <cell r="Y30" t="str">
            <v>안산시</v>
          </cell>
          <cell r="Z30" t="str">
            <v>서남권</v>
          </cell>
        </row>
        <row r="31">
          <cell r="I31" t="str">
            <v>현대오토에버 1팀</v>
          </cell>
          <cell r="K31" t="e">
            <v>#REF!</v>
          </cell>
          <cell r="L31" t="str">
            <v>3실</v>
          </cell>
          <cell r="M31" t="str">
            <v>경기도</v>
          </cell>
          <cell r="N31" t="str">
            <v>화성시</v>
          </cell>
          <cell r="Y31" t="str">
            <v>수원시</v>
          </cell>
          <cell r="Z31" t="str">
            <v>동남권</v>
          </cell>
        </row>
        <row r="32">
          <cell r="I32" t="str">
            <v>현대오토에버 2팀</v>
          </cell>
          <cell r="K32" t="e">
            <v>#REF!</v>
          </cell>
          <cell r="L32" t="str">
            <v>1실</v>
          </cell>
          <cell r="M32" t="str">
            <v>서울시</v>
          </cell>
          <cell r="N32" t="str">
            <v>강남구</v>
          </cell>
          <cell r="Y32" t="str">
            <v>안양시</v>
          </cell>
          <cell r="Z32" t="str">
            <v>서남권</v>
          </cell>
        </row>
        <row r="33">
          <cell r="I33" t="str">
            <v>현대백화점 1팀</v>
          </cell>
          <cell r="K33" t="e">
            <v>#REF!</v>
          </cell>
          <cell r="L33" t="str">
            <v>1실</v>
          </cell>
          <cell r="M33" t="str">
            <v>서울시</v>
          </cell>
          <cell r="N33" t="str">
            <v>강남구</v>
          </cell>
          <cell r="Y33" t="str">
            <v>군포시</v>
          </cell>
          <cell r="Z33" t="str">
            <v>서남권</v>
          </cell>
        </row>
        <row r="34">
          <cell r="I34" t="str">
            <v>LG전자 3팀</v>
          </cell>
          <cell r="K34" t="e">
            <v>#REF!</v>
          </cell>
          <cell r="L34" t="str">
            <v>1실</v>
          </cell>
          <cell r="M34" t="str">
            <v>서울시</v>
          </cell>
          <cell r="N34" t="str">
            <v>금천구</v>
          </cell>
          <cell r="Y34" t="str">
            <v>파주시</v>
          </cell>
          <cell r="Z34" t="str">
            <v>서북권</v>
          </cell>
        </row>
        <row r="35">
          <cell r="I35" t="str">
            <v>아이락커뮤니케이션 1팀</v>
          </cell>
          <cell r="K35" t="e">
            <v>#REF!</v>
          </cell>
          <cell r="L35" t="str">
            <v>1실</v>
          </cell>
          <cell r="M35" t="str">
            <v>서울시</v>
          </cell>
          <cell r="N35" t="str">
            <v>금천구</v>
          </cell>
        </row>
        <row r="36">
          <cell r="I36" t="str">
            <v>현대 FOD 1팀</v>
          </cell>
          <cell r="K36" t="e">
            <v>#REF!</v>
          </cell>
          <cell r="L36" t="str">
            <v>1실</v>
          </cell>
          <cell r="M36" t="str">
            <v>서울시</v>
          </cell>
          <cell r="N36" t="str">
            <v>금천구</v>
          </cell>
        </row>
        <row r="37">
          <cell r="I37" t="str">
            <v>한샘 2팀</v>
          </cell>
          <cell r="K37" t="e">
            <v>#REF!</v>
          </cell>
          <cell r="L37" t="str">
            <v>2실</v>
          </cell>
          <cell r="M37" t="str">
            <v>서울시</v>
          </cell>
          <cell r="N37" t="str">
            <v>마포구</v>
          </cell>
        </row>
        <row r="38">
          <cell r="I38" t="str">
            <v>LG전자 2팀</v>
          </cell>
          <cell r="J38" t="str">
            <v>WebOS</v>
          </cell>
          <cell r="K38" t="e">
            <v>#REF!</v>
          </cell>
          <cell r="L38" t="str">
            <v>1실</v>
          </cell>
          <cell r="M38" t="str">
            <v>서울시</v>
          </cell>
          <cell r="N38" t="str">
            <v>서초구</v>
          </cell>
          <cell r="Y38" t="str">
            <v>광주시</v>
          </cell>
          <cell r="Z38" t="str">
            <v>동남권</v>
          </cell>
        </row>
        <row r="39">
          <cell r="I39" t="str">
            <v>현대캐스퍼 1팀</v>
          </cell>
          <cell r="K39" t="e">
            <v>#REF!</v>
          </cell>
          <cell r="L39" t="str">
            <v>1실</v>
          </cell>
          <cell r="M39" t="str">
            <v>서울시</v>
          </cell>
          <cell r="N39" t="str">
            <v>금천구</v>
          </cell>
          <cell r="Y39" t="str">
            <v>하남시</v>
          </cell>
          <cell r="Z39" t="str">
            <v>동남권</v>
          </cell>
        </row>
        <row r="40">
          <cell r="I40" t="str">
            <v>화인폰 사이니지 1팀</v>
          </cell>
          <cell r="K40" t="e">
            <v>#REF!</v>
          </cell>
          <cell r="L40" t="str">
            <v>1실</v>
          </cell>
          <cell r="M40" t="str">
            <v>경기도</v>
          </cell>
          <cell r="N40" t="str">
            <v>평택시</v>
          </cell>
        </row>
        <row r="41">
          <cell r="I41" t="str">
            <v>SK C&amp;C MVNO 1팀</v>
          </cell>
          <cell r="K41" t="e">
            <v>#REF!</v>
          </cell>
          <cell r="L41" t="str">
            <v>1실</v>
          </cell>
          <cell r="M41" t="str">
            <v>경기도</v>
          </cell>
          <cell r="N41" t="str">
            <v>성남시</v>
          </cell>
        </row>
        <row r="42">
          <cell r="I42" t="str">
            <v>와일리 1팀</v>
          </cell>
          <cell r="K42" t="e">
            <v>#REF!</v>
          </cell>
          <cell r="L42" t="str">
            <v>1실</v>
          </cell>
          <cell r="M42" t="str">
            <v>서울시</v>
          </cell>
          <cell r="N42" t="str">
            <v>중구</v>
          </cell>
        </row>
        <row r="43">
          <cell r="I43" t="str">
            <v>배민 우아콘 1팀</v>
          </cell>
          <cell r="K43" t="e">
            <v>#REF!</v>
          </cell>
          <cell r="L43" t="str">
            <v>2실</v>
          </cell>
          <cell r="M43" t="str">
            <v>서울시</v>
          </cell>
          <cell r="N43" t="str">
            <v>금천구</v>
          </cell>
        </row>
        <row r="44">
          <cell r="I44" t="str">
            <v>T다이렉트샵 문구점 1팀</v>
          </cell>
          <cell r="K44" t="e">
            <v>#REF!</v>
          </cell>
          <cell r="L44" t="str">
            <v>2실</v>
          </cell>
          <cell r="M44" t="str">
            <v>서울시</v>
          </cell>
          <cell r="N44" t="str">
            <v>금천구</v>
          </cell>
        </row>
        <row r="45">
          <cell r="I45" t="str">
            <v>SK텔레콤 5팀</v>
          </cell>
          <cell r="J45" t="str">
            <v>에이닷</v>
          </cell>
          <cell r="K45" t="e">
            <v>#REF!</v>
          </cell>
          <cell r="L45" t="str">
            <v>1실</v>
          </cell>
          <cell r="M45" t="str">
            <v>서울시</v>
          </cell>
          <cell r="N45" t="str">
            <v>금천구</v>
          </cell>
        </row>
        <row r="46">
          <cell r="I46" t="str">
            <v>K2 1팀</v>
          </cell>
          <cell r="K46" t="e">
            <v>#REF!</v>
          </cell>
          <cell r="L46" t="str">
            <v>1실</v>
          </cell>
          <cell r="M46" t="str">
            <v>서울시</v>
          </cell>
          <cell r="N46" t="str">
            <v>강남구</v>
          </cell>
        </row>
        <row r="47">
          <cell r="I47" t="str">
            <v>현대오토에버 3팀</v>
          </cell>
          <cell r="K47" t="e">
            <v>#REF!</v>
          </cell>
          <cell r="L47" t="str">
            <v>2실</v>
          </cell>
          <cell r="M47" t="str">
            <v>서울시</v>
          </cell>
          <cell r="N47" t="str">
            <v>금천구</v>
          </cell>
        </row>
        <row r="48">
          <cell r="I48" t="str">
            <v>SKT CPMS 1팀</v>
          </cell>
          <cell r="K48" t="e">
            <v>#REF!</v>
          </cell>
          <cell r="L48" t="str">
            <v>2실</v>
          </cell>
          <cell r="M48" t="str">
            <v>서울시</v>
          </cell>
          <cell r="N48" t="str">
            <v>금천구</v>
          </cell>
        </row>
        <row r="49">
          <cell r="I49" t="str">
            <v>HA SWP 1팀</v>
          </cell>
          <cell r="K49" t="e">
            <v>#REF!</v>
          </cell>
          <cell r="L49" t="str">
            <v>2실</v>
          </cell>
          <cell r="M49" t="str">
            <v>서울시</v>
          </cell>
          <cell r="N49" t="str">
            <v>금천구</v>
          </cell>
        </row>
        <row r="50">
          <cell r="I50" t="str">
            <v>삼성카드 1팀</v>
          </cell>
          <cell r="K50" t="e">
            <v>#REF!</v>
          </cell>
          <cell r="L50" t="str">
            <v>2실</v>
          </cell>
          <cell r="M50" t="str">
            <v>서울시</v>
          </cell>
          <cell r="N50" t="str">
            <v>중구</v>
          </cell>
        </row>
        <row r="51">
          <cell r="I51" t="str">
            <v>LG전자 팀(외주)</v>
          </cell>
          <cell r="K51" t="e">
            <v>#REF!</v>
          </cell>
          <cell r="L51" t="str">
            <v>1실</v>
          </cell>
          <cell r="M51" t="str">
            <v>서울시</v>
          </cell>
          <cell r="N51" t="str">
            <v>중구</v>
          </cell>
        </row>
        <row r="52">
          <cell r="I52" t="str">
            <v>공공안전보건 팀(외주)</v>
          </cell>
          <cell r="K52" t="e">
            <v>#REF!</v>
          </cell>
          <cell r="L52" t="str">
            <v>1실</v>
          </cell>
          <cell r="M52" t="str">
            <v>서울시</v>
          </cell>
          <cell r="N52" t="str">
            <v>중구</v>
          </cell>
        </row>
        <row r="53">
          <cell r="I53" t="str">
            <v>(구)현대오토에버 1팀</v>
          </cell>
          <cell r="K53" t="e">
            <v>#REF!</v>
          </cell>
          <cell r="L53" t="str">
            <v>1실</v>
          </cell>
          <cell r="M53" t="str">
            <v>서울시</v>
          </cell>
          <cell r="N53" t="str">
            <v>중구</v>
          </cell>
        </row>
        <row r="54">
          <cell r="I54" t="str">
            <v>LG전자 4팀</v>
          </cell>
          <cell r="K54" t="e">
            <v>#REF!</v>
          </cell>
          <cell r="L54" t="str">
            <v>1실</v>
          </cell>
          <cell r="M54" t="str">
            <v>경기도</v>
          </cell>
          <cell r="N54" t="str">
            <v>평택시</v>
          </cell>
        </row>
        <row r="55">
          <cell r="I55" t="str">
            <v>SK쉴더스 4팀</v>
          </cell>
          <cell r="K55" t="e">
            <v>#REF!</v>
          </cell>
          <cell r="L55" t="str">
            <v>2실</v>
          </cell>
          <cell r="M55" t="str">
            <v>서울시</v>
          </cell>
          <cell r="N55" t="str">
            <v>강남구</v>
          </cell>
        </row>
        <row r="56">
          <cell r="I56" t="str">
            <v>BGF리테일 1팀</v>
          </cell>
          <cell r="K56" t="e">
            <v>#REF!</v>
          </cell>
          <cell r="L56" t="str">
            <v>2실</v>
          </cell>
          <cell r="M56" t="str">
            <v>서울시</v>
          </cell>
          <cell r="N56" t="str">
            <v>금천구</v>
          </cell>
        </row>
        <row r="57">
          <cell r="I57" t="str">
            <v>SK텔레콤 6팀</v>
          </cell>
          <cell r="K57" t="e">
            <v>#REF!</v>
          </cell>
          <cell r="L57" t="str">
            <v>1실</v>
          </cell>
          <cell r="M57" t="str">
            <v>서울시</v>
          </cell>
          <cell r="N57" t="str">
            <v>금천구</v>
          </cell>
        </row>
        <row r="58">
          <cell r="I58" t="str">
            <v>SK텔레콤 7팀</v>
          </cell>
          <cell r="K58" t="e">
            <v>#REF!</v>
          </cell>
          <cell r="L58" t="str">
            <v>1실</v>
          </cell>
          <cell r="M58" t="str">
            <v>서울시</v>
          </cell>
          <cell r="N58" t="str">
            <v>금천구</v>
          </cell>
        </row>
        <row r="59">
          <cell r="I59" t="str">
            <v>현대오토에버 4팀</v>
          </cell>
          <cell r="K59" t="e">
            <v>#REF!</v>
          </cell>
          <cell r="L59" t="str">
            <v>2실</v>
          </cell>
          <cell r="M59" t="str">
            <v>서울시</v>
          </cell>
          <cell r="N59" t="str">
            <v>강남구</v>
          </cell>
        </row>
        <row r="60">
          <cell r="I60" t="str">
            <v>HDC랩스 1팀</v>
          </cell>
          <cell r="K60" t="e">
            <v>#REF!</v>
          </cell>
          <cell r="L60" t="str">
            <v>2실</v>
          </cell>
          <cell r="M60" t="str">
            <v>서울시</v>
          </cell>
          <cell r="N60" t="str">
            <v>강남구</v>
          </cell>
        </row>
        <row r="61">
          <cell r="I61" t="str">
            <v>SK쉴더스 5팀</v>
          </cell>
          <cell r="K61" t="e">
            <v>#REF!</v>
          </cell>
          <cell r="L61" t="str">
            <v>2실</v>
          </cell>
          <cell r="M61" t="str">
            <v>서울시</v>
          </cell>
          <cell r="N61" t="str">
            <v>안양시</v>
          </cell>
        </row>
        <row r="62">
          <cell r="I62" t="str">
            <v>SK텔레콤 8팀</v>
          </cell>
          <cell r="K62" t="e">
            <v>#REF!</v>
          </cell>
          <cell r="L62" t="str">
            <v>2실</v>
          </cell>
          <cell r="M62" t="str">
            <v>서울시</v>
          </cell>
          <cell r="N62" t="str">
            <v>금천구</v>
          </cell>
        </row>
        <row r="63">
          <cell r="I63" t="str">
            <v>SK텔레콤 9팀</v>
          </cell>
          <cell r="K63" t="e">
            <v>#REF!</v>
          </cell>
          <cell r="L63" t="str">
            <v>2실</v>
          </cell>
          <cell r="M63" t="str">
            <v>서울시</v>
          </cell>
          <cell r="N63" t="str">
            <v>금천구</v>
          </cell>
        </row>
        <row r="64">
          <cell r="I64" t="str">
            <v>SK텔레콤 10팀</v>
          </cell>
          <cell r="K64" t="e">
            <v>#REF!</v>
          </cell>
          <cell r="L64" t="str">
            <v>2실</v>
          </cell>
          <cell r="M64" t="str">
            <v>서울시</v>
          </cell>
          <cell r="N64" t="str">
            <v>금천구</v>
          </cell>
        </row>
        <row r="65">
          <cell r="I65" t="str">
            <v>SK쉴더스 6팀</v>
          </cell>
          <cell r="K65" t="e">
            <v>#REF!</v>
          </cell>
          <cell r="L65" t="str">
            <v>2실</v>
          </cell>
          <cell r="M65" t="str">
            <v>서울시</v>
          </cell>
          <cell r="N65" t="str">
            <v>안양시</v>
          </cell>
        </row>
        <row r="66">
          <cell r="I66" t="str">
            <v>아이스크림미디어 1팀</v>
          </cell>
          <cell r="K66" t="e">
            <v>#REF!</v>
          </cell>
          <cell r="L66" t="str">
            <v>2실</v>
          </cell>
          <cell r="M66" t="str">
            <v>서울시</v>
          </cell>
          <cell r="N66" t="str">
            <v>강남구</v>
          </cell>
        </row>
        <row r="67">
          <cell r="I67" t="str">
            <v>SK쉴더스 7팀</v>
          </cell>
          <cell r="K67" t="e">
            <v>#REF!</v>
          </cell>
          <cell r="L67" t="str">
            <v>2실</v>
          </cell>
          <cell r="M67" t="str">
            <v>서울시</v>
          </cell>
          <cell r="N67" t="str">
            <v>안양시</v>
          </cell>
        </row>
        <row r="68">
          <cell r="I68" t="str">
            <v>삼성카드 2팀</v>
          </cell>
          <cell r="K68" t="e">
            <v>#REF!</v>
          </cell>
          <cell r="L68" t="str">
            <v>2실</v>
          </cell>
          <cell r="M68" t="str">
            <v>서울시</v>
          </cell>
          <cell r="N68" t="str">
            <v>중구</v>
          </cell>
        </row>
        <row r="69">
          <cell r="I69" t="str">
            <v>GS리테일 2팀</v>
          </cell>
          <cell r="K69" t="e">
            <v>#REF!</v>
          </cell>
          <cell r="L69" t="str">
            <v>1실</v>
          </cell>
          <cell r="M69" t="str">
            <v>서울시</v>
          </cell>
          <cell r="N69" t="str">
            <v>영등포구</v>
          </cell>
        </row>
        <row r="70">
          <cell r="I70" t="str">
            <v>우아한형제들 2팀</v>
          </cell>
          <cell r="K70" t="e">
            <v>#REF!</v>
          </cell>
          <cell r="L70" t="str">
            <v>3실</v>
          </cell>
          <cell r="M70" t="str">
            <v>서울시</v>
          </cell>
          <cell r="N70" t="str">
            <v>강남구</v>
          </cell>
        </row>
        <row r="71">
          <cell r="I71" t="str">
            <v>SK텔레콤 12팀</v>
          </cell>
          <cell r="K71" t="e">
            <v>#REF!</v>
          </cell>
          <cell r="L71" t="str">
            <v>1실</v>
          </cell>
          <cell r="M71" t="str">
            <v>서울시</v>
          </cell>
          <cell r="N71" t="str">
            <v>금천구</v>
          </cell>
        </row>
        <row r="72">
          <cell r="I72" t="str">
            <v>GS리테일 3팀</v>
          </cell>
          <cell r="K72" t="e">
            <v>#REF!</v>
          </cell>
          <cell r="L72" t="str">
            <v>2실</v>
          </cell>
          <cell r="M72" t="str">
            <v>서울시</v>
          </cell>
          <cell r="N72" t="str">
            <v>강남구</v>
          </cell>
        </row>
        <row r="73">
          <cell r="I73" t="str">
            <v>라인플러스 4팀</v>
          </cell>
          <cell r="K73" t="e">
            <v>#REF!</v>
          </cell>
          <cell r="L73" t="str">
            <v>2실</v>
          </cell>
          <cell r="M73" t="str">
            <v>경기도</v>
          </cell>
          <cell r="N73" t="str">
            <v>성남시</v>
          </cell>
        </row>
        <row r="74">
          <cell r="I74" t="str">
            <v>하나은행 1팀</v>
          </cell>
          <cell r="K74" t="e">
            <v>#REF!</v>
          </cell>
          <cell r="L74" t="str">
            <v>2실</v>
          </cell>
          <cell r="M74" t="str">
            <v>서울시</v>
          </cell>
          <cell r="N74" t="str">
            <v>마포구</v>
          </cell>
        </row>
        <row r="75">
          <cell r="I75" t="str">
            <v>아틴스 1팀</v>
          </cell>
          <cell r="K75" t="e">
            <v>#REF!</v>
          </cell>
          <cell r="L75" t="str">
            <v>2실</v>
          </cell>
          <cell r="M75" t="str">
            <v>경기도</v>
          </cell>
          <cell r="N75" t="str">
            <v>성남시</v>
          </cell>
        </row>
        <row r="76">
          <cell r="I76" t="str">
            <v>SK텔레콤 14팀</v>
          </cell>
          <cell r="K76" t="e">
            <v>#REF!</v>
          </cell>
          <cell r="L76" t="str">
            <v>2실</v>
          </cell>
          <cell r="M76" t="str">
            <v>서울시</v>
          </cell>
          <cell r="N76" t="str">
            <v>중구</v>
          </cell>
        </row>
        <row r="77">
          <cell r="I77" t="str">
            <v>SK쉴더스 8팀</v>
          </cell>
          <cell r="K77" t="e">
            <v>#REF!</v>
          </cell>
          <cell r="L77" t="str">
            <v>2실</v>
          </cell>
          <cell r="M77" t="str">
            <v>서울시</v>
          </cell>
          <cell r="N77" t="str">
            <v>중구</v>
          </cell>
        </row>
        <row r="78">
          <cell r="I78" t="str">
            <v>SK텔레콤 13팀</v>
          </cell>
          <cell r="K78" t="e">
            <v>#REF!</v>
          </cell>
          <cell r="L78" t="str">
            <v>1실</v>
          </cell>
          <cell r="M78" t="str">
            <v>서울시</v>
          </cell>
          <cell r="N78" t="str">
            <v>금천구</v>
          </cell>
        </row>
        <row r="79">
          <cell r="I79" t="str">
            <v>SK텔레콤 15팀</v>
          </cell>
          <cell r="K79" t="e">
            <v>#REF!</v>
          </cell>
          <cell r="L79" t="str">
            <v>1실</v>
          </cell>
          <cell r="M79" t="str">
            <v>서울시</v>
          </cell>
          <cell r="N79" t="str">
            <v>금천구</v>
          </cell>
        </row>
        <row r="80">
          <cell r="I80" t="str">
            <v>SK텔레콤 11팀</v>
          </cell>
          <cell r="J80" t="str">
            <v>N프로젝트</v>
          </cell>
          <cell r="K80" t="e">
            <v>#REF!</v>
          </cell>
          <cell r="L80" t="str">
            <v>2실</v>
          </cell>
          <cell r="M80" t="str">
            <v>서울시</v>
          </cell>
          <cell r="N80" t="str">
            <v>구로구</v>
          </cell>
        </row>
        <row r="81">
          <cell r="I81" t="str">
            <v>SK쉴더스 9팀</v>
          </cell>
          <cell r="K81" t="e">
            <v>#REF!</v>
          </cell>
          <cell r="L81" t="str">
            <v>1실</v>
          </cell>
          <cell r="M81" t="str">
            <v>서울시</v>
          </cell>
          <cell r="N81" t="str">
            <v>안양시</v>
          </cell>
        </row>
        <row r="82">
          <cell r="I82" t="str">
            <v>현대오토에버 5팀</v>
          </cell>
          <cell r="K82" t="e">
            <v>#REF!</v>
          </cell>
          <cell r="L82" t="str">
            <v>2실</v>
          </cell>
          <cell r="M82" t="str">
            <v>서울시</v>
          </cell>
          <cell r="N82" t="str">
            <v>강남구</v>
          </cell>
        </row>
        <row r="83">
          <cell r="I83" t="str">
            <v>스푼랩스 1팀</v>
          </cell>
          <cell r="K83" t="e">
            <v>#REF!</v>
          </cell>
          <cell r="L83" t="str">
            <v>2실</v>
          </cell>
          <cell r="M83" t="str">
            <v>서울시</v>
          </cell>
          <cell r="N83" t="str">
            <v>강남구</v>
          </cell>
        </row>
        <row r="84">
          <cell r="I84" t="str">
            <v>신한은행 1팀</v>
          </cell>
          <cell r="K84" t="e">
            <v>#REF!</v>
          </cell>
          <cell r="L84" t="str">
            <v>1실</v>
          </cell>
          <cell r="M84" t="str">
            <v>서울시</v>
          </cell>
          <cell r="N84" t="str">
            <v>강남구</v>
          </cell>
        </row>
        <row r="85">
          <cell r="I85" t="str">
            <v>현대오토에버 6팀</v>
          </cell>
          <cell r="K85" t="e">
            <v>#REF!</v>
          </cell>
          <cell r="L85" t="str">
            <v>2실</v>
          </cell>
          <cell r="M85" t="str">
            <v>서울시</v>
          </cell>
          <cell r="N85" t="str">
            <v>강남구</v>
          </cell>
        </row>
        <row r="86">
          <cell r="I86" t="str">
            <v>SK쉴더스 10팀</v>
          </cell>
          <cell r="K86" t="e">
            <v>#REF!</v>
          </cell>
          <cell r="L86" t="str">
            <v>2실</v>
          </cell>
          <cell r="M86" t="str">
            <v>서울시</v>
          </cell>
          <cell r="N86" t="str">
            <v>안양시</v>
          </cell>
        </row>
        <row r="87">
          <cell r="I87" t="str">
            <v>SK쉴더스 11팀</v>
          </cell>
          <cell r="K87" t="e">
            <v>#REF!</v>
          </cell>
          <cell r="L87" t="str">
            <v>2실</v>
          </cell>
          <cell r="M87" t="str">
            <v>서울시</v>
          </cell>
          <cell r="N87" t="str">
            <v>금천구</v>
          </cell>
        </row>
        <row r="88">
          <cell r="I88" t="str">
            <v>SK텔레콤 17팀</v>
          </cell>
          <cell r="K88" t="e">
            <v>#REF!</v>
          </cell>
          <cell r="L88" t="str">
            <v>1실</v>
          </cell>
          <cell r="M88" t="str">
            <v>서울시</v>
          </cell>
          <cell r="N88" t="str">
            <v>금천구</v>
          </cell>
        </row>
        <row r="89">
          <cell r="I89" t="str">
            <v>디지털팜 1팀</v>
          </cell>
          <cell r="K89" t="e">
            <v>#REF!</v>
          </cell>
          <cell r="L89" t="str">
            <v>1실</v>
          </cell>
          <cell r="M89" t="str">
            <v>서울시</v>
          </cell>
          <cell r="N89" t="str">
            <v>서대문구</v>
          </cell>
        </row>
        <row r="90">
          <cell r="I90" t="str">
            <v>흥국생명 1팀</v>
          </cell>
          <cell r="K90" t="e">
            <v>#REF!</v>
          </cell>
          <cell r="L90" t="str">
            <v>3실</v>
          </cell>
          <cell r="M90" t="str">
            <v>서울시</v>
          </cell>
          <cell r="N90" t="str">
            <v>중구</v>
          </cell>
        </row>
        <row r="91">
          <cell r="I91" t="str">
            <v>안전보건공단 2팀</v>
          </cell>
          <cell r="K91" t="e">
            <v>#REF!</v>
          </cell>
          <cell r="L91" t="str">
            <v>1실</v>
          </cell>
          <cell r="M91" t="str">
            <v>경기도</v>
          </cell>
          <cell r="N91" t="str">
            <v>부천시</v>
          </cell>
        </row>
        <row r="92">
          <cell r="I92" t="str">
            <v>GS리테일 4팀</v>
          </cell>
          <cell r="K92" t="e">
            <v>#REF!</v>
          </cell>
          <cell r="L92" t="str">
            <v>2실</v>
          </cell>
          <cell r="M92" t="str">
            <v>서울시</v>
          </cell>
          <cell r="N92" t="str">
            <v>금천구</v>
          </cell>
        </row>
        <row r="93">
          <cell r="I93" t="str">
            <v>삼성카드 3팀 (1)</v>
          </cell>
          <cell r="J93" t="str">
            <v>카드대응QA</v>
          </cell>
          <cell r="K93" t="e">
            <v>#REF!</v>
          </cell>
          <cell r="L93" t="str">
            <v>1실</v>
          </cell>
          <cell r="M93" t="str">
            <v>서울시</v>
          </cell>
          <cell r="N93" t="str">
            <v>중구</v>
          </cell>
        </row>
        <row r="94">
          <cell r="I94" t="str">
            <v>라인플러스 5팀</v>
          </cell>
          <cell r="J94" t="str">
            <v>GEC</v>
          </cell>
          <cell r="K94" t="e">
            <v>#REF!</v>
          </cell>
          <cell r="L94" t="str">
            <v>1실</v>
          </cell>
          <cell r="M94" t="str">
            <v>경기도</v>
          </cell>
          <cell r="N94" t="str">
            <v>성남시</v>
          </cell>
        </row>
        <row r="95">
          <cell r="I95" t="str">
            <v>SK텔레콤 19팀</v>
          </cell>
          <cell r="J95" t="str">
            <v>T우주</v>
          </cell>
          <cell r="K95" t="e">
            <v>#REF!</v>
          </cell>
          <cell r="L95" t="str">
            <v>2실</v>
          </cell>
          <cell r="M95" t="str">
            <v>서울시</v>
          </cell>
          <cell r="N95" t="str">
            <v>구로구</v>
          </cell>
        </row>
        <row r="96">
          <cell r="I96" t="str">
            <v>현대오토에버 7팀</v>
          </cell>
          <cell r="K96" t="e">
            <v>#REF!</v>
          </cell>
          <cell r="L96" t="str">
            <v>2실</v>
          </cell>
          <cell r="M96" t="str">
            <v>서울시</v>
          </cell>
          <cell r="N96" t="str">
            <v>강남구</v>
          </cell>
        </row>
        <row r="97">
          <cell r="I97" t="str">
            <v>SK텔레콤 20팀</v>
          </cell>
          <cell r="J97" t="str">
            <v>기능자동화</v>
          </cell>
          <cell r="K97" t="e">
            <v>#REF!</v>
          </cell>
          <cell r="L97" t="str">
            <v>2실</v>
          </cell>
          <cell r="M97" t="str">
            <v>서울시</v>
          </cell>
          <cell r="N97" t="str">
            <v>구로구</v>
          </cell>
        </row>
        <row r="98">
          <cell r="I98" t="str">
            <v>SK텔레콤 21팀</v>
          </cell>
          <cell r="J98" t="str">
            <v>상용앱</v>
          </cell>
          <cell r="K98" t="e">
            <v>#REF!</v>
          </cell>
          <cell r="L98" t="str">
            <v>2실</v>
          </cell>
          <cell r="M98" t="str">
            <v>서울시</v>
          </cell>
          <cell r="N98" t="str">
            <v>구로구</v>
          </cell>
        </row>
        <row r="99">
          <cell r="I99" t="str">
            <v>SK텔레콤 22팀</v>
          </cell>
          <cell r="J99" t="str">
            <v>앱성능</v>
          </cell>
          <cell r="K99" t="e">
            <v>#REF!</v>
          </cell>
          <cell r="L99" t="str">
            <v>2실</v>
          </cell>
          <cell r="M99" t="str">
            <v>서울시</v>
          </cell>
          <cell r="N99" t="str">
            <v>구로구</v>
          </cell>
        </row>
        <row r="100">
          <cell r="I100" t="str">
            <v>SK텔레콤 23팀</v>
          </cell>
          <cell r="J100" t="str">
            <v>챗봇에이전트</v>
          </cell>
          <cell r="K100" t="e">
            <v>#REF!</v>
          </cell>
          <cell r="L100" t="str">
            <v>2실</v>
          </cell>
          <cell r="M100" t="str">
            <v>서울시</v>
          </cell>
          <cell r="N100" t="str">
            <v>구로구</v>
          </cell>
        </row>
        <row r="101">
          <cell r="I101" t="str">
            <v>SK텔레콤 24팀</v>
          </cell>
          <cell r="J101" t="str">
            <v>스캠뱅가드</v>
          </cell>
          <cell r="K101" t="e">
            <v>#REF!</v>
          </cell>
          <cell r="L101" t="str">
            <v>2실</v>
          </cell>
          <cell r="M101" t="str">
            <v>서울시</v>
          </cell>
          <cell r="N101" t="str">
            <v>구로구</v>
          </cell>
        </row>
        <row r="102">
          <cell r="I102" t="str">
            <v>LG전자 5팀</v>
          </cell>
          <cell r="J102" t="str">
            <v>ThinkQ 앱검증</v>
          </cell>
          <cell r="K102" t="e">
            <v>#REF!</v>
          </cell>
          <cell r="L102" t="str">
            <v>1실</v>
          </cell>
          <cell r="M102" t="str">
            <v>서울시</v>
          </cell>
          <cell r="N102" t="str">
            <v>서초구</v>
          </cell>
        </row>
        <row r="103">
          <cell r="I103" t="str">
            <v>아이스크림미디어 2팀</v>
          </cell>
          <cell r="K103" t="e">
            <v>#REF!</v>
          </cell>
          <cell r="L103" t="str">
            <v>1실</v>
          </cell>
          <cell r="M103" t="str">
            <v>서울시</v>
          </cell>
          <cell r="N103" t="str">
            <v>강남구</v>
          </cell>
        </row>
        <row r="104">
          <cell r="I104" t="str">
            <v>큐게임즈 1팀</v>
          </cell>
          <cell r="K104" t="e">
            <v>#REF!</v>
          </cell>
          <cell r="L104" t="str">
            <v>2실</v>
          </cell>
          <cell r="M104" t="str">
            <v>서울시</v>
          </cell>
          <cell r="N104" t="str">
            <v>금천구</v>
          </cell>
        </row>
        <row r="105">
          <cell r="I105" t="str">
            <v>마인이스 1팀</v>
          </cell>
          <cell r="K105" t="e">
            <v>#REF!</v>
          </cell>
          <cell r="L105" t="str">
            <v>2실</v>
          </cell>
          <cell r="M105" t="str">
            <v>서울시</v>
          </cell>
          <cell r="N105" t="str">
            <v>강남구</v>
          </cell>
        </row>
        <row r="106">
          <cell r="I106" t="str">
            <v>삼성카드 4팀</v>
          </cell>
          <cell r="J106" t="str">
            <v>모니모 원앱 통합</v>
          </cell>
          <cell r="K106" t="e">
            <v>#REF!</v>
          </cell>
          <cell r="L106" t="str">
            <v>1실</v>
          </cell>
          <cell r="M106" t="str">
            <v>서울시</v>
          </cell>
          <cell r="N106" t="str">
            <v>중구</v>
          </cell>
        </row>
        <row r="107">
          <cell r="I107" t="str">
            <v>블루월넛 1팀</v>
          </cell>
          <cell r="J107" t="str">
            <v>페이서비스</v>
          </cell>
          <cell r="K107" t="e">
            <v>#REF!</v>
          </cell>
          <cell r="L107" t="str">
            <v>2실</v>
          </cell>
          <cell r="M107" t="str">
            <v>서울시</v>
          </cell>
          <cell r="N107" t="str">
            <v>영등포구</v>
          </cell>
        </row>
        <row r="108">
          <cell r="I108" t="str">
            <v>삼성생명 1팀</v>
          </cell>
          <cell r="K108" t="e">
            <v>#REF!</v>
          </cell>
          <cell r="L108" t="str">
            <v>1실</v>
          </cell>
          <cell r="M108" t="str">
            <v>서울시</v>
          </cell>
          <cell r="N108" t="str">
            <v>강남구</v>
          </cell>
        </row>
        <row r="109">
          <cell r="I109" t="str">
            <v>삼성카드 3팀</v>
          </cell>
          <cell r="J109" t="str">
            <v>카드대응QA</v>
          </cell>
          <cell r="K109" t="e">
            <v>#REF!</v>
          </cell>
          <cell r="L109" t="str">
            <v>1실</v>
          </cell>
          <cell r="M109" t="str">
            <v>서울시</v>
          </cell>
          <cell r="N109" t="str">
            <v>중구</v>
          </cell>
        </row>
        <row r="110">
          <cell r="I110" t="str">
            <v>GS리테일 5팀</v>
          </cell>
          <cell r="J110" t="str">
            <v>GIS구축</v>
          </cell>
          <cell r="K110" t="e">
            <v>#REF!</v>
          </cell>
          <cell r="L110" t="str">
            <v>2실</v>
          </cell>
          <cell r="M110" t="str">
            <v>서울시</v>
          </cell>
          <cell r="N110" t="str">
            <v>강남구</v>
          </cell>
        </row>
        <row r="111">
          <cell r="I111" t="str">
            <v>SK텔레콤 25팀</v>
          </cell>
          <cell r="J111" t="str">
            <v>T다이렉트샵(TDS)</v>
          </cell>
          <cell r="K111" t="e">
            <v>#REF!</v>
          </cell>
          <cell r="L111" t="str">
            <v>2실</v>
          </cell>
          <cell r="M111" t="str">
            <v>서울시</v>
          </cell>
          <cell r="N111" t="str">
            <v>구로구</v>
          </cell>
        </row>
        <row r="112">
          <cell r="I112" t="str">
            <v>우리카드 1팀</v>
          </cell>
          <cell r="K112" t="e">
            <v>#REF!</v>
          </cell>
          <cell r="L112" t="str">
            <v>2실</v>
          </cell>
          <cell r="M112" t="str">
            <v>서울시</v>
          </cell>
          <cell r="N112" t="str">
            <v>마포구</v>
          </cell>
        </row>
        <row r="113">
          <cell r="I113" t="str">
            <v>현대오토에버 8팀</v>
          </cell>
          <cell r="J113" t="str">
            <v>공장서열시스템</v>
          </cell>
          <cell r="K113" t="e">
            <v>#REF!</v>
          </cell>
          <cell r="L113" t="str">
            <v>2실</v>
          </cell>
          <cell r="M113" t="str">
            <v>서울시</v>
          </cell>
          <cell r="N113" t="str">
            <v>마포구</v>
          </cell>
        </row>
        <row r="114">
          <cell r="I114" t="str">
            <v>SK텔레콤 26팀</v>
          </cell>
          <cell r="J114" t="str">
            <v>GPUaas</v>
          </cell>
          <cell r="K114" t="e">
            <v>#REF!</v>
          </cell>
          <cell r="L114" t="str">
            <v>1실</v>
          </cell>
          <cell r="M114" t="str">
            <v>서울시</v>
          </cell>
          <cell r="N114" t="str">
            <v>금천구</v>
          </cell>
        </row>
        <row r="115">
          <cell r="I115" t="str">
            <v>삼성생명 2팀</v>
          </cell>
          <cell r="J115" t="str">
            <v>ERP 검증</v>
          </cell>
          <cell r="K115" t="e">
            <v>#REF!</v>
          </cell>
          <cell r="L115" t="str">
            <v>3실</v>
          </cell>
          <cell r="M115" t="str">
            <v>서울시</v>
          </cell>
          <cell r="N115" t="str">
            <v>서초구</v>
          </cell>
        </row>
        <row r="116">
          <cell r="I116" t="str">
            <v>흥국생명 2팀</v>
          </cell>
          <cell r="J116" t="str">
            <v>차세대</v>
          </cell>
          <cell r="K116" t="e">
            <v>#REF!</v>
          </cell>
          <cell r="L116" t="str">
            <v>3실</v>
          </cell>
          <cell r="M116" t="str">
            <v>서울시</v>
          </cell>
          <cell r="N116" t="str">
            <v>마포구</v>
          </cell>
        </row>
        <row r="117">
          <cell r="I117" t="str">
            <v>신한은행 2팀</v>
          </cell>
          <cell r="J117" t="str">
            <v>모바일 뱅킹 고도화</v>
          </cell>
          <cell r="K117" t="e">
            <v>#REF!</v>
          </cell>
          <cell r="L117" t="str">
            <v>1실</v>
          </cell>
          <cell r="M117" t="str">
            <v>서울시</v>
          </cell>
          <cell r="N117" t="str">
            <v>마포구</v>
          </cell>
        </row>
        <row r="118">
          <cell r="I118" t="str">
            <v>GS리테일 6팀</v>
          </cell>
          <cell r="J118" t="str">
            <v>홈쇼핑 위드넷 현대화</v>
          </cell>
          <cell r="K118" t="e">
            <v>#REF!</v>
          </cell>
          <cell r="L118" t="str">
            <v>3실</v>
          </cell>
          <cell r="M118" t="str">
            <v>서울시</v>
          </cell>
          <cell r="N118" t="str">
            <v>영등포구</v>
          </cell>
        </row>
        <row r="119">
          <cell r="I119" t="str">
            <v>뱅크웨어글로벌 1팀</v>
          </cell>
          <cell r="K119" t="e">
            <v>#REF!</v>
          </cell>
          <cell r="L119" t="str">
            <v>2실</v>
          </cell>
          <cell r="M119" t="str">
            <v>서울시</v>
          </cell>
          <cell r="N119" t="str">
            <v>종로구</v>
          </cell>
        </row>
        <row r="120">
          <cell r="I120" t="str">
            <v>뱅크웨어글로벌 2팀</v>
          </cell>
          <cell r="K120" t="e">
            <v>#REF!</v>
          </cell>
          <cell r="L120" t="str">
            <v>2실</v>
          </cell>
          <cell r="M120" t="str">
            <v>서울시</v>
          </cell>
          <cell r="N120" t="str">
            <v>종로구</v>
          </cell>
        </row>
        <row r="121">
          <cell r="I121" t="str">
            <v>SK텔레콤 27팀</v>
          </cell>
          <cell r="K121" t="e">
            <v>#REF!</v>
          </cell>
          <cell r="L121" t="str">
            <v>1실</v>
          </cell>
          <cell r="M121" t="str">
            <v>서울시</v>
          </cell>
          <cell r="N121" t="str">
            <v>금천구</v>
          </cell>
        </row>
        <row r="122">
          <cell r="I122" t="str">
            <v>GS리테일 7팀</v>
          </cell>
          <cell r="K122" t="e">
            <v>#REF!</v>
          </cell>
          <cell r="L122" t="str">
            <v>2실</v>
          </cell>
          <cell r="M122" t="str">
            <v>서울시</v>
          </cell>
          <cell r="N122" t="str">
            <v>영등포구</v>
          </cell>
        </row>
        <row r="123">
          <cell r="I123" t="str">
            <v>새마을금고 1팀</v>
          </cell>
          <cell r="K123" t="e">
            <v>#REF!</v>
          </cell>
          <cell r="L123" t="str">
            <v>1실</v>
          </cell>
          <cell r="M123" t="str">
            <v>서울시</v>
          </cell>
          <cell r="N123" t="str">
            <v>강서구</v>
          </cell>
        </row>
        <row r="124">
          <cell r="I124" t="str">
            <v>삼성물산 1팀</v>
          </cell>
          <cell r="K124" t="e">
            <v>#REF!</v>
          </cell>
          <cell r="L124" t="str">
            <v>1실</v>
          </cell>
          <cell r="M124" t="str">
            <v>서울시</v>
          </cell>
          <cell r="N124" t="str">
            <v>강동구</v>
          </cell>
        </row>
        <row r="125">
          <cell r="I125" t="str">
            <v>SK쉴더스 13팀</v>
          </cell>
          <cell r="K125" t="e">
            <v>#REF!</v>
          </cell>
          <cell r="L125" t="str">
            <v>2실</v>
          </cell>
          <cell r="M125" t="str">
            <v>서울시</v>
          </cell>
          <cell r="N125" t="str">
            <v>성동구</v>
          </cell>
        </row>
        <row r="126">
          <cell r="I126" t="str">
            <v>SK브로드밴드 1팀</v>
          </cell>
          <cell r="K126" t="e">
            <v>#REF!</v>
          </cell>
          <cell r="L126" t="str">
            <v>1실</v>
          </cell>
          <cell r="M126" t="str">
            <v>서울시</v>
          </cell>
          <cell r="N126" t="str">
            <v>중구</v>
          </cell>
        </row>
        <row r="129">
          <cell r="K129" t="e">
            <v>#VALUE!</v>
          </cell>
        </row>
        <row r="130">
          <cell r="I130" t="str">
            <v>데얼스</v>
          </cell>
          <cell r="K130" t="e">
            <v>#REF!</v>
          </cell>
          <cell r="L130" t="str">
            <v>2실</v>
          </cell>
          <cell r="M130" t="str">
            <v>서울시</v>
          </cell>
          <cell r="N130" t="str">
            <v>금천구</v>
          </cell>
        </row>
        <row r="131">
          <cell r="I131" t="str">
            <v>트립스토어</v>
          </cell>
          <cell r="K131" t="e">
            <v>#REF!</v>
          </cell>
          <cell r="L131" t="str">
            <v>2실</v>
          </cell>
          <cell r="M131" t="str">
            <v>서울시</v>
          </cell>
          <cell r="N131" t="str">
            <v>금천구</v>
          </cell>
        </row>
        <row r="132">
          <cell r="I132" t="str">
            <v>스타벅스 1팀</v>
          </cell>
          <cell r="K132" t="e">
            <v>#REF!</v>
          </cell>
          <cell r="L132" t="str">
            <v>2실</v>
          </cell>
          <cell r="M132" t="str">
            <v>서울시</v>
          </cell>
          <cell r="N132" t="str">
            <v>금천구</v>
          </cell>
        </row>
        <row r="133">
          <cell r="I133" t="str">
            <v>스타벅스 2팀</v>
          </cell>
          <cell r="K133" t="e">
            <v>#REF!</v>
          </cell>
          <cell r="L133" t="str">
            <v>2실</v>
          </cell>
          <cell r="M133" t="str">
            <v>서울시</v>
          </cell>
          <cell r="N133" t="str">
            <v>금천구</v>
          </cell>
        </row>
        <row r="134">
          <cell r="I134" t="str">
            <v>맘스테이</v>
          </cell>
          <cell r="K134" t="e">
            <v>#REF!</v>
          </cell>
          <cell r="L134" t="str">
            <v>2실</v>
          </cell>
          <cell r="M134" t="str">
            <v>서울시</v>
          </cell>
          <cell r="N134" t="str">
            <v>금천구</v>
          </cell>
        </row>
        <row r="135">
          <cell r="I135" t="str">
            <v>산업의역군 1팀</v>
          </cell>
          <cell r="K135" t="e">
            <v>#REF!</v>
          </cell>
          <cell r="L135" t="str">
            <v>2실</v>
          </cell>
          <cell r="M135" t="str">
            <v>서울시</v>
          </cell>
          <cell r="N135" t="str">
            <v>금천구</v>
          </cell>
        </row>
        <row r="136">
          <cell r="I136" t="str">
            <v>스퀘어스</v>
          </cell>
          <cell r="K136" t="e">
            <v>#REF!</v>
          </cell>
          <cell r="L136" t="str">
            <v>2실</v>
          </cell>
          <cell r="M136" t="str">
            <v>서울시</v>
          </cell>
          <cell r="N136" t="str">
            <v>금천구</v>
          </cell>
        </row>
        <row r="137">
          <cell r="I137" t="str">
            <v>스마터</v>
          </cell>
          <cell r="K137" t="e">
            <v>#REF!</v>
          </cell>
          <cell r="L137" t="str">
            <v>2실</v>
          </cell>
          <cell r="M137" t="str">
            <v>서울시</v>
          </cell>
          <cell r="N137" t="str">
            <v>금천구</v>
          </cell>
        </row>
        <row r="138">
          <cell r="K138" t="e">
            <v>#REF!</v>
          </cell>
          <cell r="L138" t="str">
            <v>2실</v>
          </cell>
          <cell r="M138" t="str">
            <v>서울시</v>
          </cell>
          <cell r="N138" t="str">
            <v>금천구</v>
          </cell>
        </row>
        <row r="139">
          <cell r="I139" t="str">
            <v>산업의 역군 2팀</v>
          </cell>
          <cell r="K139" t="e">
            <v>#REF!</v>
          </cell>
          <cell r="L139" t="str">
            <v>2실</v>
          </cell>
          <cell r="M139" t="str">
            <v>서울시</v>
          </cell>
          <cell r="N139" t="str">
            <v>금천구</v>
          </cell>
        </row>
        <row r="140">
          <cell r="I140" t="str">
            <v>군돌이, 픽플리</v>
          </cell>
          <cell r="K140" t="e">
            <v>#REF!</v>
          </cell>
          <cell r="L140" t="str">
            <v>2실</v>
          </cell>
          <cell r="M140" t="str">
            <v>서울시</v>
          </cell>
          <cell r="N140" t="str">
            <v>금천구</v>
          </cell>
        </row>
        <row r="142">
          <cell r="K142" t="e">
            <v>#VALUE!</v>
          </cell>
        </row>
        <row r="143">
          <cell r="I143" t="str">
            <v>LIG넥스원</v>
          </cell>
          <cell r="K143" t="e">
            <v>#REF!</v>
          </cell>
          <cell r="L143" t="str">
            <v>개발연구소</v>
          </cell>
          <cell r="M143" t="str">
            <v>서울시</v>
          </cell>
          <cell r="N143" t="str">
            <v>강남구</v>
          </cell>
          <cell r="Y143" t="str">
            <v>시흥시</v>
          </cell>
          <cell r="Z143" t="str">
            <v>서남권</v>
          </cell>
        </row>
        <row r="144">
          <cell r="I144" t="str">
            <v>TMAP QA</v>
          </cell>
          <cell r="K144" t="e">
            <v>#REF!</v>
          </cell>
          <cell r="L144" t="str">
            <v>개발연구소</v>
          </cell>
          <cell r="M144" t="str">
            <v>서울시</v>
          </cell>
          <cell r="N144" t="str">
            <v>강남구</v>
          </cell>
          <cell r="Y144" t="str">
            <v>오산시</v>
          </cell>
          <cell r="Z144" t="str">
            <v>동남권</v>
          </cell>
        </row>
        <row r="145">
          <cell r="I145" t="str">
            <v>티맵모빌리티 자동화</v>
          </cell>
          <cell r="K145" t="e">
            <v>#REF!</v>
          </cell>
          <cell r="L145" t="str">
            <v>개발연구소</v>
          </cell>
          <cell r="M145" t="str">
            <v>서울시</v>
          </cell>
          <cell r="N145" t="str">
            <v>강남구</v>
          </cell>
          <cell r="Y145" t="str">
            <v>부평구</v>
          </cell>
          <cell r="Z145" t="str">
            <v>서남권</v>
          </cell>
        </row>
        <row r="146">
          <cell r="I146" t="str">
            <v>웅진씽크빅 자동화</v>
          </cell>
          <cell r="K146" t="e">
            <v>#REF!</v>
          </cell>
          <cell r="L146" t="str">
            <v>개발연구소</v>
          </cell>
          <cell r="M146" t="str">
            <v>서울시</v>
          </cell>
          <cell r="N146" t="str">
            <v>강남구</v>
          </cell>
          <cell r="Y146" t="str">
            <v>용인시</v>
          </cell>
          <cell r="Z146" t="str">
            <v>동남권</v>
          </cell>
        </row>
        <row r="147">
          <cell r="I147" t="str">
            <v>중기발</v>
          </cell>
          <cell r="K147" t="e">
            <v>#REF!</v>
          </cell>
          <cell r="L147" t="str">
            <v>개발연구소</v>
          </cell>
          <cell r="M147" t="str">
            <v>서울시</v>
          </cell>
          <cell r="N147" t="str">
            <v>강남구</v>
          </cell>
          <cell r="Y147" t="str">
            <v>남동구</v>
          </cell>
          <cell r="Z147" t="str">
            <v>서남권</v>
          </cell>
        </row>
        <row r="148">
          <cell r="I148" t="str">
            <v>TMAP JIRA Sync</v>
          </cell>
          <cell r="K148" t="e">
            <v>#REF!</v>
          </cell>
          <cell r="L148" t="str">
            <v>개발연구소</v>
          </cell>
          <cell r="M148" t="str">
            <v>서울시</v>
          </cell>
          <cell r="N148" t="str">
            <v>강남구</v>
          </cell>
          <cell r="Y148" t="str">
            <v>화성시</v>
          </cell>
          <cell r="Z148" t="str">
            <v>서남권</v>
          </cell>
        </row>
        <row r="149">
          <cell r="I149" t="str">
            <v>TMAP Speech</v>
          </cell>
          <cell r="K149" t="e">
            <v>#REF!</v>
          </cell>
          <cell r="L149" t="str">
            <v>개발연구소</v>
          </cell>
          <cell r="M149" t="str">
            <v>서울시</v>
          </cell>
          <cell r="N149" t="str">
            <v>강남구</v>
          </cell>
          <cell r="Y149" t="str">
            <v>남양주시</v>
          </cell>
          <cell r="Z149" t="str">
            <v>동북권</v>
          </cell>
        </row>
        <row r="150">
          <cell r="I150" t="str">
            <v>한국자동차연구원</v>
          </cell>
          <cell r="K150" t="e">
            <v>#REF!</v>
          </cell>
          <cell r="L150" t="str">
            <v>개발연구소</v>
          </cell>
          <cell r="M150" t="str">
            <v>서울시</v>
          </cell>
          <cell r="N150" t="str">
            <v>강남구</v>
          </cell>
        </row>
        <row r="151">
          <cell r="I151" t="str">
            <v>광주테크노파크 AI인증</v>
          </cell>
          <cell r="K151" t="e">
            <v>#REF!</v>
          </cell>
          <cell r="L151" t="str">
            <v>개발연구소</v>
          </cell>
          <cell r="M151" t="str">
            <v>서울시</v>
          </cell>
          <cell r="N151" t="str">
            <v>강남구</v>
          </cell>
        </row>
        <row r="152">
          <cell r="I152" t="str">
            <v>LIG넥스원(라이선스)</v>
          </cell>
          <cell r="K152" t="e">
            <v>#REF!</v>
          </cell>
          <cell r="L152" t="str">
            <v>개발연구소</v>
          </cell>
          <cell r="M152" t="str">
            <v>서울시</v>
          </cell>
          <cell r="N152" t="str">
            <v>강남구</v>
          </cell>
        </row>
        <row r="153">
          <cell r="I153" t="str">
            <v>TMAP TDE</v>
          </cell>
          <cell r="K153" t="e">
            <v>#REF!</v>
          </cell>
          <cell r="L153" t="str">
            <v>개발연구소</v>
          </cell>
          <cell r="M153" t="str">
            <v>서울시</v>
          </cell>
          <cell r="N153" t="str">
            <v>강남구</v>
          </cell>
        </row>
        <row r="154">
          <cell r="I154" t="str">
            <v>HMM</v>
          </cell>
          <cell r="K154" t="e">
            <v>#REF!</v>
          </cell>
          <cell r="L154" t="str">
            <v>개발연구소</v>
          </cell>
          <cell r="M154" t="str">
            <v>서울시</v>
          </cell>
          <cell r="N154" t="str">
            <v>강남구</v>
          </cell>
        </row>
        <row r="155">
          <cell r="I155" t="str">
            <v>티맵모빌리티 T-Hub</v>
          </cell>
          <cell r="K155" t="e">
            <v>#REF!</v>
          </cell>
          <cell r="L155" t="str">
            <v>개발연구소</v>
          </cell>
          <cell r="M155" t="str">
            <v>서울시</v>
          </cell>
          <cell r="N155" t="str">
            <v>강남구</v>
          </cell>
        </row>
        <row r="156">
          <cell r="I156" t="str">
            <v>한수원</v>
          </cell>
          <cell r="K156" t="e">
            <v>#REF!</v>
          </cell>
          <cell r="L156" t="str">
            <v>개발연구소</v>
          </cell>
          <cell r="M156" t="str">
            <v>서울시</v>
          </cell>
          <cell r="N156" t="str">
            <v>강남구</v>
          </cell>
        </row>
        <row r="157">
          <cell r="I157" t="str">
            <v>삼성카드 자동화</v>
          </cell>
          <cell r="K157" t="e">
            <v>#REF!</v>
          </cell>
          <cell r="L157" t="str">
            <v>개발연구소</v>
          </cell>
          <cell r="M157" t="str">
            <v>서울시</v>
          </cell>
          <cell r="N157" t="str">
            <v>강남구</v>
          </cell>
        </row>
        <row r="158">
          <cell r="I158" t="str">
            <v>VUX QA 자동화</v>
          </cell>
          <cell r="K158" t="e">
            <v>#REF!</v>
          </cell>
          <cell r="L158" t="str">
            <v>개발연구소</v>
          </cell>
          <cell r="M158" t="str">
            <v>서울시</v>
          </cell>
          <cell r="N158" t="str">
            <v>강남구</v>
          </cell>
        </row>
        <row r="159">
          <cell r="I159" t="str">
            <v>SKT시너지&amp;QA팀</v>
          </cell>
          <cell r="K159" t="e">
            <v>#REF!</v>
          </cell>
          <cell r="L159" t="str">
            <v>개발연구소</v>
          </cell>
          <cell r="M159" t="str">
            <v>서울시</v>
          </cell>
          <cell r="N159" t="str">
            <v>강남구</v>
          </cell>
        </row>
        <row r="160">
          <cell r="I160" t="str">
            <v>TAIS 기능강화</v>
          </cell>
          <cell r="K160" t="e">
            <v>#REF!</v>
          </cell>
          <cell r="L160" t="str">
            <v>개발연구소</v>
          </cell>
          <cell r="M160" t="str">
            <v>서울시</v>
          </cell>
          <cell r="N160" t="str">
            <v>강남구</v>
          </cell>
        </row>
        <row r="161">
          <cell r="I161" t="str">
            <v>XaaS기획</v>
          </cell>
          <cell r="K161" t="e">
            <v>#REF!</v>
          </cell>
          <cell r="L161" t="str">
            <v>개발연구소</v>
          </cell>
          <cell r="M161" t="str">
            <v>서울시</v>
          </cell>
          <cell r="N161" t="str">
            <v>강남구</v>
          </cell>
        </row>
        <row r="162">
          <cell r="I162" t="str">
            <v>개발연구소</v>
          </cell>
          <cell r="L162" t="str">
            <v>개발연구소</v>
          </cell>
          <cell r="M162" t="str">
            <v>서울시</v>
          </cell>
          <cell r="N162" t="str">
            <v>강남구</v>
          </cell>
        </row>
        <row r="163">
          <cell r="I163" t="str">
            <v>개발연구소장</v>
          </cell>
          <cell r="L163" t="str">
            <v>개발연구소</v>
          </cell>
          <cell r="M163" t="str">
            <v>서울시</v>
          </cell>
          <cell r="N163" t="str">
            <v>강남구</v>
          </cell>
        </row>
        <row r="168">
          <cell r="I168" t="str">
            <v>STE실</v>
          </cell>
          <cell r="L168" t="str">
            <v>STE실</v>
          </cell>
          <cell r="M168" t="str">
            <v>서울시</v>
          </cell>
          <cell r="N168" t="str">
            <v>강남구</v>
          </cell>
          <cell r="Y168" t="str">
            <v>의왕시</v>
          </cell>
          <cell r="Z168" t="str">
            <v>서남권</v>
          </cell>
        </row>
        <row r="169">
          <cell r="I169" t="str">
            <v>역량강화팀</v>
          </cell>
          <cell r="K169" t="e">
            <v>#REF!</v>
          </cell>
          <cell r="L169" t="str">
            <v>경영전략실</v>
          </cell>
          <cell r="M169" t="str">
            <v>서울시</v>
          </cell>
          <cell r="N169" t="str">
            <v>강남구</v>
          </cell>
          <cell r="Y169" t="str">
            <v>의왕시</v>
          </cell>
          <cell r="Z169" t="str">
            <v>서남권</v>
          </cell>
        </row>
        <row r="170">
          <cell r="I170" t="str">
            <v>대기자(연구소)</v>
          </cell>
          <cell r="K170" t="e">
            <v>#REF!</v>
          </cell>
          <cell r="L170" t="str">
            <v>개발연구소</v>
          </cell>
          <cell r="M170" t="str">
            <v>서울시</v>
          </cell>
          <cell r="N170" t="str">
            <v>강남구</v>
          </cell>
          <cell r="Y170" t="str">
            <v>김포시</v>
          </cell>
          <cell r="Z170" t="str">
            <v>서남권</v>
          </cell>
        </row>
        <row r="171">
          <cell r="I171" t="str">
            <v>대기자(STE)</v>
          </cell>
          <cell r="K171" t="e">
            <v>#REF!</v>
          </cell>
          <cell r="L171" t="str">
            <v>STE실</v>
          </cell>
          <cell r="M171" t="str">
            <v>서울시</v>
          </cell>
          <cell r="N171" t="str">
            <v>강남구</v>
          </cell>
          <cell r="Y171" t="str">
            <v>이천시</v>
          </cell>
          <cell r="Z171" t="str">
            <v>동남권</v>
          </cell>
        </row>
        <row r="172">
          <cell r="I172" t="str">
            <v>대기자(경영전략실)</v>
          </cell>
          <cell r="K172" t="e">
            <v>#REF!</v>
          </cell>
          <cell r="L172" t="str">
            <v>경영전략실</v>
          </cell>
          <cell r="M172" t="str">
            <v>서울시</v>
          </cell>
          <cell r="N172" t="str">
            <v>강남구</v>
          </cell>
        </row>
        <row r="173">
          <cell r="I173" t="str">
            <v>3실장</v>
          </cell>
          <cell r="K173" t="e">
            <v>#REF!</v>
          </cell>
          <cell r="L173" t="str">
            <v>3실</v>
          </cell>
          <cell r="M173" t="str">
            <v>서울시</v>
          </cell>
          <cell r="N173" t="str">
            <v>강남구</v>
          </cell>
        </row>
        <row r="174">
          <cell r="I174" t="str">
            <v>2실장</v>
          </cell>
          <cell r="K174" t="e">
            <v>#REF!</v>
          </cell>
          <cell r="L174" t="str">
            <v>2실</v>
          </cell>
          <cell r="M174" t="str">
            <v>서울시</v>
          </cell>
          <cell r="N174" t="str">
            <v>강남구</v>
          </cell>
          <cell r="Y174" t="str">
            <v>천안시</v>
          </cell>
          <cell r="Z174" t="str">
            <v>서남권</v>
          </cell>
        </row>
        <row r="175">
          <cell r="I175" t="str">
            <v>1실장</v>
          </cell>
          <cell r="K175" t="e">
            <v>#REF!</v>
          </cell>
          <cell r="L175" t="str">
            <v>1실</v>
          </cell>
          <cell r="M175" t="str">
            <v>서울시</v>
          </cell>
          <cell r="N175" t="str">
            <v>강남구</v>
          </cell>
          <cell r="Y175" t="str">
            <v>광명시</v>
          </cell>
          <cell r="Z175" t="str">
            <v>서남권</v>
          </cell>
        </row>
        <row r="176">
          <cell r="I176" t="str">
            <v>사업전략팀</v>
          </cell>
          <cell r="K176" t="e">
            <v>#REF!</v>
          </cell>
          <cell r="L176" t="str">
            <v>경영전략실</v>
          </cell>
          <cell r="M176" t="str">
            <v>서울시</v>
          </cell>
          <cell r="N176" t="str">
            <v>강남구</v>
          </cell>
          <cell r="Y176" t="str">
            <v>연수구</v>
          </cell>
          <cell r="Z176" t="str">
            <v>서남권</v>
          </cell>
        </row>
        <row r="177">
          <cell r="I177" t="str">
            <v>임원</v>
          </cell>
          <cell r="K177" t="e">
            <v>#REF!</v>
          </cell>
          <cell r="L177" t="str">
            <v>경영전략실</v>
          </cell>
          <cell r="M177" t="str">
            <v>서울시</v>
          </cell>
          <cell r="N177" t="str">
            <v>강남구</v>
          </cell>
        </row>
        <row r="178">
          <cell r="I178" t="str">
            <v>경영지원팀</v>
          </cell>
          <cell r="K178" t="e">
            <v>#REF!</v>
          </cell>
          <cell r="L178" t="str">
            <v>경영전략실</v>
          </cell>
          <cell r="M178" t="str">
            <v>서울시</v>
          </cell>
          <cell r="N178" t="str">
            <v>강남구</v>
          </cell>
          <cell r="Y178" t="str">
            <v>양주시</v>
          </cell>
          <cell r="Z178" t="str">
            <v>동북권</v>
          </cell>
        </row>
        <row r="179">
          <cell r="Y179" t="str">
            <v>서구</v>
          </cell>
          <cell r="Z179" t="str">
            <v>서남권</v>
          </cell>
        </row>
        <row r="180">
          <cell r="Y180" t="str">
            <v>부천시</v>
          </cell>
          <cell r="Z180" t="str">
            <v>서남권</v>
          </cell>
        </row>
        <row r="181">
          <cell r="Y181" t="str">
            <v>의정부시</v>
          </cell>
          <cell r="Z181" t="str">
            <v>동북권</v>
          </cell>
        </row>
        <row r="182">
          <cell r="Y182" t="str">
            <v>계양구</v>
          </cell>
          <cell r="Z182" t="str">
            <v>서남권</v>
          </cell>
        </row>
        <row r="183">
          <cell r="Y183" t="str">
            <v>평택시</v>
          </cell>
          <cell r="Z183" t="str">
            <v>서남권</v>
          </cell>
        </row>
      </sheetData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근무시간 분석"/>
      <sheetName val="1-1. 개인별 급여분석"/>
      <sheetName val="1-2. 실수령예상"/>
      <sheetName val="1-3. 간이세액표"/>
      <sheetName val="2-1. 월~토 김소명,이혜원(연차비포괄)"/>
      <sheetName val="2-2. 월~토 조희숙(연차포괄)"/>
      <sheetName val="2-3. 월~토 스케줄 - 간호직 기본양식(연차포괄)"/>
      <sheetName val="2-4. 월~토 스케줄 - 최재하"/>
      <sheetName val="2-5. 월~토 스케줄 도수치료(연차비포괄)"/>
      <sheetName val="2-5''. 류경덕,안하늘,손필훈근로계약서(퇴직금 조정)"/>
      <sheetName val="2-10. 근로계약서-식당(전애자, 주급)"/>
      <sheetName val="2-7. 근로계약서 - 검사실, 영업직,데스크"/>
      <sheetName val="2-7. 근로계약서 - 서혜원(정상계약서)"/>
      <sheetName val="2-7. 근로계약서 - 서혜원(세금신고용)"/>
      <sheetName val="2-8. 근로계약서 - 청소(월~토)"/>
      <sheetName val="2-8. 근로계약서 - 청소(월~금)"/>
      <sheetName val="2-9. 근로계약서 - 야간당직"/>
      <sheetName val="2-10. 근로계약서 -야간당직"/>
      <sheetName val="3-1. 연봉계약서 (야간 당직)"/>
      <sheetName val="3-3. 연봉계약서 (안재신)"/>
    </sheetNames>
    <sheetDataSet>
      <sheetData sheetId="0"/>
      <sheetData sheetId="1">
        <row r="5">
          <cell r="B5" t="str">
            <v>김늘</v>
          </cell>
          <cell r="C5" t="str">
            <v>89.09.22</v>
          </cell>
          <cell r="D5">
            <v>44348</v>
          </cell>
          <cell r="E5" t="str">
            <v>한의원부원장</v>
          </cell>
          <cell r="F5">
            <v>209</v>
          </cell>
          <cell r="G5">
            <v>78</v>
          </cell>
          <cell r="H5">
            <v>52</v>
          </cell>
          <cell r="I5">
            <v>18</v>
          </cell>
          <cell r="J5">
            <v>305</v>
          </cell>
          <cell r="K5">
            <v>73505400</v>
          </cell>
          <cell r="L5">
            <v>6125450</v>
          </cell>
          <cell r="M5">
            <v>20083.442622950821</v>
          </cell>
          <cell r="N5">
            <v>4097439.5081967218</v>
          </cell>
          <cell r="O5">
            <v>100000</v>
          </cell>
          <cell r="P5">
            <v>1566509</v>
          </cell>
          <cell r="Q5">
            <v>361501</v>
          </cell>
          <cell r="R5">
            <v>6125449.5081967218</v>
          </cell>
        </row>
        <row r="6">
          <cell r="B6" t="str">
            <v>이혜원</v>
          </cell>
          <cell r="C6" t="str">
            <v>83.07.14</v>
          </cell>
          <cell r="D6">
            <v>42948</v>
          </cell>
          <cell r="E6" t="str">
            <v>간호직</v>
          </cell>
          <cell r="F6">
            <v>209</v>
          </cell>
          <cell r="G6">
            <v>33</v>
          </cell>
          <cell r="H6">
            <v>22</v>
          </cell>
          <cell r="I6">
            <v>0</v>
          </cell>
          <cell r="J6">
            <v>242</v>
          </cell>
          <cell r="K6">
            <v>42086760</v>
          </cell>
          <cell r="L6">
            <v>3507230</v>
          </cell>
          <cell r="M6">
            <v>14492.685950413223</v>
          </cell>
          <cell r="N6">
            <v>2928971.3636363633</v>
          </cell>
          <cell r="O6">
            <v>100000</v>
          </cell>
          <cell r="P6">
            <v>478258.63636363635</v>
          </cell>
          <cell r="Q6">
            <v>0</v>
          </cell>
          <cell r="R6">
            <v>3507229.9999999995</v>
          </cell>
        </row>
        <row r="7">
          <cell r="B7" t="str">
            <v>조희숙</v>
          </cell>
          <cell r="C7" t="str">
            <v>74.09.01</v>
          </cell>
          <cell r="D7">
            <v>43950</v>
          </cell>
          <cell r="E7" t="str">
            <v>간호직</v>
          </cell>
          <cell r="F7">
            <v>209</v>
          </cell>
          <cell r="G7">
            <v>33</v>
          </cell>
          <cell r="H7">
            <v>22</v>
          </cell>
          <cell r="I7">
            <v>8</v>
          </cell>
          <cell r="J7">
            <v>250</v>
          </cell>
          <cell r="K7">
            <v>44342880</v>
          </cell>
          <cell r="L7">
            <v>3695240</v>
          </cell>
          <cell r="M7">
            <v>14780.96</v>
          </cell>
          <cell r="N7">
            <v>2989221</v>
          </cell>
          <cell r="O7">
            <v>100000</v>
          </cell>
          <cell r="P7">
            <v>487771</v>
          </cell>
          <cell r="Q7">
            <v>118247.67999999999</v>
          </cell>
          <cell r="R7">
            <v>3695239.68</v>
          </cell>
        </row>
        <row r="8">
          <cell r="B8" t="str">
            <v>서윤옥</v>
          </cell>
          <cell r="C8" t="str">
            <v>77.09.02</v>
          </cell>
          <cell r="D8">
            <v>43586</v>
          </cell>
          <cell r="E8" t="str">
            <v>간호직</v>
          </cell>
          <cell r="F8">
            <v>209</v>
          </cell>
          <cell r="G8">
            <v>26</v>
          </cell>
          <cell r="H8">
            <v>17</v>
          </cell>
          <cell r="I8">
            <v>8</v>
          </cell>
          <cell r="J8">
            <v>243</v>
          </cell>
          <cell r="K8">
            <v>31098960</v>
          </cell>
          <cell r="L8">
            <v>2591580</v>
          </cell>
          <cell r="M8">
            <v>10664.938271604939</v>
          </cell>
          <cell r="N8">
            <v>2228972.0987654324</v>
          </cell>
          <cell r="P8">
            <v>277288.39506172843</v>
          </cell>
          <cell r="Q8">
            <v>85319.506172839509</v>
          </cell>
          <cell r="R8">
            <v>2591580.0000000005</v>
          </cell>
        </row>
        <row r="9">
          <cell r="B9" t="str">
            <v>인현숙</v>
          </cell>
          <cell r="C9" t="str">
            <v>71.05.08</v>
          </cell>
          <cell r="D9">
            <v>44060</v>
          </cell>
          <cell r="E9" t="str">
            <v>간호직</v>
          </cell>
          <cell r="F9">
            <v>209</v>
          </cell>
          <cell r="G9">
            <v>9.776250000000001</v>
          </cell>
          <cell r="H9">
            <v>7</v>
          </cell>
          <cell r="I9">
            <v>8</v>
          </cell>
          <cell r="J9">
            <v>226.77625</v>
          </cell>
          <cell r="K9">
            <v>26800320</v>
          </cell>
          <cell r="L9">
            <v>2233360</v>
          </cell>
          <cell r="M9">
            <v>9848.29760612057</v>
          </cell>
          <cell r="N9">
            <v>2058294</v>
          </cell>
          <cell r="P9">
            <v>96280</v>
          </cell>
          <cell r="Q9">
            <v>78786.38084896456</v>
          </cell>
          <cell r="R9">
            <v>2233360.3808489647</v>
          </cell>
        </row>
        <row r="10">
          <cell r="B10" t="str">
            <v>김진아</v>
          </cell>
          <cell r="C10" t="str">
            <v>72.11.17</v>
          </cell>
          <cell r="D10">
            <v>44075</v>
          </cell>
          <cell r="E10" t="str">
            <v>간호직</v>
          </cell>
          <cell r="F10">
            <v>209</v>
          </cell>
          <cell r="G10">
            <v>9.776250000000001</v>
          </cell>
          <cell r="H10">
            <v>7</v>
          </cell>
          <cell r="I10">
            <v>8</v>
          </cell>
          <cell r="J10">
            <v>226.77625</v>
          </cell>
          <cell r="K10">
            <v>26800320</v>
          </cell>
          <cell r="L10">
            <v>2233360</v>
          </cell>
          <cell r="M10">
            <v>9848.29760612057</v>
          </cell>
          <cell r="N10">
            <v>2058294</v>
          </cell>
          <cell r="P10">
            <v>96280</v>
          </cell>
          <cell r="Q10">
            <v>78786.38084896456</v>
          </cell>
          <cell r="R10">
            <v>2233360.3808489647</v>
          </cell>
        </row>
        <row r="11">
          <cell r="B11" t="str">
            <v>국정하</v>
          </cell>
          <cell r="C11" t="str">
            <v>73.12.25</v>
          </cell>
          <cell r="D11">
            <v>44075</v>
          </cell>
          <cell r="E11" t="str">
            <v>간호직</v>
          </cell>
          <cell r="F11">
            <v>209</v>
          </cell>
          <cell r="G11">
            <v>9.776250000000001</v>
          </cell>
          <cell r="H11">
            <v>7</v>
          </cell>
          <cell r="I11">
            <v>8</v>
          </cell>
          <cell r="J11">
            <v>226.77625</v>
          </cell>
          <cell r="K11">
            <v>26800320</v>
          </cell>
          <cell r="L11">
            <v>2233360</v>
          </cell>
          <cell r="M11">
            <v>9848.29760612057</v>
          </cell>
          <cell r="N11">
            <v>2058294</v>
          </cell>
          <cell r="P11">
            <v>96280</v>
          </cell>
          <cell r="Q11">
            <v>78786.38084896456</v>
          </cell>
          <cell r="R11">
            <v>2233360.3808489647</v>
          </cell>
        </row>
        <row r="12">
          <cell r="B12" t="str">
            <v>류경덕</v>
          </cell>
          <cell r="C12" t="str">
            <v>89.12.21</v>
          </cell>
          <cell r="D12">
            <v>43957</v>
          </cell>
          <cell r="E12" t="str">
            <v>물리치료실</v>
          </cell>
          <cell r="F12">
            <v>209</v>
          </cell>
          <cell r="G12">
            <v>78</v>
          </cell>
          <cell r="H12">
            <v>52</v>
          </cell>
          <cell r="I12">
            <v>0</v>
          </cell>
          <cell r="J12">
            <v>287</v>
          </cell>
          <cell r="K12">
            <v>45912120</v>
          </cell>
          <cell r="L12">
            <v>3826010</v>
          </cell>
          <cell r="M12">
            <v>13331.045296167247</v>
          </cell>
          <cell r="N12">
            <v>2686188.4668989545</v>
          </cell>
          <cell r="O12">
            <v>100000</v>
          </cell>
          <cell r="P12">
            <v>1039821.5331010453</v>
          </cell>
          <cell r="Q12">
            <v>0</v>
          </cell>
          <cell r="R12">
            <v>3826010</v>
          </cell>
        </row>
        <row r="13">
          <cell r="B13" t="str">
            <v>안하늘</v>
          </cell>
          <cell r="C13" t="str">
            <v>91.07.04</v>
          </cell>
          <cell r="D13">
            <v>43957</v>
          </cell>
          <cell r="E13" t="str">
            <v>물리치료실</v>
          </cell>
          <cell r="F13">
            <v>209</v>
          </cell>
          <cell r="G13">
            <v>78</v>
          </cell>
          <cell r="H13">
            <v>52</v>
          </cell>
          <cell r="I13">
            <v>0</v>
          </cell>
          <cell r="J13">
            <v>287</v>
          </cell>
          <cell r="K13">
            <v>41239920</v>
          </cell>
          <cell r="L13">
            <v>3436660</v>
          </cell>
          <cell r="M13">
            <v>11974.425087108013</v>
          </cell>
          <cell r="N13">
            <v>2402654.8432055749</v>
          </cell>
          <cell r="O13">
            <v>100000</v>
          </cell>
          <cell r="P13">
            <v>934005.15679442498</v>
          </cell>
          <cell r="Q13">
            <v>0</v>
          </cell>
          <cell r="R13">
            <v>3436660</v>
          </cell>
        </row>
        <row r="14">
          <cell r="B14" t="str">
            <v>손필훈</v>
          </cell>
          <cell r="C14" t="str">
            <v>92.07.01</v>
          </cell>
          <cell r="D14">
            <v>44378</v>
          </cell>
          <cell r="E14" t="str">
            <v>물리치료실</v>
          </cell>
          <cell r="F14">
            <v>209</v>
          </cell>
          <cell r="G14">
            <v>78</v>
          </cell>
          <cell r="H14">
            <v>52</v>
          </cell>
          <cell r="I14">
            <v>0</v>
          </cell>
          <cell r="J14">
            <v>287</v>
          </cell>
          <cell r="K14">
            <v>41239920</v>
          </cell>
          <cell r="L14">
            <v>3436660</v>
          </cell>
          <cell r="M14">
            <v>11974.425087108013</v>
          </cell>
          <cell r="N14">
            <v>2402654.8432055749</v>
          </cell>
          <cell r="O14">
            <v>100000</v>
          </cell>
          <cell r="P14">
            <v>934005.15679442498</v>
          </cell>
          <cell r="Q14">
            <v>0</v>
          </cell>
          <cell r="R14">
            <v>3436660</v>
          </cell>
        </row>
        <row r="15">
          <cell r="B15" t="str">
            <v>최재하</v>
          </cell>
          <cell r="C15" t="str">
            <v>79.03.19</v>
          </cell>
          <cell r="D15">
            <v>43957</v>
          </cell>
          <cell r="F15">
            <v>209</v>
          </cell>
          <cell r="G15">
            <v>33</v>
          </cell>
          <cell r="H15">
            <v>22</v>
          </cell>
          <cell r="I15">
            <v>8</v>
          </cell>
          <cell r="J15">
            <v>250</v>
          </cell>
          <cell r="K15">
            <v>32287320</v>
          </cell>
          <cell r="L15">
            <v>2690610</v>
          </cell>
          <cell r="M15">
            <v>10762.44</v>
          </cell>
          <cell r="N15">
            <v>2149350</v>
          </cell>
          <cell r="O15">
            <v>100000</v>
          </cell>
          <cell r="P15">
            <v>355160</v>
          </cell>
          <cell r="Q15">
            <v>86099.520000000004</v>
          </cell>
          <cell r="R15">
            <v>2690609.52</v>
          </cell>
        </row>
        <row r="16">
          <cell r="B16" t="str">
            <v>이현숙</v>
          </cell>
          <cell r="C16" t="str">
            <v>56.07.22</v>
          </cell>
          <cell r="D16">
            <v>43132</v>
          </cell>
          <cell r="E16" t="str">
            <v>식당</v>
          </cell>
          <cell r="F16">
            <v>209</v>
          </cell>
          <cell r="G16">
            <v>0</v>
          </cell>
          <cell r="H16">
            <v>0</v>
          </cell>
          <cell r="I16">
            <v>0</v>
          </cell>
          <cell r="J16">
            <v>209</v>
          </cell>
          <cell r="K16">
            <v>25513440</v>
          </cell>
          <cell r="L16">
            <v>2126120</v>
          </cell>
          <cell r="M16">
            <v>10172.822966507178</v>
          </cell>
          <cell r="N16">
            <v>2126120</v>
          </cell>
          <cell r="P16">
            <v>0</v>
          </cell>
          <cell r="Q16">
            <v>0</v>
          </cell>
          <cell r="R16">
            <v>2126120</v>
          </cell>
        </row>
        <row r="17">
          <cell r="B17" t="str">
            <v>이예슬</v>
          </cell>
          <cell r="C17" t="str">
            <v>92.05.12</v>
          </cell>
          <cell r="D17">
            <v>44536</v>
          </cell>
          <cell r="F17">
            <v>126</v>
          </cell>
          <cell r="G17">
            <v>33</v>
          </cell>
          <cell r="H17">
            <v>22</v>
          </cell>
          <cell r="I17">
            <v>0</v>
          </cell>
          <cell r="J17">
            <v>159</v>
          </cell>
          <cell r="K17">
            <v>74079600</v>
          </cell>
          <cell r="L17">
            <v>6173300</v>
          </cell>
          <cell r="M17">
            <v>38825.786163522011</v>
          </cell>
          <cell r="N17">
            <v>4892049</v>
          </cell>
          <cell r="P17">
            <v>1281251</v>
          </cell>
          <cell r="Q17">
            <v>0</v>
          </cell>
          <cell r="R17">
            <v>6173300</v>
          </cell>
        </row>
        <row r="18">
          <cell r="B18" t="str">
            <v>김인자</v>
          </cell>
          <cell r="C18" t="str">
            <v>58.07.15</v>
          </cell>
          <cell r="D18">
            <v>44322</v>
          </cell>
          <cell r="E18" t="str">
            <v>식당</v>
          </cell>
          <cell r="F18">
            <v>209</v>
          </cell>
          <cell r="G18">
            <v>33</v>
          </cell>
          <cell r="H18">
            <v>22</v>
          </cell>
          <cell r="I18">
            <v>0</v>
          </cell>
          <cell r="J18">
            <v>242</v>
          </cell>
          <cell r="K18">
            <v>25487280</v>
          </cell>
          <cell r="L18">
            <v>2235170</v>
          </cell>
          <cell r="M18">
            <v>9236.2396694214876</v>
          </cell>
          <cell r="N18">
            <v>1930374.0909090908</v>
          </cell>
          <cell r="P18">
            <v>304795.90909090912</v>
          </cell>
          <cell r="Q18">
            <v>0</v>
          </cell>
          <cell r="R18">
            <v>2235170</v>
          </cell>
        </row>
        <row r="19">
          <cell r="B19" t="str">
            <v>전애자</v>
          </cell>
          <cell r="C19" t="str">
            <v>66.02.03</v>
          </cell>
          <cell r="D19">
            <v>44348</v>
          </cell>
          <cell r="E19" t="str">
            <v>식당</v>
          </cell>
          <cell r="F19">
            <v>167</v>
          </cell>
          <cell r="G19">
            <v>65</v>
          </cell>
          <cell r="H19">
            <v>43</v>
          </cell>
          <cell r="I19">
            <v>0</v>
          </cell>
          <cell r="J19">
            <v>232</v>
          </cell>
          <cell r="K19">
            <v>26829120</v>
          </cell>
          <cell r="L19">
            <v>2235760</v>
          </cell>
          <cell r="M19">
            <v>9636.8965517241377</v>
          </cell>
          <cell r="N19">
            <v>1609361.7241379309</v>
          </cell>
          <cell r="P19">
            <v>626398.27586206899</v>
          </cell>
          <cell r="Q19">
            <v>0</v>
          </cell>
          <cell r="R19">
            <v>2235760</v>
          </cell>
        </row>
        <row r="20">
          <cell r="B20" t="str">
            <v>박미정</v>
          </cell>
          <cell r="C20" t="str">
            <v>59.07.14</v>
          </cell>
          <cell r="D20">
            <v>44417</v>
          </cell>
          <cell r="E20" t="str">
            <v>식당</v>
          </cell>
          <cell r="F20">
            <v>167</v>
          </cell>
          <cell r="G20">
            <v>39</v>
          </cell>
          <cell r="H20">
            <v>26</v>
          </cell>
          <cell r="I20">
            <v>0</v>
          </cell>
          <cell r="J20">
            <v>206</v>
          </cell>
          <cell r="K20">
            <v>22908720</v>
          </cell>
          <cell r="L20">
            <v>1909060</v>
          </cell>
          <cell r="M20">
            <v>9267.2815533980574</v>
          </cell>
          <cell r="N20">
            <v>1547636.0194174757</v>
          </cell>
          <cell r="P20">
            <v>361423.98058252427</v>
          </cell>
          <cell r="Q20">
            <v>0</v>
          </cell>
          <cell r="R20">
            <v>1909060</v>
          </cell>
        </row>
        <row r="21">
          <cell r="B21" t="str">
            <v>안재신</v>
          </cell>
          <cell r="C21" t="str">
            <v>57.08.11</v>
          </cell>
          <cell r="D21">
            <v>44322</v>
          </cell>
          <cell r="E21" t="str">
            <v>야간당직</v>
          </cell>
          <cell r="F21">
            <v>104</v>
          </cell>
          <cell r="G21">
            <v>43</v>
          </cell>
          <cell r="H21">
            <v>29</v>
          </cell>
          <cell r="I21">
            <v>0</v>
          </cell>
          <cell r="J21">
            <v>147</v>
          </cell>
          <cell r="K21">
            <v>16441800</v>
          </cell>
          <cell r="L21">
            <v>1370150</v>
          </cell>
          <cell r="M21">
            <v>9320.7482993197282</v>
          </cell>
          <cell r="N21">
            <v>969357.82312925172</v>
          </cell>
          <cell r="P21">
            <v>400792.17687074828</v>
          </cell>
          <cell r="Q21">
            <v>0</v>
          </cell>
          <cell r="R21">
            <v>1370150</v>
          </cell>
        </row>
        <row r="22">
          <cell r="B22" t="str">
            <v>양마로</v>
          </cell>
          <cell r="C22" t="str">
            <v>96.02.22</v>
          </cell>
          <cell r="D22">
            <v>44689</v>
          </cell>
          <cell r="E22" t="str">
            <v>야간당직</v>
          </cell>
          <cell r="F22">
            <v>128</v>
          </cell>
          <cell r="G22">
            <v>53</v>
          </cell>
          <cell r="J22">
            <v>181</v>
          </cell>
          <cell r="K22">
            <v>20006280</v>
          </cell>
          <cell r="L22">
            <v>1667190</v>
          </cell>
          <cell r="M22">
            <v>9210.9944751381208</v>
          </cell>
          <cell r="N22">
            <v>1179007.2928176795</v>
          </cell>
          <cell r="P22">
            <v>488182.70718232042</v>
          </cell>
          <cell r="Q22">
            <v>0</v>
          </cell>
          <cell r="R22">
            <v>1667190</v>
          </cell>
        </row>
        <row r="23">
          <cell r="B23" t="str">
            <v>이윤미</v>
          </cell>
          <cell r="C23" t="str">
            <v>87.03.20</v>
          </cell>
          <cell r="D23">
            <v>43647</v>
          </cell>
          <cell r="E23" t="str">
            <v>검사실</v>
          </cell>
          <cell r="F23">
            <v>167</v>
          </cell>
          <cell r="I23">
            <v>0</v>
          </cell>
          <cell r="J23">
            <v>167</v>
          </cell>
          <cell r="K23">
            <v>22694400</v>
          </cell>
          <cell r="L23">
            <v>1891200</v>
          </cell>
          <cell r="M23">
            <v>11324.550898203594</v>
          </cell>
          <cell r="N23">
            <v>1891200.0000000002</v>
          </cell>
          <cell r="P23">
            <v>0</v>
          </cell>
          <cell r="Q23">
            <v>0</v>
          </cell>
          <cell r="R23">
            <v>1891200.0000000002</v>
          </cell>
        </row>
        <row r="24">
          <cell r="B24" t="str">
            <v>최훈창</v>
          </cell>
          <cell r="C24" t="str">
            <v>83.08.01</v>
          </cell>
          <cell r="D24">
            <v>43710</v>
          </cell>
          <cell r="E24" t="str">
            <v>영업직</v>
          </cell>
          <cell r="F24">
            <v>209</v>
          </cell>
          <cell r="I24">
            <v>0</v>
          </cell>
          <cell r="J24">
            <v>209</v>
          </cell>
          <cell r="K24">
            <v>26800320</v>
          </cell>
          <cell r="L24">
            <v>2233360</v>
          </cell>
          <cell r="M24">
            <v>10685.933014354066</v>
          </cell>
          <cell r="N24">
            <v>2233360</v>
          </cell>
          <cell r="P24">
            <v>0</v>
          </cell>
          <cell r="Q24">
            <v>0</v>
          </cell>
          <cell r="R24">
            <v>2233360</v>
          </cell>
        </row>
        <row r="25">
          <cell r="B25" t="str">
            <v>진지애</v>
          </cell>
          <cell r="C25" t="str">
            <v>85.08.21</v>
          </cell>
          <cell r="D25">
            <v>43710</v>
          </cell>
          <cell r="E25" t="str">
            <v>영업직</v>
          </cell>
          <cell r="F25">
            <v>167</v>
          </cell>
          <cell r="I25">
            <v>0</v>
          </cell>
          <cell r="J25">
            <v>167</v>
          </cell>
          <cell r="K25">
            <v>22719000</v>
          </cell>
          <cell r="L25">
            <v>1893250</v>
          </cell>
          <cell r="M25">
            <v>11336.826347305388</v>
          </cell>
          <cell r="N25">
            <v>1893249.9999999998</v>
          </cell>
          <cell r="P25">
            <v>0</v>
          </cell>
          <cell r="Q25">
            <v>0</v>
          </cell>
          <cell r="R25">
            <v>1893249.9999999998</v>
          </cell>
        </row>
        <row r="26">
          <cell r="B26" t="str">
            <v>한시은</v>
          </cell>
          <cell r="C26" t="str">
            <v>85.10.22</v>
          </cell>
          <cell r="D26">
            <v>43498</v>
          </cell>
          <cell r="E26" t="str">
            <v>영업직</v>
          </cell>
          <cell r="F26">
            <v>167</v>
          </cell>
          <cell r="I26">
            <v>0</v>
          </cell>
          <cell r="J26">
            <v>167</v>
          </cell>
          <cell r="K26">
            <v>22719000</v>
          </cell>
          <cell r="L26">
            <v>1893250</v>
          </cell>
          <cell r="M26">
            <v>11336.826347305388</v>
          </cell>
          <cell r="N26">
            <v>1893249.9999999998</v>
          </cell>
          <cell r="P26">
            <v>0</v>
          </cell>
          <cell r="Q26">
            <v>0</v>
          </cell>
          <cell r="R26">
            <v>1893249.9999999998</v>
          </cell>
        </row>
        <row r="27">
          <cell r="B27" t="str">
            <v>전유리</v>
          </cell>
          <cell r="C27" t="str">
            <v>89.08.12</v>
          </cell>
          <cell r="D27">
            <v>43740</v>
          </cell>
          <cell r="E27" t="str">
            <v>영업직</v>
          </cell>
          <cell r="F27">
            <v>167</v>
          </cell>
          <cell r="I27">
            <v>0</v>
          </cell>
          <cell r="J27">
            <v>167</v>
          </cell>
          <cell r="K27">
            <v>22719000</v>
          </cell>
          <cell r="L27">
            <v>1893250</v>
          </cell>
          <cell r="M27">
            <v>11336.826347305388</v>
          </cell>
          <cell r="N27">
            <v>1893249.9999999998</v>
          </cell>
          <cell r="P27">
            <v>0</v>
          </cell>
          <cell r="Q27">
            <v>0</v>
          </cell>
          <cell r="R27">
            <v>1893249.9999999998</v>
          </cell>
        </row>
        <row r="28">
          <cell r="B28" t="str">
            <v>진재윤</v>
          </cell>
          <cell r="C28" t="str">
            <v>82.11.25</v>
          </cell>
          <cell r="D28">
            <v>44075</v>
          </cell>
          <cell r="E28" t="str">
            <v>영업직</v>
          </cell>
          <cell r="F28">
            <v>209</v>
          </cell>
          <cell r="I28">
            <v>0</v>
          </cell>
          <cell r="J28">
            <v>209</v>
          </cell>
          <cell r="K28">
            <v>57461880</v>
          </cell>
          <cell r="L28">
            <v>4788490</v>
          </cell>
          <cell r="M28">
            <v>22911.435406698565</v>
          </cell>
          <cell r="N28">
            <v>4788490</v>
          </cell>
          <cell r="P28">
            <v>0</v>
          </cell>
          <cell r="Q28">
            <v>0</v>
          </cell>
          <cell r="R28">
            <v>4788490</v>
          </cell>
        </row>
        <row r="29">
          <cell r="B29" t="str">
            <v>서상민</v>
          </cell>
          <cell r="C29" t="str">
            <v>78.12.02</v>
          </cell>
          <cell r="D29">
            <v>43957</v>
          </cell>
          <cell r="E29" t="str">
            <v>영업직</v>
          </cell>
          <cell r="F29">
            <v>209</v>
          </cell>
          <cell r="I29">
            <v>0</v>
          </cell>
          <cell r="J29">
            <v>209</v>
          </cell>
          <cell r="K29">
            <v>25456200</v>
          </cell>
          <cell r="L29">
            <v>2121350</v>
          </cell>
          <cell r="M29">
            <v>10150</v>
          </cell>
          <cell r="N29">
            <v>2121350</v>
          </cell>
          <cell r="P29">
            <v>0</v>
          </cell>
          <cell r="Q29">
            <v>0</v>
          </cell>
          <cell r="R29">
            <v>2121350</v>
          </cell>
        </row>
        <row r="30">
          <cell r="B30" t="str">
            <v>손가비</v>
          </cell>
          <cell r="C30" t="str">
            <v>92.01.17</v>
          </cell>
          <cell r="D30">
            <v>44287</v>
          </cell>
          <cell r="E30" t="str">
            <v>영업직</v>
          </cell>
          <cell r="F30">
            <v>167</v>
          </cell>
          <cell r="G30">
            <v>7</v>
          </cell>
          <cell r="H30">
            <v>5</v>
          </cell>
          <cell r="I30">
            <v>0</v>
          </cell>
          <cell r="J30">
            <v>174</v>
          </cell>
          <cell r="K30">
            <v>22719000</v>
          </cell>
          <cell r="L30">
            <v>1893250</v>
          </cell>
          <cell r="M30">
            <v>10880.747126436781</v>
          </cell>
          <cell r="N30">
            <v>1817084.7701149425</v>
          </cell>
          <cell r="P30">
            <v>76165.229885057473</v>
          </cell>
          <cell r="Q30">
            <v>0</v>
          </cell>
          <cell r="R30">
            <v>1893250</v>
          </cell>
        </row>
        <row r="31">
          <cell r="B31" t="str">
            <v>주기환</v>
          </cell>
          <cell r="C31" t="str">
            <v>85.12.02</v>
          </cell>
          <cell r="D31">
            <v>44682</v>
          </cell>
          <cell r="E31" t="str">
            <v>영업직</v>
          </cell>
          <cell r="F31">
            <v>167</v>
          </cell>
          <cell r="G31">
            <v>7</v>
          </cell>
          <cell r="H31">
            <v>5</v>
          </cell>
          <cell r="I31">
            <v>0</v>
          </cell>
          <cell r="J31">
            <v>174</v>
          </cell>
          <cell r="K31">
            <v>24078120</v>
          </cell>
          <cell r="L31">
            <v>2006510</v>
          </cell>
          <cell r="M31">
            <v>11531.666666666666</v>
          </cell>
          <cell r="N31">
            <v>1925788.3333333333</v>
          </cell>
          <cell r="P31">
            <v>80721.666666666657</v>
          </cell>
          <cell r="Q31">
            <v>0</v>
          </cell>
          <cell r="R31">
            <v>2006510</v>
          </cell>
        </row>
        <row r="32">
          <cell r="B32" t="str">
            <v>양혜진</v>
          </cell>
          <cell r="C32" t="str">
            <v>91.03.10</v>
          </cell>
          <cell r="D32">
            <v>44682</v>
          </cell>
          <cell r="E32" t="str">
            <v>영업직</v>
          </cell>
          <cell r="F32">
            <v>167</v>
          </cell>
          <cell r="G32">
            <v>7</v>
          </cell>
          <cell r="H32">
            <v>5</v>
          </cell>
          <cell r="I32">
            <v>0</v>
          </cell>
          <cell r="J32">
            <v>174</v>
          </cell>
          <cell r="K32">
            <v>24078120</v>
          </cell>
          <cell r="L32">
            <v>2006510</v>
          </cell>
          <cell r="M32">
            <v>11531.666666666666</v>
          </cell>
          <cell r="N32">
            <v>1925788.3333333333</v>
          </cell>
          <cell r="P32">
            <v>80721.666666666657</v>
          </cell>
          <cell r="Q32">
            <v>0</v>
          </cell>
          <cell r="R32">
            <v>2006510</v>
          </cell>
        </row>
        <row r="33">
          <cell r="B33" t="str">
            <v>김성묵</v>
          </cell>
          <cell r="C33" t="str">
            <v>87.01.17</v>
          </cell>
          <cell r="D33">
            <v>44713</v>
          </cell>
          <cell r="E33" t="str">
            <v>영업직</v>
          </cell>
          <cell r="F33">
            <v>167</v>
          </cell>
          <cell r="G33">
            <v>7</v>
          </cell>
          <cell r="H33">
            <v>5</v>
          </cell>
          <cell r="J33">
            <v>174</v>
          </cell>
          <cell r="K33">
            <v>22719000</v>
          </cell>
          <cell r="L33">
            <v>1893250</v>
          </cell>
          <cell r="M33">
            <v>10880.747126436781</v>
          </cell>
          <cell r="N33">
            <v>1817084.7701149425</v>
          </cell>
          <cell r="P33">
            <v>76165.229885057473</v>
          </cell>
          <cell r="Q33">
            <v>0</v>
          </cell>
          <cell r="R33">
            <v>1893250</v>
          </cell>
        </row>
        <row r="34">
          <cell r="B34" t="str">
            <v>홍다니엘</v>
          </cell>
          <cell r="C34" t="str">
            <v>93.08.16</v>
          </cell>
          <cell r="D34">
            <v>44713</v>
          </cell>
          <cell r="E34" t="str">
            <v>영업직</v>
          </cell>
          <cell r="F34">
            <v>167</v>
          </cell>
          <cell r="G34">
            <v>7</v>
          </cell>
          <cell r="H34">
            <v>5</v>
          </cell>
          <cell r="J34">
            <v>174</v>
          </cell>
          <cell r="K34">
            <v>22719000</v>
          </cell>
          <cell r="L34">
            <v>1893250</v>
          </cell>
          <cell r="M34">
            <v>10880.747126436781</v>
          </cell>
          <cell r="N34">
            <v>1817084.7701149425</v>
          </cell>
          <cell r="P34">
            <v>76165.229885057473</v>
          </cell>
          <cell r="Q34">
            <v>0</v>
          </cell>
          <cell r="R34">
            <v>1893250</v>
          </cell>
        </row>
        <row r="35">
          <cell r="B35" t="str">
            <v>염덕임</v>
          </cell>
          <cell r="C35" t="str">
            <v>67.12.20</v>
          </cell>
          <cell r="D35">
            <v>44348</v>
          </cell>
          <cell r="E35" t="str">
            <v>청소</v>
          </cell>
          <cell r="F35">
            <v>118</v>
          </cell>
          <cell r="G35">
            <v>12</v>
          </cell>
          <cell r="H35">
            <v>8</v>
          </cell>
          <cell r="I35">
            <v>4.5</v>
          </cell>
          <cell r="J35">
            <v>134.5</v>
          </cell>
          <cell r="K35">
            <v>17121480</v>
          </cell>
          <cell r="L35">
            <v>1426790</v>
          </cell>
          <cell r="M35">
            <v>10608.10408921933</v>
          </cell>
          <cell r="N35">
            <v>1151756</v>
          </cell>
          <cell r="O35">
            <v>100000</v>
          </cell>
          <cell r="P35">
            <v>127298</v>
          </cell>
          <cell r="Q35">
            <v>47736.468401486985</v>
          </cell>
          <cell r="R35">
            <v>1426790.468401487</v>
          </cell>
        </row>
        <row r="36">
          <cell r="B36" t="str">
            <v>김성식</v>
          </cell>
          <cell r="C36" t="str">
            <v>82.07.20</v>
          </cell>
          <cell r="D36">
            <v>44713</v>
          </cell>
          <cell r="F36">
            <v>209</v>
          </cell>
          <cell r="G36">
            <v>78</v>
          </cell>
          <cell r="H36">
            <v>52</v>
          </cell>
          <cell r="I36">
            <v>8</v>
          </cell>
          <cell r="J36">
            <v>295</v>
          </cell>
          <cell r="K36">
            <v>74079600</v>
          </cell>
          <cell r="L36">
            <v>6173300</v>
          </cell>
          <cell r="M36">
            <v>20926.4406779661</v>
          </cell>
          <cell r="N36">
            <v>4373626.1016949145</v>
          </cell>
          <cell r="P36">
            <v>1632262.3728813559</v>
          </cell>
          <cell r="Q36">
            <v>167411.5254237288</v>
          </cell>
          <cell r="R36">
            <v>6173299.9999999991</v>
          </cell>
        </row>
        <row r="37">
          <cell r="B37" t="str">
            <v>서혜원</v>
          </cell>
          <cell r="C37" t="str">
            <v>84.04.13</v>
          </cell>
          <cell r="D37">
            <v>44440</v>
          </cell>
          <cell r="E37" t="str">
            <v>간호조무사</v>
          </cell>
          <cell r="F37">
            <v>118</v>
          </cell>
          <cell r="G37">
            <v>46</v>
          </cell>
          <cell r="H37">
            <v>31</v>
          </cell>
          <cell r="I37">
            <v>4.5</v>
          </cell>
          <cell r="J37">
            <v>168.5</v>
          </cell>
          <cell r="K37">
            <v>18630960</v>
          </cell>
          <cell r="L37">
            <v>1552580</v>
          </cell>
          <cell r="M37">
            <v>9214.1246290801191</v>
          </cell>
          <cell r="N37">
            <v>1087266</v>
          </cell>
          <cell r="P37">
            <v>423850</v>
          </cell>
          <cell r="Q37">
            <v>41463.560830860537</v>
          </cell>
          <cell r="R37">
            <v>1552579.5608308606</v>
          </cell>
        </row>
        <row r="38">
          <cell r="B38" t="str">
            <v>서혜원(세금신고)</v>
          </cell>
          <cell r="C38" t="str">
            <v>84.04.13</v>
          </cell>
          <cell r="D38">
            <v>44440</v>
          </cell>
          <cell r="E38" t="str">
            <v>간호조무사</v>
          </cell>
          <cell r="F38">
            <v>59</v>
          </cell>
          <cell r="G38">
            <v>78</v>
          </cell>
          <cell r="H38">
            <v>52</v>
          </cell>
          <cell r="J38">
            <v>137</v>
          </cell>
          <cell r="K38">
            <v>16800000</v>
          </cell>
          <cell r="L38">
            <v>1400000</v>
          </cell>
          <cell r="M38">
            <v>10218.978102189782</v>
          </cell>
          <cell r="N38">
            <v>602919.70802919706</v>
          </cell>
          <cell r="P38">
            <v>797080</v>
          </cell>
          <cell r="Q38">
            <v>0</v>
          </cell>
          <cell r="R38">
            <v>1399999.7080291971</v>
          </cell>
        </row>
        <row r="39">
          <cell r="B39" t="str">
            <v>허혜정</v>
          </cell>
          <cell r="C39" t="str">
            <v xml:space="preserve">00.02.11 </v>
          </cell>
          <cell r="D39">
            <v>44445</v>
          </cell>
          <cell r="E39" t="str">
            <v>데스크</v>
          </cell>
          <cell r="F39">
            <v>209</v>
          </cell>
          <cell r="I39">
            <v>8</v>
          </cell>
          <cell r="J39">
            <v>217</v>
          </cell>
          <cell r="K39">
            <v>22710000</v>
          </cell>
          <cell r="L39">
            <v>1987720</v>
          </cell>
          <cell r="M39">
            <v>9160</v>
          </cell>
          <cell r="N39">
            <v>1914440</v>
          </cell>
          <cell r="P39">
            <v>0</v>
          </cell>
          <cell r="Q39">
            <v>73280</v>
          </cell>
          <cell r="R39">
            <v>1987720</v>
          </cell>
        </row>
        <row r="40">
          <cell r="B40" t="str">
            <v>정지현</v>
          </cell>
          <cell r="C40" t="str">
            <v>84.02.22</v>
          </cell>
          <cell r="D40">
            <v>44682</v>
          </cell>
          <cell r="F40">
            <v>209</v>
          </cell>
          <cell r="G40">
            <v>78</v>
          </cell>
          <cell r="H40">
            <v>52</v>
          </cell>
          <cell r="I40">
            <v>8</v>
          </cell>
          <cell r="J40">
            <v>295</v>
          </cell>
          <cell r="K40">
            <v>180000000</v>
          </cell>
          <cell r="L40">
            <v>15000000</v>
          </cell>
          <cell r="M40">
            <v>50847.457627118645</v>
          </cell>
          <cell r="N40">
            <v>10627119</v>
          </cell>
          <cell r="P40">
            <v>3966101.6949152541</v>
          </cell>
          <cell r="Q40">
            <v>406779.66101694916</v>
          </cell>
          <cell r="R40">
            <v>15000000.355932202</v>
          </cell>
        </row>
        <row r="41">
          <cell r="B41" t="str">
            <v>김진아(수습)</v>
          </cell>
          <cell r="C41" t="str">
            <v>72.11.17</v>
          </cell>
          <cell r="D41">
            <v>43957</v>
          </cell>
          <cell r="E41" t="str">
            <v>간호직</v>
          </cell>
          <cell r="F41">
            <v>209</v>
          </cell>
          <cell r="J41">
            <v>209</v>
          </cell>
          <cell r="K41">
            <v>24237600</v>
          </cell>
          <cell r="L41">
            <v>2019800</v>
          </cell>
          <cell r="M41">
            <v>9664.1148325358845</v>
          </cell>
          <cell r="N41">
            <v>2019799.9999999998</v>
          </cell>
          <cell r="P41">
            <v>0</v>
          </cell>
          <cell r="Q41">
            <v>0</v>
          </cell>
          <cell r="R41">
            <v>2019799.9999999998</v>
          </cell>
        </row>
        <row r="42">
          <cell r="B42" t="str">
            <v>국정하(수습)</v>
          </cell>
          <cell r="C42" t="str">
            <v>73.12.25</v>
          </cell>
          <cell r="D42">
            <v>43957</v>
          </cell>
          <cell r="E42" t="str">
            <v>간호직</v>
          </cell>
          <cell r="F42">
            <v>209</v>
          </cell>
          <cell r="J42">
            <v>209</v>
          </cell>
          <cell r="K42">
            <v>24237600</v>
          </cell>
          <cell r="L42">
            <v>2019800</v>
          </cell>
          <cell r="M42">
            <v>9664.1148325358845</v>
          </cell>
          <cell r="N42">
            <v>2019799.9999999998</v>
          </cell>
          <cell r="P42">
            <v>0</v>
          </cell>
          <cell r="Q42">
            <v>0</v>
          </cell>
          <cell r="R42">
            <v>2019799.9999999998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j.hong2@tbell.co.kr" TargetMode="External"/><Relationship Id="rId117" Type="http://schemas.openxmlformats.org/officeDocument/2006/relationships/hyperlink" Target="mailto:cw.lee@tbell.co.kr" TargetMode="External"/><Relationship Id="rId21" Type="http://schemas.openxmlformats.org/officeDocument/2006/relationships/hyperlink" Target="mailto:ks.hyun@tbell.co.kr" TargetMode="External"/><Relationship Id="rId42" Type="http://schemas.openxmlformats.org/officeDocument/2006/relationships/hyperlink" Target="mailto:yh.choi@tbell.co.kr" TargetMode="External"/><Relationship Id="rId47" Type="http://schemas.openxmlformats.org/officeDocument/2006/relationships/hyperlink" Target="mailto:yj.kang@tbell.co.kr" TargetMode="External"/><Relationship Id="rId63" Type="http://schemas.openxmlformats.org/officeDocument/2006/relationships/hyperlink" Target="mailto:jy.kim@tbell.co.kr" TargetMode="External"/><Relationship Id="rId68" Type="http://schemas.openxmlformats.org/officeDocument/2006/relationships/hyperlink" Target="mailto:jr.chae@tbell.co.kr" TargetMode="External"/><Relationship Id="rId84" Type="http://schemas.openxmlformats.org/officeDocument/2006/relationships/hyperlink" Target="mailto:sj.kang@tbell.co.kr" TargetMode="External"/><Relationship Id="rId89" Type="http://schemas.openxmlformats.org/officeDocument/2006/relationships/hyperlink" Target="mailto:sk.choi@tbell.co.kr" TargetMode="External"/><Relationship Id="rId112" Type="http://schemas.openxmlformats.org/officeDocument/2006/relationships/hyperlink" Target="mailto:gy.sung@tbell.co.kr" TargetMode="External"/><Relationship Id="rId16" Type="http://schemas.openxmlformats.org/officeDocument/2006/relationships/hyperlink" Target="mailto:mr.kim@tbell.co.kr" TargetMode="External"/><Relationship Id="rId107" Type="http://schemas.openxmlformats.org/officeDocument/2006/relationships/hyperlink" Target="mailto:ha.kim@tbell.co.kr" TargetMode="External"/><Relationship Id="rId11" Type="http://schemas.openxmlformats.org/officeDocument/2006/relationships/hyperlink" Target="mailto:yj.kim@tbell.co.kr" TargetMode="External"/><Relationship Id="rId32" Type="http://schemas.openxmlformats.org/officeDocument/2006/relationships/hyperlink" Target="mailto:jin.kim@tbell.co.kr" TargetMode="External"/><Relationship Id="rId37" Type="http://schemas.openxmlformats.org/officeDocument/2006/relationships/hyperlink" Target="mailto:sh.jeong@tbell.co.kr" TargetMode="External"/><Relationship Id="rId53" Type="http://schemas.openxmlformats.org/officeDocument/2006/relationships/hyperlink" Target="mailto:jr.lee@tbell.co.kr" TargetMode="External"/><Relationship Id="rId58" Type="http://schemas.openxmlformats.org/officeDocument/2006/relationships/hyperlink" Target="mailto:cy.kim@tbell.co.kr" TargetMode="External"/><Relationship Id="rId74" Type="http://schemas.openxmlformats.org/officeDocument/2006/relationships/hyperlink" Target="mailto:yk.kim2@tbell.co.kr" TargetMode="External"/><Relationship Id="rId79" Type="http://schemas.openxmlformats.org/officeDocument/2006/relationships/hyperlink" Target="mailto:yt.lee@tbell.co.kr" TargetMode="External"/><Relationship Id="rId102" Type="http://schemas.openxmlformats.org/officeDocument/2006/relationships/hyperlink" Target="mailto:yb.jin@tbell.co.kr" TargetMode="External"/><Relationship Id="rId5" Type="http://schemas.openxmlformats.org/officeDocument/2006/relationships/hyperlink" Target="mailto:sw.che@tbell.co.kr" TargetMode="External"/><Relationship Id="rId90" Type="http://schemas.openxmlformats.org/officeDocument/2006/relationships/hyperlink" Target="mailto:yo.kim@tbell.co.kr" TargetMode="External"/><Relationship Id="rId95" Type="http://schemas.openxmlformats.org/officeDocument/2006/relationships/hyperlink" Target="mailto:jw.shin@tbell.co.kr" TargetMode="External"/><Relationship Id="rId22" Type="http://schemas.openxmlformats.org/officeDocument/2006/relationships/hyperlink" Target="mailto:dh.keum@tbell.co.kr" TargetMode="External"/><Relationship Id="rId27" Type="http://schemas.openxmlformats.org/officeDocument/2006/relationships/hyperlink" Target="mailto:hk.kang@tbell.co.kr" TargetMode="External"/><Relationship Id="rId43" Type="http://schemas.openxmlformats.org/officeDocument/2006/relationships/hyperlink" Target="mailto:juwan.kim@tbell.co.kr" TargetMode="External"/><Relationship Id="rId48" Type="http://schemas.openxmlformats.org/officeDocument/2006/relationships/hyperlink" Target="mailto:js.an@tbell.co.kr" TargetMode="External"/><Relationship Id="rId64" Type="http://schemas.openxmlformats.org/officeDocument/2006/relationships/hyperlink" Target="mailto:sy.lee@tbell.co.kr" TargetMode="External"/><Relationship Id="rId69" Type="http://schemas.openxmlformats.org/officeDocument/2006/relationships/hyperlink" Target="mailto:gw.yuk@tbell.co.kr" TargetMode="External"/><Relationship Id="rId113" Type="http://schemas.openxmlformats.org/officeDocument/2006/relationships/hyperlink" Target="mailto:yj.lee@tbell.co.kr" TargetMode="External"/><Relationship Id="rId118" Type="http://schemas.openxmlformats.org/officeDocument/2006/relationships/hyperlink" Target="mailto:palpal07@naver.com" TargetMode="External"/><Relationship Id="rId80" Type="http://schemas.openxmlformats.org/officeDocument/2006/relationships/hyperlink" Target="mailto:jh.lee@tbell.co.kr" TargetMode="External"/><Relationship Id="rId85" Type="http://schemas.openxmlformats.org/officeDocument/2006/relationships/hyperlink" Target="mailto:dy.jang@tbell.co.kr" TargetMode="External"/><Relationship Id="rId12" Type="http://schemas.openxmlformats.org/officeDocument/2006/relationships/hyperlink" Target="mailto:gs.kim@tbell.co.kr" TargetMode="External"/><Relationship Id="rId17" Type="http://schemas.openxmlformats.org/officeDocument/2006/relationships/hyperlink" Target="mailto:sh.lee3@tbell.co.kr" TargetMode="External"/><Relationship Id="rId33" Type="http://schemas.openxmlformats.org/officeDocument/2006/relationships/hyperlink" Target="mailto:hs.kim@tbell.co.kr" TargetMode="External"/><Relationship Id="rId38" Type="http://schemas.openxmlformats.org/officeDocument/2006/relationships/hyperlink" Target="mailto:is.choi@tbell.co.kr" TargetMode="External"/><Relationship Id="rId59" Type="http://schemas.openxmlformats.org/officeDocument/2006/relationships/hyperlink" Target="mailto:sooyong.lee@tbell.co.kr" TargetMode="External"/><Relationship Id="rId103" Type="http://schemas.openxmlformats.org/officeDocument/2006/relationships/hyperlink" Target="mailto:jh.kim3@tbell.co.kr" TargetMode="External"/><Relationship Id="rId108" Type="http://schemas.openxmlformats.org/officeDocument/2006/relationships/hyperlink" Target="mailto:yj.heo@tbell.co.kr" TargetMode="External"/><Relationship Id="rId54" Type="http://schemas.openxmlformats.org/officeDocument/2006/relationships/hyperlink" Target="mailto:sm.kim@tbell.co.kr" TargetMode="External"/><Relationship Id="rId70" Type="http://schemas.openxmlformats.org/officeDocument/2006/relationships/hyperlink" Target="mailto:jm.lee@tbell.co.kr" TargetMode="External"/><Relationship Id="rId75" Type="http://schemas.openxmlformats.org/officeDocument/2006/relationships/hyperlink" Target="mailto:sy.shin@tbell.co.kr" TargetMode="External"/><Relationship Id="rId91" Type="http://schemas.openxmlformats.org/officeDocument/2006/relationships/hyperlink" Target="mailto:jh.jo2@tbell.co.kr" TargetMode="External"/><Relationship Id="rId96" Type="http://schemas.openxmlformats.org/officeDocument/2006/relationships/hyperlink" Target="mailto:sa.jeong@tbell.co.kr" TargetMode="External"/><Relationship Id="rId1" Type="http://schemas.openxmlformats.org/officeDocument/2006/relationships/hyperlink" Target="mailto:bs.choi@tbell.co.kr" TargetMode="External"/><Relationship Id="rId6" Type="http://schemas.openxmlformats.org/officeDocument/2006/relationships/hyperlink" Target="mailto:ss.yong@tbell.co.kr" TargetMode="External"/><Relationship Id="rId23" Type="http://schemas.openxmlformats.org/officeDocument/2006/relationships/hyperlink" Target="mailto:sd.noh@tbell.co.kr" TargetMode="External"/><Relationship Id="rId28" Type="http://schemas.openxmlformats.org/officeDocument/2006/relationships/hyperlink" Target="mailto:jy.jeong@tbell.co.kr" TargetMode="External"/><Relationship Id="rId49" Type="http://schemas.openxmlformats.org/officeDocument/2006/relationships/hyperlink" Target="mailto:sw.moon@tbell.co.kr" TargetMode="External"/><Relationship Id="rId114" Type="http://schemas.openxmlformats.org/officeDocument/2006/relationships/hyperlink" Target="mailto:ma.kim@tbell.co.kr" TargetMode="External"/><Relationship Id="rId119" Type="http://schemas.openxmlformats.org/officeDocument/2006/relationships/hyperlink" Target="mailto:hj.son@tbell.co.kr" TargetMode="External"/><Relationship Id="rId44" Type="http://schemas.openxmlformats.org/officeDocument/2006/relationships/hyperlink" Target="mailto:jh.jo@tbell.co.kr" TargetMode="External"/><Relationship Id="rId60" Type="http://schemas.openxmlformats.org/officeDocument/2006/relationships/hyperlink" Target="mailto:si.mun@tbell.co.kr" TargetMode="External"/><Relationship Id="rId65" Type="http://schemas.openxmlformats.org/officeDocument/2006/relationships/hyperlink" Target="mailto:kj.lee@tbell.co.kr" TargetMode="External"/><Relationship Id="rId81" Type="http://schemas.openxmlformats.org/officeDocument/2006/relationships/hyperlink" Target="mailto:hs.park3@tbell.co.kr" TargetMode="External"/><Relationship Id="rId86" Type="http://schemas.openxmlformats.org/officeDocument/2006/relationships/hyperlink" Target="mailto:jh.kim@tbell.co.kr" TargetMode="External"/><Relationship Id="rId4" Type="http://schemas.openxmlformats.org/officeDocument/2006/relationships/hyperlink" Target="mailto:my.park@tbell.co.kr" TargetMode="External"/><Relationship Id="rId9" Type="http://schemas.openxmlformats.org/officeDocument/2006/relationships/hyperlink" Target="mailto:mh.kim@tbell.co.kr" TargetMode="External"/><Relationship Id="rId13" Type="http://schemas.openxmlformats.org/officeDocument/2006/relationships/hyperlink" Target="mailto:jm.lim@tbell.co.kr" TargetMode="External"/><Relationship Id="rId18" Type="http://schemas.openxmlformats.org/officeDocument/2006/relationships/hyperlink" Target="mailto:sh.park2@tbell.co.kr" TargetMode="External"/><Relationship Id="rId39" Type="http://schemas.openxmlformats.org/officeDocument/2006/relationships/hyperlink" Target="mailto:hm.choi@tbell.co.kr" TargetMode="External"/><Relationship Id="rId109" Type="http://schemas.openxmlformats.org/officeDocument/2006/relationships/hyperlink" Target="mailto:ys.cho@tbell.co.kr" TargetMode="External"/><Relationship Id="rId34" Type="http://schemas.openxmlformats.org/officeDocument/2006/relationships/hyperlink" Target="mailto:jw.joo@tbell.co.kr" TargetMode="External"/><Relationship Id="rId50" Type="http://schemas.openxmlformats.org/officeDocument/2006/relationships/hyperlink" Target="mailto:yj.yoo@tbell.co.kr" TargetMode="External"/><Relationship Id="rId55" Type="http://schemas.openxmlformats.org/officeDocument/2006/relationships/hyperlink" Target="mailto:sj.park2@tbell.co.kr" TargetMode="External"/><Relationship Id="rId76" Type="http://schemas.openxmlformats.org/officeDocument/2006/relationships/hyperlink" Target="mailto:us.yu@tbell.co.kr" TargetMode="External"/><Relationship Id="rId97" Type="http://schemas.openxmlformats.org/officeDocument/2006/relationships/hyperlink" Target="mailto:jh.kim2@tbell.co.kr" TargetMode="External"/><Relationship Id="rId104" Type="http://schemas.openxmlformats.org/officeDocument/2006/relationships/hyperlink" Target="mailto:yb.tak@tbell.co.kr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mailto:sh.kim2@tbell.co.kr" TargetMode="External"/><Relationship Id="rId71" Type="http://schemas.openxmlformats.org/officeDocument/2006/relationships/hyperlink" Target="mailto:hj.hong@tbell.co.kr" TargetMode="External"/><Relationship Id="rId92" Type="http://schemas.openxmlformats.org/officeDocument/2006/relationships/hyperlink" Target="mailto:my.kim@tbell.co.kr" TargetMode="External"/><Relationship Id="rId2" Type="http://schemas.openxmlformats.org/officeDocument/2006/relationships/hyperlink" Target="mailto:hy.kim@tbell.co.kr" TargetMode="External"/><Relationship Id="rId29" Type="http://schemas.openxmlformats.org/officeDocument/2006/relationships/hyperlink" Target="mailto:hs.park@tbell.co.kr" TargetMode="External"/><Relationship Id="rId24" Type="http://schemas.openxmlformats.org/officeDocument/2006/relationships/hyperlink" Target="mailto:sh.yun@tbell.co.kr" TargetMode="External"/><Relationship Id="rId40" Type="http://schemas.openxmlformats.org/officeDocument/2006/relationships/hyperlink" Target="mailto:jb.son@tbell.co.kr" TargetMode="External"/><Relationship Id="rId45" Type="http://schemas.openxmlformats.org/officeDocument/2006/relationships/hyperlink" Target="mailto:hm.kwon@tbell.co.kr" TargetMode="External"/><Relationship Id="rId66" Type="http://schemas.openxmlformats.org/officeDocument/2006/relationships/hyperlink" Target="mailto:kw.chu@tbell.co.kr" TargetMode="External"/><Relationship Id="rId87" Type="http://schemas.openxmlformats.org/officeDocument/2006/relationships/hyperlink" Target="mailto:he.yu@tbell.co.kr" TargetMode="External"/><Relationship Id="rId110" Type="http://schemas.openxmlformats.org/officeDocument/2006/relationships/hyperlink" Target="mailto:hj.jang@tbell.co.kr" TargetMode="External"/><Relationship Id="rId115" Type="http://schemas.openxmlformats.org/officeDocument/2006/relationships/hyperlink" Target="mailto:jh.mun@tbell.co.kr" TargetMode="External"/><Relationship Id="rId61" Type="http://schemas.openxmlformats.org/officeDocument/2006/relationships/hyperlink" Target="mailto:yj.oh@tbell.co.kr" TargetMode="External"/><Relationship Id="rId82" Type="http://schemas.openxmlformats.org/officeDocument/2006/relationships/hyperlink" Target="mailto:wh.lee@tbell.co.kr" TargetMode="External"/><Relationship Id="rId19" Type="http://schemas.openxmlformats.org/officeDocument/2006/relationships/hyperlink" Target="mailto:aj.yu@tbell.co.k" TargetMode="External"/><Relationship Id="rId14" Type="http://schemas.openxmlformats.org/officeDocument/2006/relationships/hyperlink" Target="mailto:ym.kim@tbell.co.kr" TargetMode="External"/><Relationship Id="rId30" Type="http://schemas.openxmlformats.org/officeDocument/2006/relationships/hyperlink" Target="mailto:jy.sa@tbell.co.kr" TargetMode="External"/><Relationship Id="rId35" Type="http://schemas.openxmlformats.org/officeDocument/2006/relationships/hyperlink" Target="mailto:jw.koo@tbell.co.kr" TargetMode="External"/><Relationship Id="rId56" Type="http://schemas.openxmlformats.org/officeDocument/2006/relationships/hyperlink" Target="mailto:hb.jo@tbell.co.kr" TargetMode="External"/><Relationship Id="rId77" Type="http://schemas.openxmlformats.org/officeDocument/2006/relationships/hyperlink" Target="mailto:sr.jo@tbell.co.kr" TargetMode="External"/><Relationship Id="rId100" Type="http://schemas.openxmlformats.org/officeDocument/2006/relationships/hyperlink" Target="mailto:jh.lim@tbell.co.kr" TargetMode="External"/><Relationship Id="rId105" Type="http://schemas.openxmlformats.org/officeDocument/2006/relationships/hyperlink" Target="mailto:yj.seo@tbell.co.kr" TargetMode="External"/><Relationship Id="rId8" Type="http://schemas.openxmlformats.org/officeDocument/2006/relationships/hyperlink" Target="mailto:ms.park@tbell.co.kr" TargetMode="External"/><Relationship Id="rId51" Type="http://schemas.openxmlformats.org/officeDocument/2006/relationships/hyperlink" Target="mailto:mj.lee2@tbell.co.kr" TargetMode="External"/><Relationship Id="rId72" Type="http://schemas.openxmlformats.org/officeDocument/2006/relationships/hyperlink" Target="mailto:hm.han@tbell.co.kr" TargetMode="External"/><Relationship Id="rId93" Type="http://schemas.openxmlformats.org/officeDocument/2006/relationships/hyperlink" Target="mailto:hy.jo@tbell.co.kr" TargetMode="External"/><Relationship Id="rId98" Type="http://schemas.openxmlformats.org/officeDocument/2006/relationships/hyperlink" Target="mailto:yh.kim@tbell.co.kr" TargetMode="External"/><Relationship Id="rId121" Type="http://schemas.openxmlformats.org/officeDocument/2006/relationships/vmlDrawing" Target="../drawings/vmlDrawing1.vml"/><Relationship Id="rId3" Type="http://schemas.openxmlformats.org/officeDocument/2006/relationships/hyperlink" Target="mailto:seongho.park@tbell.co.kr" TargetMode="External"/><Relationship Id="rId25" Type="http://schemas.openxmlformats.org/officeDocument/2006/relationships/hyperlink" Target="mailto:cy.kim2@tbell.co.kr" TargetMode="External"/><Relationship Id="rId46" Type="http://schemas.openxmlformats.org/officeDocument/2006/relationships/hyperlink" Target="mailto:ej.do@tbell.co.kr" TargetMode="External"/><Relationship Id="rId67" Type="http://schemas.openxmlformats.org/officeDocument/2006/relationships/hyperlink" Target="mailto:du.kim@tbell.co.kr" TargetMode="External"/><Relationship Id="rId116" Type="http://schemas.openxmlformats.org/officeDocument/2006/relationships/hyperlink" Target="mailto:cy.lim@tbell.co.kr" TargetMode="External"/><Relationship Id="rId20" Type="http://schemas.openxmlformats.org/officeDocument/2006/relationships/hyperlink" Target="mailto:ys.hwang@tbell.co.kr" TargetMode="External"/><Relationship Id="rId41" Type="http://schemas.openxmlformats.org/officeDocument/2006/relationships/hyperlink" Target="mailto:jy.choi@tbell.co.kr" TargetMode="External"/><Relationship Id="rId62" Type="http://schemas.openxmlformats.org/officeDocument/2006/relationships/hyperlink" Target="mailto:sh.seo@tbell.co.kr" TargetMode="External"/><Relationship Id="rId83" Type="http://schemas.openxmlformats.org/officeDocument/2006/relationships/hyperlink" Target="mailto:jh.lee4@tbell.co.kr" TargetMode="External"/><Relationship Id="rId88" Type="http://schemas.openxmlformats.org/officeDocument/2006/relationships/hyperlink" Target="mailto:sh.lee2@tbell.co.kr" TargetMode="External"/><Relationship Id="rId111" Type="http://schemas.openxmlformats.org/officeDocument/2006/relationships/hyperlink" Target="mailto:hk.park@tbell.co.kr" TargetMode="External"/><Relationship Id="rId15" Type="http://schemas.openxmlformats.org/officeDocument/2006/relationships/hyperlink" Target="mailto:jh.lee5@tbell.co.kr" TargetMode="External"/><Relationship Id="rId36" Type="http://schemas.openxmlformats.org/officeDocument/2006/relationships/hyperlink" Target="mailto:sohyun.park@tbell.co.kr" TargetMode="External"/><Relationship Id="rId57" Type="http://schemas.openxmlformats.org/officeDocument/2006/relationships/hyperlink" Target="mailto:dh.lee@tbell.co.kr" TargetMode="External"/><Relationship Id="rId106" Type="http://schemas.openxmlformats.org/officeDocument/2006/relationships/hyperlink" Target="mailto:hr.lee@tbell.co.kr" TargetMode="External"/><Relationship Id="rId10" Type="http://schemas.openxmlformats.org/officeDocument/2006/relationships/hyperlink" Target="mailto:ny.lim@tbell.co.kr" TargetMode="External"/><Relationship Id="rId31" Type="http://schemas.openxmlformats.org/officeDocument/2006/relationships/hyperlink" Target="mailto:he.cho@tbell.co.kr" TargetMode="External"/><Relationship Id="rId52" Type="http://schemas.openxmlformats.org/officeDocument/2006/relationships/hyperlink" Target="mailto:he.mun@tbell.co.kr" TargetMode="External"/><Relationship Id="rId73" Type="http://schemas.openxmlformats.org/officeDocument/2006/relationships/hyperlink" Target="mailto:hj.shim@tbell.co.kr" TargetMode="External"/><Relationship Id="rId78" Type="http://schemas.openxmlformats.org/officeDocument/2006/relationships/hyperlink" Target="mailto:um.lee@tbell.co.kr" TargetMode="External"/><Relationship Id="rId94" Type="http://schemas.openxmlformats.org/officeDocument/2006/relationships/hyperlink" Target="mailto:es.woo@tbell.co.kr" TargetMode="External"/><Relationship Id="rId99" Type="http://schemas.openxmlformats.org/officeDocument/2006/relationships/hyperlink" Target="mailto:hb.jang@tbell.co.kr" TargetMode="External"/><Relationship Id="rId101" Type="http://schemas.openxmlformats.org/officeDocument/2006/relationships/hyperlink" Target="mailto:sy.maeng@tbell.co.kr" TargetMode="External"/><Relationship Id="rId1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9A9D-3831-4CAF-BECC-736568AEA325}">
  <dimension ref="A1:DM546"/>
  <sheetViews>
    <sheetView showGridLines="0" tabSelected="1" zoomScale="160" zoomScaleNormal="160" workbookViewId="0">
      <pane xSplit="3" ySplit="2" topLeftCell="E188" activePane="bottomRight" state="frozen"/>
      <selection pane="topRight" activeCell="D3" sqref="D3"/>
      <selection pane="bottomLeft" activeCell="D3" sqref="D3"/>
      <selection pane="bottomRight" activeCell="F189" sqref="F189"/>
    </sheetView>
  </sheetViews>
  <sheetFormatPr defaultColWidth="12.625" defaultRowHeight="15" customHeight="1" outlineLevelCol="1"/>
  <cols>
    <col min="1" max="1" width="4.875" style="24" customWidth="1"/>
    <col min="2" max="2" width="11" style="148" customWidth="1"/>
    <col min="3" max="3" width="9" style="136" bestFit="1" customWidth="1"/>
    <col min="4" max="8" width="9" style="136" customWidth="1"/>
    <col min="9" max="9" width="15.375" style="136" bestFit="1" customWidth="1"/>
    <col min="10" max="11" width="9" style="136" customWidth="1"/>
    <col min="12" max="13" width="10.125" style="24" customWidth="1"/>
    <col min="14" max="15" width="9.125" style="137" customWidth="1"/>
    <col min="16" max="16" width="16.5" style="140" customWidth="1"/>
    <col min="17" max="17" width="14.125" style="24" customWidth="1"/>
    <col min="18" max="18" width="8.5" style="24" customWidth="1"/>
    <col min="19" max="23" width="6.875" style="24" customWidth="1"/>
    <col min="24" max="24" width="12.875" style="24" customWidth="1"/>
    <col min="25" max="25" width="6.5" style="24" customWidth="1"/>
    <col min="26" max="26" width="12.375" style="24" customWidth="1"/>
    <col min="27" max="27" width="13.625" style="139" customWidth="1"/>
    <col min="28" max="28" width="7.625" style="24" customWidth="1"/>
    <col min="29" max="29" width="9.125" style="24" customWidth="1"/>
    <col min="30" max="30" width="8.625" style="24" customWidth="1"/>
    <col min="31" max="32" width="9.125" style="24" customWidth="1"/>
    <col min="33" max="33" width="8.625" style="138" customWidth="1"/>
    <col min="34" max="34" width="8.125" style="138" customWidth="1"/>
    <col min="35" max="35" width="12.375" style="138" customWidth="1"/>
    <col min="36" max="36" width="9.5" style="138" customWidth="1"/>
    <col min="37" max="38" width="11.125" style="24" customWidth="1"/>
    <col min="39" max="39" width="9.125" style="24" customWidth="1"/>
    <col min="40" max="40" width="12.625" style="24" customWidth="1"/>
    <col min="41" max="41" width="10.125" style="24" customWidth="1"/>
    <col min="42" max="42" width="9.125" style="24" customWidth="1"/>
    <col min="43" max="43" width="10" style="139" customWidth="1"/>
    <col min="44" max="44" width="9.625" style="24" customWidth="1"/>
    <col min="45" max="45" width="10.875" style="24" customWidth="1"/>
    <col min="46" max="46" width="14.5" style="138" customWidth="1"/>
    <col min="47" max="47" width="10.875" style="24" customWidth="1"/>
    <col min="48" max="48" width="17.875" style="24" customWidth="1"/>
    <col min="49" max="49" width="10.875" style="24" customWidth="1"/>
    <col min="50" max="50" width="17.125" style="138" customWidth="1"/>
    <col min="51" max="51" width="14.625" style="138" customWidth="1"/>
    <col min="52" max="52" width="17.625" style="138" customWidth="1"/>
    <col min="53" max="53" width="14.125" style="138" customWidth="1"/>
    <col min="54" max="54" width="17.125" style="138" customWidth="1"/>
    <col min="55" max="55" width="8.5" style="138" customWidth="1"/>
    <col min="56" max="56" width="19" style="138" customWidth="1"/>
    <col min="57" max="57" width="17.125" style="138" customWidth="1"/>
    <col min="58" max="58" width="11.5" style="140" customWidth="1"/>
    <col min="59" max="59" width="12.375" style="138" customWidth="1"/>
    <col min="60" max="62" width="7.625" style="138" customWidth="1"/>
    <col min="63" max="63" width="64.375" style="141" customWidth="1"/>
    <col min="64" max="64" width="7.625" style="140" customWidth="1"/>
    <col min="65" max="65" width="7.625" style="138" customWidth="1"/>
    <col min="66" max="66" width="14" style="24" customWidth="1"/>
    <col min="67" max="67" width="16.5" style="24" customWidth="1"/>
    <col min="68" max="69" width="13.875" style="24" customWidth="1"/>
    <col min="70" max="74" width="12.625" style="24" customWidth="1"/>
    <col min="75" max="75" width="7.625" style="140" customWidth="1"/>
    <col min="76" max="76" width="7.625" style="138" customWidth="1"/>
    <col min="77" max="77" width="14" style="24" customWidth="1"/>
    <col min="78" max="78" width="16.5" style="24" customWidth="1"/>
    <col min="79" max="80" width="13.875" style="24" customWidth="1"/>
    <col min="81" max="85" width="12.625" style="24" customWidth="1"/>
    <col min="86" max="86" width="7.625" style="140" customWidth="1" outlineLevel="1"/>
    <col min="87" max="87" width="7.625" style="138" customWidth="1" outlineLevel="1"/>
    <col min="88" max="89" width="16.5" style="24" customWidth="1" outlineLevel="1"/>
    <col min="90" max="91" width="13.875" style="24" customWidth="1" outlineLevel="1"/>
    <col min="92" max="96" width="12.625" style="24" customWidth="1" outlineLevel="1"/>
    <col min="97" max="97" width="12.625" style="24" customWidth="1" outlineLevel="1" collapsed="1"/>
    <col min="98" max="98" width="12.625" style="24" customWidth="1" outlineLevel="1"/>
    <col min="99" max="99" width="13.875" style="24" customWidth="1" outlineLevel="1"/>
    <col min="100" max="106" width="12.625" style="24" customWidth="1" outlineLevel="1"/>
    <col min="107" max="107" width="14.375" style="24" customWidth="1" outlineLevel="1"/>
    <col min="108" max="109" width="12.625" style="24" customWidth="1"/>
    <col min="110" max="110" width="12.875" style="137" customWidth="1"/>
    <col min="111" max="111" width="37.125" style="137" customWidth="1"/>
    <col min="112" max="113" width="12.625" style="24" customWidth="1"/>
    <col min="114" max="114" width="10.875" style="137" customWidth="1"/>
    <col min="115" max="115" width="10" style="137" customWidth="1"/>
    <col min="116" max="116" width="10" style="144" customWidth="1"/>
    <col min="117" max="117" width="11" style="137" customWidth="1"/>
    <col min="118" max="16384" width="12.625" style="24"/>
  </cols>
  <sheetData>
    <row r="1" spans="1:117" s="4" customFormat="1" ht="15" customHeight="1">
      <c r="A1" s="1"/>
      <c r="B1" s="2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3" t="s">
        <v>23</v>
      </c>
      <c r="AH1" s="3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3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3" t="s">
        <v>47</v>
      </c>
      <c r="BF1" s="2" t="s">
        <v>48</v>
      </c>
      <c r="BG1" s="2" t="s">
        <v>49</v>
      </c>
      <c r="BH1" s="3" t="s">
        <v>50</v>
      </c>
      <c r="BI1" s="3" t="s">
        <v>51</v>
      </c>
      <c r="BJ1" s="2" t="s">
        <v>52</v>
      </c>
      <c r="BK1" s="2" t="s">
        <v>53</v>
      </c>
      <c r="BL1" s="2" t="s">
        <v>54</v>
      </c>
      <c r="BM1" s="2" t="s">
        <v>55</v>
      </c>
      <c r="BN1" s="2" t="s">
        <v>56</v>
      </c>
      <c r="BO1" s="2" t="s">
        <v>57</v>
      </c>
      <c r="BP1" s="2" t="s">
        <v>58</v>
      </c>
      <c r="BQ1" s="2" t="s">
        <v>59</v>
      </c>
      <c r="BR1" s="2" t="s">
        <v>60</v>
      </c>
      <c r="BS1" s="2" t="s">
        <v>61</v>
      </c>
      <c r="BT1" s="2" t="s">
        <v>62</v>
      </c>
      <c r="BU1" s="2" t="s">
        <v>63</v>
      </c>
      <c r="BV1" s="2" t="s">
        <v>64</v>
      </c>
      <c r="BW1" s="2" t="s">
        <v>54</v>
      </c>
      <c r="BX1" s="2" t="s">
        <v>55</v>
      </c>
      <c r="BY1" s="2" t="s">
        <v>56</v>
      </c>
      <c r="BZ1" s="2" t="s">
        <v>57</v>
      </c>
      <c r="CA1" s="2" t="s">
        <v>58</v>
      </c>
      <c r="CB1" s="2" t="s">
        <v>59</v>
      </c>
      <c r="CC1" s="2" t="s">
        <v>60</v>
      </c>
      <c r="CD1" s="2" t="s">
        <v>61</v>
      </c>
      <c r="CE1" s="2" t="s">
        <v>62</v>
      </c>
      <c r="CF1" s="2" t="s">
        <v>63</v>
      </c>
      <c r="CG1" s="2" t="s">
        <v>64</v>
      </c>
      <c r="CH1" s="2" t="s">
        <v>65</v>
      </c>
      <c r="CI1" s="2" t="s">
        <v>66</v>
      </c>
      <c r="CJ1" s="2" t="s">
        <v>67</v>
      </c>
      <c r="CK1" s="2" t="s">
        <v>68</v>
      </c>
      <c r="CL1" s="2" t="s">
        <v>69</v>
      </c>
      <c r="CM1" s="2" t="s">
        <v>70</v>
      </c>
      <c r="CN1" s="2" t="s">
        <v>71</v>
      </c>
      <c r="CO1" s="2" t="s">
        <v>72</v>
      </c>
      <c r="CP1" s="2" t="s">
        <v>73</v>
      </c>
      <c r="CQ1" s="2" t="s">
        <v>74</v>
      </c>
      <c r="CR1" s="2" t="s">
        <v>75</v>
      </c>
      <c r="CS1" s="2" t="s">
        <v>76</v>
      </c>
      <c r="CT1" s="2" t="s">
        <v>77</v>
      </c>
      <c r="CU1" s="2" t="s">
        <v>78</v>
      </c>
      <c r="CV1" s="2" t="s">
        <v>79</v>
      </c>
      <c r="CW1" s="2" t="s">
        <v>80</v>
      </c>
      <c r="CX1" s="2" t="s">
        <v>81</v>
      </c>
      <c r="CY1" s="2" t="s">
        <v>82</v>
      </c>
      <c r="CZ1" s="2" t="s">
        <v>83</v>
      </c>
      <c r="DA1" s="2" t="s">
        <v>84</v>
      </c>
      <c r="DB1" s="2" t="s">
        <v>85</v>
      </c>
      <c r="DC1" s="2" t="s">
        <v>86</v>
      </c>
      <c r="DD1" s="2" t="s">
        <v>87</v>
      </c>
      <c r="DE1" s="2" t="s">
        <v>88</v>
      </c>
      <c r="DF1" s="2" t="s">
        <v>89</v>
      </c>
      <c r="DG1" s="2" t="s">
        <v>90</v>
      </c>
      <c r="DH1" s="2" t="s">
        <v>91</v>
      </c>
      <c r="DI1" s="2" t="s">
        <v>92</v>
      </c>
      <c r="DJ1" s="2" t="s">
        <v>93</v>
      </c>
      <c r="DK1" s="2" t="s">
        <v>94</v>
      </c>
      <c r="DL1" s="2" t="s">
        <v>95</v>
      </c>
    </row>
    <row r="2" spans="1:117" ht="13.5" customHeight="1">
      <c r="A2" s="5" t="s">
        <v>96</v>
      </c>
      <c r="B2" s="6" t="s">
        <v>97</v>
      </c>
      <c r="C2" s="5" t="s">
        <v>98</v>
      </c>
      <c r="D2" s="5" t="s">
        <v>99</v>
      </c>
      <c r="E2" s="5" t="s">
        <v>100</v>
      </c>
      <c r="F2" s="7" t="s">
        <v>101</v>
      </c>
      <c r="G2" s="5" t="s">
        <v>102</v>
      </c>
      <c r="H2" s="8" t="s">
        <v>103</v>
      </c>
      <c r="I2" s="5" t="s">
        <v>104</v>
      </c>
      <c r="J2" s="5" t="s">
        <v>105</v>
      </c>
      <c r="K2" s="5" t="s">
        <v>106</v>
      </c>
      <c r="L2" s="9" t="s">
        <v>107</v>
      </c>
      <c r="M2" s="9" t="s">
        <v>108</v>
      </c>
      <c r="N2" s="9" t="s">
        <v>109</v>
      </c>
      <c r="O2" s="9" t="s">
        <v>110</v>
      </c>
      <c r="P2" s="8" t="s">
        <v>111</v>
      </c>
      <c r="Q2" s="5" t="s">
        <v>112</v>
      </c>
      <c r="R2" s="5" t="s">
        <v>113</v>
      </c>
      <c r="S2" s="5" t="s">
        <v>114</v>
      </c>
      <c r="T2" s="5" t="s">
        <v>115</v>
      </c>
      <c r="U2" s="5" t="s">
        <v>116</v>
      </c>
      <c r="V2" s="5" t="s">
        <v>117</v>
      </c>
      <c r="W2" s="5" t="s">
        <v>118</v>
      </c>
      <c r="X2" s="5" t="s">
        <v>119</v>
      </c>
      <c r="Y2" s="10" t="s">
        <v>120</v>
      </c>
      <c r="Z2" s="5" t="s">
        <v>121</v>
      </c>
      <c r="AA2" s="11" t="s">
        <v>122</v>
      </c>
      <c r="AB2" s="5" t="s">
        <v>123</v>
      </c>
      <c r="AC2" s="5" t="s">
        <v>124</v>
      </c>
      <c r="AD2" s="5" t="s">
        <v>125</v>
      </c>
      <c r="AE2" s="5" t="s">
        <v>126</v>
      </c>
      <c r="AF2" s="5" t="s">
        <v>127</v>
      </c>
      <c r="AG2" s="12" t="s">
        <v>128</v>
      </c>
      <c r="AH2" s="12" t="s">
        <v>129</v>
      </c>
      <c r="AI2" s="8" t="s">
        <v>130</v>
      </c>
      <c r="AJ2" s="5" t="s">
        <v>131</v>
      </c>
      <c r="AK2" s="5" t="s">
        <v>132</v>
      </c>
      <c r="AL2" s="5" t="s">
        <v>133</v>
      </c>
      <c r="AM2" s="5" t="s">
        <v>134</v>
      </c>
      <c r="AN2" s="12" t="s">
        <v>135</v>
      </c>
      <c r="AO2" s="13" t="s">
        <v>136</v>
      </c>
      <c r="AP2" s="12" t="s">
        <v>137</v>
      </c>
      <c r="AQ2" s="12" t="s">
        <v>138</v>
      </c>
      <c r="AR2" s="12" t="s">
        <v>139</v>
      </c>
      <c r="AS2" s="12" t="s">
        <v>140</v>
      </c>
      <c r="AT2" s="12" t="s">
        <v>141</v>
      </c>
      <c r="AU2" s="12" t="s">
        <v>142</v>
      </c>
      <c r="AV2" s="12" t="s">
        <v>143</v>
      </c>
      <c r="AW2" s="12" t="s">
        <v>144</v>
      </c>
      <c r="AX2" s="12" t="s">
        <v>145</v>
      </c>
      <c r="AY2" s="8" t="s">
        <v>146</v>
      </c>
      <c r="AZ2" s="8" t="s">
        <v>147</v>
      </c>
      <c r="BA2" s="8" t="s">
        <v>148</v>
      </c>
      <c r="BB2" s="8" t="s">
        <v>149</v>
      </c>
      <c r="BC2" s="8" t="s">
        <v>150</v>
      </c>
      <c r="BD2" s="8" t="s">
        <v>151</v>
      </c>
      <c r="BE2" s="12" t="s">
        <v>152</v>
      </c>
      <c r="BF2" s="8" t="s">
        <v>153</v>
      </c>
      <c r="BG2" s="8" t="s">
        <v>154</v>
      </c>
      <c r="BH2" s="12" t="s">
        <v>155</v>
      </c>
      <c r="BI2" s="14" t="s">
        <v>156</v>
      </c>
      <c r="BJ2" s="8" t="s">
        <v>157</v>
      </c>
      <c r="BK2" s="8" t="s">
        <v>158</v>
      </c>
      <c r="BL2" s="15" t="s">
        <v>159</v>
      </c>
      <c r="BM2" s="15" t="s">
        <v>160</v>
      </c>
      <c r="BN2" s="16" t="s">
        <v>161</v>
      </c>
      <c r="BO2" s="16" t="s">
        <v>162</v>
      </c>
      <c r="BP2" s="17" t="s">
        <v>163</v>
      </c>
      <c r="BQ2" s="17" t="s">
        <v>164</v>
      </c>
      <c r="BR2" s="17" t="s">
        <v>165</v>
      </c>
      <c r="BS2" s="18" t="s">
        <v>166</v>
      </c>
      <c r="BT2" s="16" t="s">
        <v>167</v>
      </c>
      <c r="BU2" s="16" t="s">
        <v>168</v>
      </c>
      <c r="BV2" s="16" t="s">
        <v>169</v>
      </c>
      <c r="BW2" s="15" t="s">
        <v>159</v>
      </c>
      <c r="BX2" s="15" t="s">
        <v>160</v>
      </c>
      <c r="BY2" s="16" t="s">
        <v>170</v>
      </c>
      <c r="BZ2" s="16" t="s">
        <v>162</v>
      </c>
      <c r="CA2" s="17" t="s">
        <v>163</v>
      </c>
      <c r="CB2" s="17" t="s">
        <v>164</v>
      </c>
      <c r="CC2" s="17" t="s">
        <v>165</v>
      </c>
      <c r="CD2" s="18" t="s">
        <v>166</v>
      </c>
      <c r="CE2" s="16" t="s">
        <v>167</v>
      </c>
      <c r="CF2" s="16" t="s">
        <v>168</v>
      </c>
      <c r="CG2" s="16" t="s">
        <v>169</v>
      </c>
      <c r="CH2" s="15" t="s">
        <v>159</v>
      </c>
      <c r="CI2" s="15" t="s">
        <v>160</v>
      </c>
      <c r="CJ2" s="16" t="s">
        <v>171</v>
      </c>
      <c r="CK2" s="16" t="s">
        <v>162</v>
      </c>
      <c r="CL2" s="17" t="s">
        <v>163</v>
      </c>
      <c r="CM2" s="17" t="s">
        <v>164</v>
      </c>
      <c r="CN2" s="17" t="s">
        <v>165</v>
      </c>
      <c r="CO2" s="18" t="s">
        <v>166</v>
      </c>
      <c r="CP2" s="16" t="s">
        <v>167</v>
      </c>
      <c r="CQ2" s="16" t="s">
        <v>168</v>
      </c>
      <c r="CR2" s="16" t="s">
        <v>172</v>
      </c>
      <c r="CS2" s="17" t="s">
        <v>173</v>
      </c>
      <c r="CT2" s="17" t="s">
        <v>174</v>
      </c>
      <c r="CU2" s="17" t="s">
        <v>175</v>
      </c>
      <c r="CV2" s="17" t="s">
        <v>176</v>
      </c>
      <c r="CW2" s="17" t="s">
        <v>177</v>
      </c>
      <c r="CX2" s="17" t="s">
        <v>178</v>
      </c>
      <c r="CY2" s="17" t="s">
        <v>179</v>
      </c>
      <c r="CZ2" s="17" t="s">
        <v>180</v>
      </c>
      <c r="DA2" s="17" t="s">
        <v>181</v>
      </c>
      <c r="DB2" s="17" t="s">
        <v>182</v>
      </c>
      <c r="DC2" s="18" t="s">
        <v>183</v>
      </c>
      <c r="DD2" s="19" t="s">
        <v>184</v>
      </c>
      <c r="DE2" s="19" t="s">
        <v>185</v>
      </c>
      <c r="DF2" s="19" t="s">
        <v>186</v>
      </c>
      <c r="DG2" s="19" t="s">
        <v>187</v>
      </c>
      <c r="DH2" s="20" t="s">
        <v>188</v>
      </c>
      <c r="DI2" s="21" t="s">
        <v>189</v>
      </c>
      <c r="DJ2" s="22" t="s">
        <v>190</v>
      </c>
      <c r="DK2" s="20" t="s">
        <v>191</v>
      </c>
      <c r="DL2" s="23" t="s">
        <v>192</v>
      </c>
      <c r="DM2" s="24"/>
    </row>
    <row r="3" spans="1:117" ht="15" customHeight="1">
      <c r="A3" s="25">
        <f>ROW()-2</f>
        <v>1</v>
      </c>
      <c r="B3" s="26">
        <v>150501</v>
      </c>
      <c r="C3" s="27" t="s">
        <v>193</v>
      </c>
      <c r="D3" s="27" t="s">
        <v>194</v>
      </c>
      <c r="E3" s="27" t="s">
        <v>195</v>
      </c>
      <c r="F3" s="27" t="s">
        <v>196</v>
      </c>
      <c r="G3" s="27" t="s">
        <v>197</v>
      </c>
      <c r="H3" s="27" t="s">
        <v>198</v>
      </c>
      <c r="I3" s="27" t="s">
        <v>195</v>
      </c>
      <c r="J3" s="27" t="str">
        <f>+VLOOKUP($I3,[1]프로젝트현황!$I:$N,5,0)</f>
        <v>서울시</v>
      </c>
      <c r="K3" s="27" t="str">
        <f>+VLOOKUP($I3,[1]프로젝트현황!$I:$N,6,0)</f>
        <v>강남구</v>
      </c>
      <c r="L3" s="28">
        <v>42142</v>
      </c>
      <c r="M3" s="28">
        <v>42142</v>
      </c>
      <c r="N3" s="28"/>
      <c r="O3" s="29"/>
      <c r="P3" s="30"/>
      <c r="Q3" s="27" t="s">
        <v>199</v>
      </c>
      <c r="R3" s="31" t="str">
        <f>LEFT(Q3,6)</f>
        <v>831124</v>
      </c>
      <c r="S3" s="31" t="str">
        <f>MID($Q3,3,2)</f>
        <v>11</v>
      </c>
      <c r="T3" s="31" t="str">
        <f>IF(OR(MID($Q3,8,1)="1",MID($Q3,8,1)="3"),"남자",IF(OR(MID($Q3,8,1)="2",MID($Q3,8,1)="4"),"여자",""))</f>
        <v>남자</v>
      </c>
      <c r="U3" s="31">
        <f ca="1">YEAR(TODAY())-IF(OR(MID($Q3,8,1)="1",MID($Q3,8,1)="2"),19&amp;LEFT($Q3,2),IF(OR(MID($Q3,8,1)="3",MID($Q3,8,1)="4"),20&amp;LEFT($Q3,2),""))+1</f>
        <v>44</v>
      </c>
      <c r="V3" s="31" t="s">
        <v>200</v>
      </c>
      <c r="W3" s="31" t="s">
        <v>201</v>
      </c>
      <c r="X3" s="27" t="s">
        <v>202</v>
      </c>
      <c r="Y3" s="27"/>
      <c r="Z3" s="27"/>
      <c r="AA3" s="32"/>
      <c r="AB3" s="31" t="s">
        <v>203</v>
      </c>
      <c r="AC3" s="27"/>
      <c r="AD3" s="33" t="str" cm="1">
        <f t="array" aca="1" ref="AD3" ca="1">QUOTIENT(SUMPRODUCT(LEFT($AE3:$AF3,FIND("년",$AE3:$AF3)-1)*12+MID($AE3:$AF3,FIND("년",$AE3:$AF3)+1,FIND("개월",$AE3:$AF3)-FIND("년",$AE3:$AF3)-1)),12)&amp;"년"&amp;MOD(SUMPRODUCT(LEFT($AE3:$AF3,FIND("년",$AE3:$AF3)-1)*12+MID($AE3:$AF3,FIND("년",$AE3:$AF3)+1,FIND("개월",$AE3:$AF3)-FIND("년",$AE3:$AF3)-1)),12)&amp;"개월"</f>
        <v>10년8개월</v>
      </c>
      <c r="AE3" s="33" t="s">
        <v>204</v>
      </c>
      <c r="AF3" s="34" t="str">
        <f ca="1">DATEDIF($L3,TODAY(),"y")&amp;"년"&amp;DATEDIF($L3,TODAY(),"ym")&amp;"개월"</f>
        <v>10년8개월</v>
      </c>
      <c r="AG3" s="35"/>
      <c r="AH3" s="35"/>
      <c r="AI3" s="30" t="s">
        <v>205</v>
      </c>
      <c r="AJ3" s="32"/>
      <c r="AK3" s="36">
        <f ca="1">VALUE(LEFT($AD3,FIND("년",$AD3)-1))</f>
        <v>10</v>
      </c>
      <c r="AL3" s="31" t="s">
        <v>206</v>
      </c>
      <c r="AM3" s="31" t="str">
        <f>IF(ISNUMBER(SEARCH("산업기사",$AT3)),IF($AK3&gt;=13,"특급",IF($AK3&gt;=10,"고급",IF($AK3&gt;=7,"중급","초급"))),IF(ISNUMBER(SEARCH("기사",$AR3)),IF($AK3&gt;=10,"특급",IF($AK3&gt;=7,"고급",IF($AK3&gt;=4,"중급","초급"))),"미해당"))</f>
        <v>미해당</v>
      </c>
      <c r="AN3" s="27"/>
      <c r="AO3" s="32"/>
      <c r="AP3" s="27"/>
      <c r="AQ3" s="32"/>
      <c r="AR3" s="27"/>
      <c r="AS3" s="27"/>
      <c r="AT3" s="37"/>
      <c r="AU3" s="27"/>
      <c r="AV3" s="38"/>
      <c r="AW3" s="39"/>
      <c r="AX3" s="39"/>
      <c r="AY3" s="40" t="s">
        <v>207</v>
      </c>
      <c r="AZ3" s="41"/>
      <c r="BA3" s="30"/>
      <c r="BB3" s="30"/>
      <c r="BC3" s="42" t="s">
        <v>208</v>
      </c>
      <c r="BD3" s="42" t="s">
        <v>209</v>
      </c>
      <c r="BE3" s="43" t="s">
        <v>210</v>
      </c>
      <c r="BF3" s="42" t="s">
        <v>211</v>
      </c>
      <c r="BG3" s="42" t="s">
        <v>212</v>
      </c>
      <c r="BH3" s="35"/>
      <c r="BI3" s="44" t="s">
        <v>213</v>
      </c>
      <c r="BJ3" s="45" t="str">
        <f>IFERROR(VLOOKUP($BG3,[1]프로젝트현황!Y:Z,2,0),"기타")</f>
        <v>서북권</v>
      </c>
      <c r="BK3" s="46" t="str">
        <f>(IF(BF3="","",BF3&amp;" "))&amp;(IF(BG3="","",BG3&amp;" "))&amp;(IF(BH3="","",BH3&amp;" "))&amp;BI3</f>
        <v>서울시 서대문구 세무서8길 30 홍제역 효성해링턴플레이스 113동 1802호</v>
      </c>
      <c r="BL3" s="47">
        <v>30</v>
      </c>
      <c r="BM3" s="47">
        <v>30</v>
      </c>
      <c r="BN3" s="48">
        <v>2758053.6589235459</v>
      </c>
      <c r="BO3" s="48">
        <f>BP3*12</f>
        <v>2758080</v>
      </c>
      <c r="BP3" s="49">
        <f>SUM(BQ3:BS3)</f>
        <v>229840</v>
      </c>
      <c r="BQ3" s="49">
        <f>ROUNDUP(BN3/12*209/(209+BU3*1.5)/BL3*BM3,-1)-BS3</f>
        <v>29840</v>
      </c>
      <c r="BR3" s="49">
        <f>ROUNDUP(BN3/12*(BU3*1.5)/(209+BU3*1.5)/BL3*BM3,1)</f>
        <v>0</v>
      </c>
      <c r="BS3" s="49">
        <v>200000</v>
      </c>
      <c r="BT3" s="50">
        <v>209</v>
      </c>
      <c r="BU3" s="49">
        <f>IF($BN3="","",
IFERROR(
    IF($BN3&lt;'[1]시간외시간 기준표'!$B$2,0,
        IF($BN3&gt;LOOKUP(9.9E+307,'[1]시간외시간 기준표'!$B$2:$B$999),
            LOOKUP(9.9E+307,'[1]시간외시간 기준표'!$C$2:$C$999),
            LOOKUP($BN3,'[1]시간외시간 기준표'!$B$2:$B$999,'[1]시간외시간 기준표'!$C$2:$C$999)
        )
    ),0)
)</f>
        <v>0</v>
      </c>
      <c r="BV3" s="50">
        <f>(BQ3+BS3)/209</f>
        <v>1099.7129186602872</v>
      </c>
      <c r="BW3" s="51">
        <v>30</v>
      </c>
      <c r="BX3" s="51">
        <v>30</v>
      </c>
      <c r="BY3" s="52">
        <v>2758053.6589235459</v>
      </c>
      <c r="BZ3" s="52">
        <f>CA3*12</f>
        <v>2758080</v>
      </c>
      <c r="CA3" s="49">
        <f>SUM(CB3:CD3)</f>
        <v>229840</v>
      </c>
      <c r="CB3" s="49">
        <f>ROUNDUP(BY3/12*209/(209+CF3*1.5)/BW3*BX3,-1)-CD3</f>
        <v>29840</v>
      </c>
      <c r="CC3" s="49">
        <f>ROUNDUP(BY3/12*(CF3*1.5)/(209+CF3*1.5)/BW3*BX3,1)</f>
        <v>0</v>
      </c>
      <c r="CD3" s="49">
        <v>200000</v>
      </c>
      <c r="CE3" s="50">
        <v>209</v>
      </c>
      <c r="CF3" s="49">
        <f>IF(BY3&lt;26000000,0,IF(BY3&lt;26500000,4,IF(BY3&lt;27000000,7,IF(BY3&lt;27500000,9,IF(BY3&lt;28000000,11,IF(BY3&lt;28500000,15,IF(BY3&lt;29000000,17,IF(BY3&lt;29500000,20,IF(BY3&lt;30000000,23,IF(BY3&lt;30500000,25,IF(BY3&lt;31000000,27,IF(BY3&lt;31500000,29,IF(BY3&lt;32000000,33,IF(BY3&lt;32500000,37,IF(BY3&lt;33000000,39,IF(BY3&lt;33500000,42,IF(BY3&lt;34000000,45,IF(BY3&lt;34500000,48,IF(BY3&lt;35000000,52,52)))))))))))))))))))</f>
        <v>0</v>
      </c>
      <c r="CG3" s="50">
        <f>(CB3+CD3)/209</f>
        <v>1099.7129186602872</v>
      </c>
      <c r="CH3" s="51">
        <v>30</v>
      </c>
      <c r="CI3" s="51">
        <v>30</v>
      </c>
      <c r="CJ3" s="52">
        <v>2712913.3621535627</v>
      </c>
      <c r="CK3" s="52">
        <f>CL3*12</f>
        <v>2712960</v>
      </c>
      <c r="CL3" s="49">
        <f>SUM(CM3:CO3)</f>
        <v>226080</v>
      </c>
      <c r="CM3" s="49">
        <f>ROUNDUP(CJ3/12*209/(209+CQ3*1.5)/CH3*CI3,-1)-CO3</f>
        <v>26080</v>
      </c>
      <c r="CN3" s="49">
        <f>ROUNDUP(CJ3/12*(CQ3*1.5)/(209+CQ3*1.5)/CH3*CI3,1)</f>
        <v>0</v>
      </c>
      <c r="CO3" s="50">
        <v>200000</v>
      </c>
      <c r="CP3" s="50">
        <v>209</v>
      </c>
      <c r="CQ3" s="50">
        <f>IF(CJ3&lt;26000000,0,IF(CJ3&lt;26500000,4,IF(CJ3&lt;27000000,7,IF(CJ3&lt;27500000,9,IF(CJ3&lt;28000000,11,IF(CJ3&lt;28500000,15,IF(CJ3&lt;29000000,17,IF(CJ3&lt;29500000,20,IF(CJ3&lt;30000000,23,IF(CJ3&lt;30500000,25,IF(CJ3&lt;31000000,27,IF(CJ3&lt;31500000,29,IF(CJ3&lt;32000000,33,IF(CJ3&lt;32500000,37,IF(CJ3&lt;33000000,39,IF(CJ3&lt;33500000,42,IF(CJ3&lt;34000000,45,IF(CJ3&lt;34500000,48,IF(CJ3&lt;35000000,52,52)))))))))))))))))))</f>
        <v>0</v>
      </c>
      <c r="CR3" s="50">
        <f>(CM3+CO3)/209</f>
        <v>1081.7224880382776</v>
      </c>
      <c r="CS3" s="52">
        <f>AVERAGE(CU4:CU312)</f>
        <v>1933891.6937128236</v>
      </c>
      <c r="CT3" s="53">
        <f>AVERAGE(CV4:CV312)</f>
        <v>537038.66287632368</v>
      </c>
      <c r="CU3" s="53">
        <f>AVERAGE(CW4:CW312)</f>
        <v>197872.3404255319</v>
      </c>
      <c r="CV3" s="53">
        <f>AVERAGE(CX4:CX312)</f>
        <v>207.89361702127658</v>
      </c>
      <c r="CW3" s="54">
        <v>200000</v>
      </c>
      <c r="CX3" s="54"/>
      <c r="CY3" s="54"/>
      <c r="CZ3" s="55"/>
      <c r="DA3" s="55"/>
      <c r="DB3" s="56"/>
      <c r="DC3" s="57"/>
      <c r="DD3" s="58"/>
      <c r="DE3" s="58"/>
      <c r="DF3" s="57"/>
      <c r="DG3" s="59">
        <f>B3</f>
        <v>150501</v>
      </c>
      <c r="DH3" s="58"/>
      <c r="DI3" s="58"/>
      <c r="DJ3" s="60"/>
      <c r="DK3" s="58"/>
      <c r="DL3" s="61"/>
      <c r="DM3" s="24"/>
    </row>
    <row r="4" spans="1:117" ht="15" customHeight="1">
      <c r="A4" s="25">
        <f>ROW()-2</f>
        <v>2</v>
      </c>
      <c r="B4" s="26">
        <v>151201</v>
      </c>
      <c r="C4" s="27" t="s">
        <v>214</v>
      </c>
      <c r="D4" s="27" t="s">
        <v>215</v>
      </c>
      <c r="E4" s="27" t="s">
        <v>195</v>
      </c>
      <c r="F4" s="27" t="s">
        <v>196</v>
      </c>
      <c r="G4" s="27" t="s">
        <v>216</v>
      </c>
      <c r="H4" s="27" t="s">
        <v>217</v>
      </c>
      <c r="I4" s="27" t="s">
        <v>218</v>
      </c>
      <c r="J4" s="27" t="str">
        <f>+VLOOKUP($I4,[1]프로젝트현황!$I:$N,5,0)</f>
        <v>서울시</v>
      </c>
      <c r="K4" s="27" t="str">
        <f>+VLOOKUP($I4,[1]프로젝트현황!$I:$N,6,0)</f>
        <v>강남구</v>
      </c>
      <c r="L4" s="28">
        <v>42345</v>
      </c>
      <c r="M4" s="28">
        <v>42345</v>
      </c>
      <c r="N4" s="28">
        <v>43220</v>
      </c>
      <c r="O4" s="29"/>
      <c r="P4" s="30" t="s">
        <v>219</v>
      </c>
      <c r="Q4" s="27" t="s">
        <v>220</v>
      </c>
      <c r="R4" s="31" t="str">
        <f>LEFT(Q4,6)</f>
        <v>821030</v>
      </c>
      <c r="S4" s="31" t="str">
        <f>MID($Q4,3,2)</f>
        <v>10</v>
      </c>
      <c r="T4" s="31" t="str">
        <f>IF(OR(MID($Q4,8,1)="1",MID($Q4,8,1)="3"),"남자",IF(OR(MID($Q4,8,1)="2",MID($Q4,8,1)="4"),"여자",""))</f>
        <v>남자</v>
      </c>
      <c r="U4" s="31">
        <f ca="1">YEAR(TODAY())-IF(OR(MID($Q4,8,1)="1",MID($Q4,8,1)="2"),19&amp;LEFT($Q4,2),IF(OR(MID($Q4,8,1)="3",MID($Q4,8,1)="4"),20&amp;LEFT($Q4,2),""))+1</f>
        <v>45</v>
      </c>
      <c r="V4" s="31" t="s">
        <v>200</v>
      </c>
      <c r="W4" s="31" t="s">
        <v>201</v>
      </c>
      <c r="X4" s="27" t="s">
        <v>221</v>
      </c>
      <c r="Y4" s="27"/>
      <c r="Z4" s="27" t="s">
        <v>222</v>
      </c>
      <c r="AA4" s="32">
        <v>45267</v>
      </c>
      <c r="AB4" s="31" t="s">
        <v>203</v>
      </c>
      <c r="AC4" s="27"/>
      <c r="AD4" s="33" t="str">
        <f ca="1">QUOTIENT(SUMPRODUCT(LEFT($AE4:$AF4,FIND("년",$AE4:$AF4)-1)*12+MID($AE4:$AF4,FIND("년",$AE4:$AF4)+1,FIND("개월",$AE4:$AF4)-FIND("년",$AE4:$AF4)-1)),12)&amp;"년"&amp;MOD(SUMPRODUCT(LEFT($AE4:$AF4,FIND("년",$AE4:$AF4)-1)*12+MID($AE4:$AF4,FIND("년",$AE4:$AF4)+1,FIND("개월",$AE4:$AF4)-FIND("년",$AE4:$AF4)-1)),12)&amp;"개월"</f>
        <v>21년0개월</v>
      </c>
      <c r="AE4" s="33" t="s">
        <v>223</v>
      </c>
      <c r="AF4" s="34" t="str">
        <f ca="1">DATEDIF($L4,TODAY(),"y")&amp;"년"&amp;DATEDIF($L4,TODAY(),"ym")&amp;"개월"</f>
        <v>10년2개월</v>
      </c>
      <c r="AG4" s="35" t="s">
        <v>224</v>
      </c>
      <c r="AH4" s="35" t="s">
        <v>225</v>
      </c>
      <c r="AI4" s="30" t="s">
        <v>205</v>
      </c>
      <c r="AJ4" s="32">
        <v>37672</v>
      </c>
      <c r="AK4" s="36">
        <f ca="1">VALUE(LEFT($AD4,FIND("년",$AD4)-1))</f>
        <v>21</v>
      </c>
      <c r="AL4" s="31" t="str">
        <f ca="1">IF($AI4="전문학사",IF($AK4&lt;=8,"초급",IF($AK4&lt;12,"중급",IF($AK4&lt;15,"고급",IF($AK4&gt;=15,"특급")))))</f>
        <v>특급</v>
      </c>
      <c r="AM4" s="31" t="str">
        <f>IF(ISNUMBER(SEARCH("산업기사",$AT4)),IF($AK4&gt;=13,"특급",IF($AK4&gt;=10,"고급",IF($AK4&gt;=7,"중급","초급"))),IF(ISNUMBER(SEARCH("기사",$AR4)),IF($AK4&gt;=10,"특급",IF($AK4&gt;=7,"고급",IF($AK4&gt;=4,"중급","초급"))),"미해당"))</f>
        <v>미해당</v>
      </c>
      <c r="AN4" s="27"/>
      <c r="AO4" s="32"/>
      <c r="AP4" s="27" t="s">
        <v>137</v>
      </c>
      <c r="AQ4" s="32">
        <v>2017.03</v>
      </c>
      <c r="AR4" s="27"/>
      <c r="AS4" s="27"/>
      <c r="AT4" s="37"/>
      <c r="AU4" s="27"/>
      <c r="AV4" s="38" t="s">
        <v>226</v>
      </c>
      <c r="AW4" s="39" t="s">
        <v>227</v>
      </c>
      <c r="AX4" s="39">
        <v>2017.03</v>
      </c>
      <c r="AY4" s="40" t="s">
        <v>228</v>
      </c>
      <c r="AZ4" s="41" t="s">
        <v>229</v>
      </c>
      <c r="BA4" s="30" t="s">
        <v>230</v>
      </c>
      <c r="BB4" s="30" t="s">
        <v>231</v>
      </c>
      <c r="BC4" s="42" t="s">
        <v>208</v>
      </c>
      <c r="BD4" s="42" t="s">
        <v>232</v>
      </c>
      <c r="BE4" s="43" t="s">
        <v>233</v>
      </c>
      <c r="BF4" s="42" t="s">
        <v>234</v>
      </c>
      <c r="BG4" s="42" t="s">
        <v>235</v>
      </c>
      <c r="BH4" s="35" t="s">
        <v>236</v>
      </c>
      <c r="BI4" s="44" t="s">
        <v>237</v>
      </c>
      <c r="BJ4" s="45" t="str">
        <f>IFERROR(VLOOKUP($BG4,[1]프로젝트현황!Y:Z,2,0),"기타")</f>
        <v>서북권</v>
      </c>
      <c r="BK4" s="46" t="str">
        <f>(IF(BF4="","",BF4&amp;" "))&amp;(IF(BG4="","",BG4&amp;" "))&amp;(IF(BH4="","",BH4&amp;" "))&amp;BI4</f>
        <v>경기도 고양시 덕양구 덕양구 성신로99, 1909 1501호(행신동, 햇빛마을 19단지 공무원 아파트)</v>
      </c>
      <c r="BL4" s="47">
        <v>30</v>
      </c>
      <c r="BM4" s="47">
        <v>30</v>
      </c>
      <c r="BN4" s="48">
        <v>80000000</v>
      </c>
      <c r="BO4" s="48">
        <f>BP4*12</f>
        <v>80000000</v>
      </c>
      <c r="BP4" s="49">
        <f>BN4/12</f>
        <v>6666666.666666667</v>
      </c>
      <c r="BQ4" s="49">
        <f>BP4-BS4</f>
        <v>6466666.666666667</v>
      </c>
      <c r="BR4" s="49">
        <v>0</v>
      </c>
      <c r="BS4" s="49">
        <v>200000</v>
      </c>
      <c r="BT4" s="50">
        <v>0</v>
      </c>
      <c r="BU4" s="49">
        <f>IF($BN4="","",
IFERROR(
    IF($BN4&lt;'[1]시간외시간 기준표'!$B$2,0,
        IF($BN4&gt;LOOKUP(9.9E+307,'[1]시간외시간 기준표'!$B$2:$B$999),
            LOOKUP(9.9E+307,'[1]시간외시간 기준표'!$C$2:$C$999),
            LOOKUP($BN4,'[1]시간외시간 기준표'!$B$2:$B$999,'[1]시간외시간 기준표'!$C$2:$C$999)
        )
    ),0)
)</f>
        <v>52</v>
      </c>
      <c r="BV4" s="50">
        <f>(BQ4+BS4)/209</f>
        <v>31897.926634768741</v>
      </c>
      <c r="BW4" s="51">
        <v>30</v>
      </c>
      <c r="BX4" s="51">
        <v>30</v>
      </c>
      <c r="BY4" s="52">
        <v>80000000</v>
      </c>
      <c r="BZ4" s="52">
        <f>CA4*12</f>
        <v>80000000</v>
      </c>
      <c r="CA4" s="49">
        <f>BY4/12</f>
        <v>6666666.666666667</v>
      </c>
      <c r="CB4" s="49">
        <f>CA4-CD4</f>
        <v>6466666.666666667</v>
      </c>
      <c r="CC4" s="49">
        <v>0</v>
      </c>
      <c r="CD4" s="49">
        <v>200000</v>
      </c>
      <c r="CE4" s="50">
        <v>0</v>
      </c>
      <c r="CF4" s="49">
        <v>0</v>
      </c>
      <c r="CG4" s="50">
        <f>(CB4+CD4)/209</f>
        <v>31897.926634768741</v>
      </c>
      <c r="CH4" s="51">
        <v>30</v>
      </c>
      <c r="CI4" s="51">
        <v>30</v>
      </c>
      <c r="CJ4" s="52">
        <v>80000000</v>
      </c>
      <c r="CK4" s="52">
        <f>CL4*12</f>
        <v>80000000.400000006</v>
      </c>
      <c r="CL4" s="49">
        <f>SUM(CM4:CO4)</f>
        <v>6666666.7000000002</v>
      </c>
      <c r="CM4" s="49">
        <f>ROUNDUP(CJ4/12*209/(209+CQ4*1.5)/CH4*CI4,-1)-CO4</f>
        <v>4654820</v>
      </c>
      <c r="CN4" s="49">
        <f>ROUNDUP(CJ4/12*(CQ4*1.5)/(209+CQ4*1.5)/CH4*CI4,1)</f>
        <v>1811846.7000000002</v>
      </c>
      <c r="CO4" s="50">
        <v>200000</v>
      </c>
      <c r="CP4" s="50">
        <v>209</v>
      </c>
      <c r="CQ4" s="50">
        <f>IF(CJ4&lt;26000000,0,IF(CJ4&lt;26500000,4,IF(CJ4&lt;27000000,7,IF(CJ4&lt;27500000,9,IF(CJ4&lt;28000000,11,IF(CJ4&lt;28500000,15,IF(CJ4&lt;29000000,17,IF(CJ4&lt;29500000,20,IF(CJ4&lt;30000000,23,IF(CJ4&lt;30500000,25,IF(CJ4&lt;31000000,27,IF(CJ4&lt;31500000,29,IF(CJ4&lt;32000000,33,IF(CJ4&lt;32500000,37,IF(CJ4&lt;33000000,39,IF(CJ4&lt;33500000,42,IF(CJ4&lt;34000000,45,IF(CJ4&lt;34500000,48,IF(CJ4&lt;35000000,52,52)))))))))))))))))))</f>
        <v>52</v>
      </c>
      <c r="CR4" s="50">
        <f>(CM4+CO4)/209</f>
        <v>23228.803827751195</v>
      </c>
      <c r="CS4" s="52">
        <v>60000000</v>
      </c>
      <c r="CT4" s="53">
        <f>IFERROR(CS4/12,"")</f>
        <v>5000000</v>
      </c>
      <c r="CU4" s="53">
        <f>IFERROR(CT4-CV4-CW4,"")</f>
        <v>3441114.9825783973</v>
      </c>
      <c r="CV4" s="53">
        <f>IFERROR(CT4*(CY4*1.5)/(209+(CY4*1.5)),"")</f>
        <v>1358885.0174216027</v>
      </c>
      <c r="CW4" s="54">
        <v>200000</v>
      </c>
      <c r="CX4" s="54">
        <v>209</v>
      </c>
      <c r="CY4" s="54">
        <v>52</v>
      </c>
      <c r="CZ4" s="55">
        <f>SUM(CX4:CY4)</f>
        <v>261</v>
      </c>
      <c r="DA4" s="55">
        <f>IFERROR((CU4/209)+(CW4-(9620*209*0.01))/209,"")</f>
        <v>17325.402787456445</v>
      </c>
      <c r="DB4" s="56">
        <f>IFERROR((CU4+CW4)/209,"")</f>
        <v>17421.602787456446</v>
      </c>
      <c r="DC4" s="57">
        <v>2023</v>
      </c>
      <c r="DD4" s="58"/>
      <c r="DE4" s="58"/>
      <c r="DF4" s="57"/>
      <c r="DG4" s="59">
        <f>B4</f>
        <v>151201</v>
      </c>
      <c r="DH4" s="58"/>
      <c r="DI4" s="58"/>
      <c r="DJ4" s="60"/>
      <c r="DK4" s="58"/>
      <c r="DL4" s="61"/>
      <c r="DM4" s="24"/>
    </row>
    <row r="5" spans="1:117" ht="15" customHeight="1">
      <c r="A5" s="25">
        <f>ROW()-2</f>
        <v>3</v>
      </c>
      <c r="B5" s="26">
        <v>170702</v>
      </c>
      <c r="C5" s="27" t="s">
        <v>238</v>
      </c>
      <c r="D5" s="27"/>
      <c r="E5" s="27" t="s">
        <v>239</v>
      </c>
      <c r="F5" s="27" t="s">
        <v>196</v>
      </c>
      <c r="G5" s="27" t="s">
        <v>240</v>
      </c>
      <c r="H5" s="27" t="s">
        <v>241</v>
      </c>
      <c r="I5" s="27" t="s">
        <v>242</v>
      </c>
      <c r="J5" s="27" t="str">
        <f>+VLOOKUP($I5,[1]프로젝트현황!$I:$N,5,0)</f>
        <v>서울시</v>
      </c>
      <c r="K5" s="27" t="str">
        <f>+VLOOKUP($I5,[1]프로젝트현황!$I:$N,6,0)</f>
        <v>영등포구</v>
      </c>
      <c r="L5" s="28">
        <v>42926</v>
      </c>
      <c r="M5" s="28">
        <v>42926</v>
      </c>
      <c r="N5" s="28"/>
      <c r="O5" s="29"/>
      <c r="P5" s="30"/>
      <c r="Q5" s="27" t="s">
        <v>243</v>
      </c>
      <c r="R5" s="31" t="str">
        <f>LEFT(Q5,6)</f>
        <v>830509</v>
      </c>
      <c r="S5" s="31" t="str">
        <f>MID($Q5,3,2)</f>
        <v>05</v>
      </c>
      <c r="T5" s="31" t="str">
        <f>IF(OR(MID($Q5,8,1)="1",MID($Q5,8,1)="3"),"남자",IF(OR(MID($Q5,8,1)="2",MID($Q5,8,1)="4"),"여자",""))</f>
        <v>여자</v>
      </c>
      <c r="U5" s="31">
        <f ca="1">YEAR(TODAY())-IF(OR(MID($Q5,8,1)="1",MID($Q5,8,1)="2"),19&amp;LEFT($Q5,2),IF(OR(MID($Q5,8,1)="3",MID($Q5,8,1)="4"),20&amp;LEFT($Q5,2),""))+1</f>
        <v>44</v>
      </c>
      <c r="V5" s="31" t="s">
        <v>200</v>
      </c>
      <c r="W5" s="31" t="s">
        <v>201</v>
      </c>
      <c r="X5" s="27" t="s">
        <v>244</v>
      </c>
      <c r="Y5" s="27"/>
      <c r="Z5" s="27"/>
      <c r="AA5" s="32"/>
      <c r="AB5" s="31" t="s">
        <v>203</v>
      </c>
      <c r="AC5" s="27"/>
      <c r="AD5" s="33" t="str">
        <f ca="1">QUOTIENT(SUMPRODUCT(LEFT($AE5:$AF5,FIND("년",$AE5:$AF5)-1)*12+MID($AE5:$AF5,FIND("년",$AE5:$AF5)+1,FIND("개월",$AE5:$AF5)-FIND("년",$AE5:$AF5)-1)),12)&amp;"년"&amp;MOD(SUMPRODUCT(LEFT($AE5:$AF5,FIND("년",$AE5:$AF5)-1)*12+MID($AE5:$AF5,FIND("년",$AE5:$AF5)+1,FIND("개월",$AE5:$AF5)-FIND("년",$AE5:$AF5)-1)),12)&amp;"개월"</f>
        <v>13년4개월</v>
      </c>
      <c r="AE5" s="33" t="s">
        <v>245</v>
      </c>
      <c r="AF5" s="34" t="str">
        <f ca="1">DATEDIF($L5,TODAY(),"y")&amp;"년"&amp;DATEDIF($L5,TODAY(),"ym")&amp;"개월"</f>
        <v>8년7개월</v>
      </c>
      <c r="AG5" s="35" t="s">
        <v>246</v>
      </c>
      <c r="AH5" s="35" t="s">
        <v>247</v>
      </c>
      <c r="AI5" s="30" t="s">
        <v>205</v>
      </c>
      <c r="AJ5" s="32">
        <v>38765</v>
      </c>
      <c r="AK5" s="36">
        <f ca="1">VALUE(LEFT($AD5,FIND("년",$AD5)-1))</f>
        <v>13</v>
      </c>
      <c r="AL5" s="31" t="b">
        <f>IF($ABN3="전문학사",IF($AK5&lt;=8,"초급",IF($AK5&lt;12,"중급",IF($AK5&lt;15,"고급",IF($AK5&gt;=15,"특급")))))</f>
        <v>0</v>
      </c>
      <c r="AM5" s="31" t="str">
        <f>IF(ISNUMBER(SEARCH("산업기사",$AT5)),IF($AK5&gt;=13,"특급",IF($AK5&gt;=10,"고급",IF($AK5&gt;=7,"중급","초급"))),IF(ISNUMBER(SEARCH("기사",$AR5)),IF($AK5&gt;=10,"특급",IF($AK5&gt;=7,"고급",IF($AK5&gt;=4,"중급","초급"))),"미해당"))</f>
        <v>미해당</v>
      </c>
      <c r="AN5" s="27"/>
      <c r="AO5" s="32"/>
      <c r="AP5" s="27"/>
      <c r="AQ5" s="32"/>
      <c r="AR5" s="27"/>
      <c r="AS5" s="27"/>
      <c r="AT5" s="37"/>
      <c r="AU5" s="27"/>
      <c r="AV5" s="38" t="s">
        <v>248</v>
      </c>
      <c r="AW5" s="39" t="s">
        <v>249</v>
      </c>
      <c r="AX5" s="39" t="s">
        <v>250</v>
      </c>
      <c r="AY5" s="40" t="s">
        <v>251</v>
      </c>
      <c r="AZ5" s="41" t="s">
        <v>252</v>
      </c>
      <c r="BA5" s="30" t="s">
        <v>230</v>
      </c>
      <c r="BB5" s="30" t="s">
        <v>253</v>
      </c>
      <c r="BC5" s="42" t="s">
        <v>254</v>
      </c>
      <c r="BD5" s="42" t="s">
        <v>255</v>
      </c>
      <c r="BE5" s="43" t="s">
        <v>256</v>
      </c>
      <c r="BF5" s="42" t="s">
        <v>211</v>
      </c>
      <c r="BG5" s="42" t="s">
        <v>257</v>
      </c>
      <c r="BH5" s="35"/>
      <c r="BI5" s="44" t="s">
        <v>258</v>
      </c>
      <c r="BJ5" s="45" t="str">
        <f>IFERROR(VLOOKUP($BG5,[1]프로젝트현황!Y:Z,2,0),"기타")</f>
        <v>서남권</v>
      </c>
      <c r="BK5" s="46" t="str">
        <f>(IF(BF5="","",BF5&amp;" "))&amp;(IF(BG5="","",BG5&amp;" "))&amp;(IF(BH5="","",BH5&amp;" "))&amp;BBN3</f>
        <v xml:space="preserve">서울시 금천구 </v>
      </c>
      <c r="BL5" s="47">
        <v>30</v>
      </c>
      <c r="BM5" s="47">
        <v>30</v>
      </c>
      <c r="BN5" s="48">
        <v>34000000</v>
      </c>
      <c r="BO5" s="48">
        <f>(BP5*12)</f>
        <v>34000082.400000006</v>
      </c>
      <c r="BP5" s="49">
        <f>SUM(BQ5:BS5)</f>
        <v>2833340.2</v>
      </c>
      <c r="BQ5" s="49">
        <f>ROUNDUP(BN5/12*209/(209+BU5*1.5)/BL5*BM5,-1)-BS5</f>
        <v>1965150</v>
      </c>
      <c r="BR5" s="49">
        <f>ROUNDUP(BN5/12*(BU5*1.5)/(209+BU5*1.5)/BL5*BM5,1)</f>
        <v>668190.19999999995</v>
      </c>
      <c r="BS5" s="49">
        <v>200000</v>
      </c>
      <c r="BT5" s="50">
        <v>209</v>
      </c>
      <c r="BU5" s="49">
        <f>IF($BN5="","",
IFERROR(
    IF($BN5&lt;'[1]시간외시간 기준표'!$B$2,0,
        IF($BN5&gt;LOOKUP(9.9E+307,'[1]시간외시간 기준표'!$B$2:$B$999),
            LOOKUP(9.9E+307,'[1]시간외시간 기준표'!$C$2:$C$999),
            LOOKUP($BN5,'[1]시간외시간 기준표'!$B$2:$B$999,'[1]시간외시간 기준표'!$C$2:$C$999)
        )
    ),0)
)</f>
        <v>43</v>
      </c>
      <c r="BV5" s="50">
        <f>(BQ5+BS5)/209</f>
        <v>10359.56937799043</v>
      </c>
      <c r="BW5" s="51">
        <v>30</v>
      </c>
      <c r="BX5" s="51">
        <v>30</v>
      </c>
      <c r="BY5" s="52">
        <v>34000000</v>
      </c>
      <c r="BZ5" s="52">
        <f>(CA5*12)</f>
        <v>34000064.400000006</v>
      </c>
      <c r="CA5" s="49">
        <f>SUM(CB5:CD5)</f>
        <v>2833338.7</v>
      </c>
      <c r="CB5" s="49">
        <f>ROUNDUP(BY5/12*209/(209+CF5*1.5)/BW5*BX5,-1)-CD5</f>
        <v>1907360</v>
      </c>
      <c r="CC5" s="49">
        <f>ROUNDUP(BY5/12*(CF5*1.5)/(209+CF5*1.5)/BW5*BX5,1)</f>
        <v>725978.7</v>
      </c>
      <c r="CD5" s="49">
        <v>200000</v>
      </c>
      <c r="CE5" s="50">
        <v>209</v>
      </c>
      <c r="CF5" s="49">
        <f>IF(BY5&lt;26000000,0,IF(BY5&lt;26500000,4,IF(BY5&lt;27000000,7,IF(BY5&lt;27500000,9,IF(BY5&lt;28000000,11,IF(BY5&lt;28500000,15,IF(BY5&lt;29000000,17,IF(BY5&lt;29500000,20,IF(BY5&lt;30000000,23,IF(BY5&lt;30500000,25,IF(BY5&lt;31000000,27,IF(BY5&lt;31500000,29,IF(BY5&lt;32000000,33,IF(BY5&lt;32500000,37,IF(BY5&lt;33000000,39,IF(BY5&lt;33500000,42,IF(BY5&lt;34000000,45,IF(BY5&lt;34500000,48,IF(BY5&lt;35000000,52,52)))))))))))))))))))</f>
        <v>48</v>
      </c>
      <c r="CG5" s="50">
        <f>(CB5+CD5)/209</f>
        <v>10083.062200956938</v>
      </c>
      <c r="CH5" s="51">
        <v>30</v>
      </c>
      <c r="CI5" s="51">
        <v>30</v>
      </c>
      <c r="CJ5" s="52">
        <v>33200000</v>
      </c>
      <c r="CK5" s="52">
        <f>CL5*12</f>
        <v>0</v>
      </c>
      <c r="CL5" s="49">
        <f>SUM(CM5:CO5)</f>
        <v>0</v>
      </c>
      <c r="CM5" s="49">
        <f>ROUNDUP(CJ5/12*209/(209+CQ5*1.5)/CH5*CBN3,-1)-CO5</f>
        <v>-200000</v>
      </c>
      <c r="CN5" s="49">
        <f>ROUNDUP(CJ5/12*(CQ5*1.5)/(209+CQ5*1.5)/CH5*CBN3,1)</f>
        <v>0</v>
      </c>
      <c r="CO5" s="50">
        <v>200000</v>
      </c>
      <c r="CP5" s="50">
        <v>209</v>
      </c>
      <c r="CQ5" s="50">
        <f>IF(CJ5&lt;26000000,0,IF(CJ5&lt;26500000,4,IF(CJ5&lt;27000000,7,IF(CJ5&lt;27500000,9,IF(CJ5&lt;28000000,11,IF(CJ5&lt;28500000,15,IF(CJ5&lt;29000000,17,IF(CJ5&lt;29500000,20,IF(CJ5&lt;30000000,23,IF(CJ5&lt;30500000,25,IF(CJ5&lt;31000000,27,IF(CJ5&lt;31500000,29,IF(CJ5&lt;32000000,33,IF(CJ5&lt;32500000,37,IF(CJ5&lt;33000000,39,IF(CJ5&lt;33500000,42,IF(CJ5&lt;34000000,45,IF(CJ5&lt;34500000,48,IF(CJ5&lt;35000000,52,52)))))))))))))))))))</f>
        <v>42</v>
      </c>
      <c r="CR5" s="50">
        <f>(CM5+CO5)/209</f>
        <v>0</v>
      </c>
      <c r="CS5" s="52">
        <v>32000000</v>
      </c>
      <c r="CT5" s="53">
        <f>IFERROR(CS5/12,"")</f>
        <v>2666666.6666666665</v>
      </c>
      <c r="CU5" s="53">
        <f>IFERROR(CBX3-CV5-CW5,"")</f>
        <v>-200000</v>
      </c>
      <c r="CV5" s="53">
        <f>IFERROR(CBX3*(CY5*1.5)/(209+(CY5*1.5)),"")</f>
        <v>0</v>
      </c>
      <c r="CW5" s="54">
        <v>200000</v>
      </c>
      <c r="CX5" s="54">
        <v>209</v>
      </c>
      <c r="CY5" s="54">
        <v>43</v>
      </c>
      <c r="CZ5" s="55">
        <f>SUM(CX5:CY5)</f>
        <v>252</v>
      </c>
      <c r="DA5" s="55">
        <f>IFERROR((CU5/209)+(CW5-(9620*209*0.01))/209,"")</f>
        <v>-96.199999999999932</v>
      </c>
      <c r="DB5" s="56">
        <f>IFERROR((CU5+CW5)/209,"")</f>
        <v>0</v>
      </c>
      <c r="DC5" s="57">
        <v>2023</v>
      </c>
      <c r="DD5" s="58"/>
      <c r="DE5" s="58"/>
      <c r="DF5" s="57"/>
      <c r="DG5" s="59">
        <f>B5</f>
        <v>170702</v>
      </c>
      <c r="DH5" s="58"/>
      <c r="DI5" s="58"/>
      <c r="DJ5" s="60"/>
      <c r="DK5" s="58"/>
      <c r="DL5" s="61"/>
      <c r="DM5" s="24"/>
    </row>
    <row r="6" spans="1:117" ht="15" customHeight="1">
      <c r="A6" s="25">
        <f>ROW()-2</f>
        <v>4</v>
      </c>
      <c r="B6" s="26">
        <v>170801</v>
      </c>
      <c r="C6" s="27" t="s">
        <v>259</v>
      </c>
      <c r="D6" s="27"/>
      <c r="E6" s="27" t="s">
        <v>239</v>
      </c>
      <c r="F6" s="27" t="s">
        <v>196</v>
      </c>
      <c r="G6" s="27" t="s">
        <v>240</v>
      </c>
      <c r="H6" s="27" t="s">
        <v>260</v>
      </c>
      <c r="I6" s="27" t="s">
        <v>261</v>
      </c>
      <c r="J6" s="27" t="str">
        <f>+VLOOKUP($I6,[1]프로젝트현황!$I:$N,5,0)</f>
        <v>서울시</v>
      </c>
      <c r="K6" s="27" t="str">
        <f>+VLOOKUP($I6,[1]프로젝트현황!$I:$N,6,0)</f>
        <v>중구</v>
      </c>
      <c r="L6" s="28">
        <v>42948</v>
      </c>
      <c r="M6" s="28">
        <v>42948</v>
      </c>
      <c r="N6" s="28"/>
      <c r="O6" s="29"/>
      <c r="P6" s="30" t="s">
        <v>262</v>
      </c>
      <c r="Q6" s="27" t="s">
        <v>263</v>
      </c>
      <c r="R6" s="31" t="str">
        <f>LEFT(Q6,6)</f>
        <v>890218</v>
      </c>
      <c r="S6" s="31">
        <v>3</v>
      </c>
      <c r="T6" s="31" t="str">
        <f>IF(OR(MID($Q6,8,1)="1",MID($Q6,8,1)="3"),"남자",IF(OR(MID($Q6,8,1)="2",MID($Q6,8,1)="4"),"여자",""))</f>
        <v>남자</v>
      </c>
      <c r="U6" s="31">
        <f ca="1">YEAR(TODAY())-IF(OR(MID($Q6,8,1)="1",MID($Q6,8,1)="2"),19&amp;LEFT($Q6,2),IF(OR(MID($Q6,8,1)="3",MID($Q6,8,1)="4"),20&amp;LEFT($Q6,2),""))+1</f>
        <v>38</v>
      </c>
      <c r="V6" s="31" t="s">
        <v>264</v>
      </c>
      <c r="W6" s="31" t="s">
        <v>201</v>
      </c>
      <c r="X6" s="27" t="s">
        <v>265</v>
      </c>
      <c r="Y6" s="27"/>
      <c r="Z6" s="27" t="s">
        <v>266</v>
      </c>
      <c r="AA6" s="32"/>
      <c r="AB6" s="31" t="s">
        <v>203</v>
      </c>
      <c r="AC6" s="27"/>
      <c r="AD6" s="33" t="str">
        <f ca="1">QUOTIENT(SUMPRODUCT(LEFT($AE6:$AF6,FIND("년",$AE6:$AF6)-1)*12+MID($AE6:$AF6,FIND("년",$AE6:$AF6)+1,FIND("개월",$AE6:$AF6)-FIND("년",$AE6:$AF6)-1)),12)&amp;"년"&amp;MOD(SUMPRODUCT(LEFT($AE6:$AF6,FIND("년",$AE6:$AF6)-1)*12+MID($AE6:$AF6,FIND("년",$AE6:$AF6)+1,FIND("개월",$AE6:$AF6)-FIND("년",$AE6:$AF6)-1)),12)&amp;"개월"</f>
        <v>8년8개월</v>
      </c>
      <c r="AE6" s="33" t="s">
        <v>267</v>
      </c>
      <c r="AF6" s="34" t="str">
        <f ca="1">DATEDIF($L6,TODAY(),"y")&amp;"년"&amp;DATEDIF($L6,TODAY(),"ym")&amp;"개월"</f>
        <v>8년6개월</v>
      </c>
      <c r="AG6" s="35" t="s">
        <v>268</v>
      </c>
      <c r="AH6" s="35" t="s">
        <v>269</v>
      </c>
      <c r="AI6" s="30" t="s">
        <v>270</v>
      </c>
      <c r="AJ6" s="32">
        <v>41684</v>
      </c>
      <c r="AK6" s="36">
        <f ca="1">VALUE(LEFT($AD6,FIND("년",$AD6)-1))</f>
        <v>8</v>
      </c>
      <c r="AL6" s="31" t="str">
        <f ca="1">IF($AI6="학사",IF($AK6&lt;=5,"초급",IF($AK6&lt;9,"중급",IF($AK6&lt;12,"고급",IF($AK6&gt;=12,"특급")))))</f>
        <v>중급</v>
      </c>
      <c r="AM6" s="31" t="str">
        <f>IF(ISNUMBER(SEARCH("산업기사",$AT6)),IF($AK6&gt;=13,"특급",IF($AK6&gt;=10,"고급",IF($AK6&gt;=7,"중급","초급"))),IF(ISNUMBER(SEARCH("기사",$AR6)),IF($AK6&gt;=10,"특급",IF($AK6&gt;=7,"고급",IF($AK6&gt;=4,"중급","초급"))),"미해당"))</f>
        <v>미해당</v>
      </c>
      <c r="AN6" s="27"/>
      <c r="AO6" s="32"/>
      <c r="AP6" s="27"/>
      <c r="AQ6" s="32"/>
      <c r="AR6" s="27"/>
      <c r="AS6" s="27"/>
      <c r="AT6" s="37"/>
      <c r="AU6" s="27"/>
      <c r="AV6" s="38" t="s">
        <v>271</v>
      </c>
      <c r="AW6" s="39" t="s">
        <v>272</v>
      </c>
      <c r="AX6" s="39" t="s">
        <v>273</v>
      </c>
      <c r="AY6" s="40" t="s">
        <v>251</v>
      </c>
      <c r="AZ6" s="41" t="s">
        <v>252</v>
      </c>
      <c r="BA6" s="30" t="s">
        <v>230</v>
      </c>
      <c r="BB6" s="30" t="s">
        <v>274</v>
      </c>
      <c r="BC6" s="42" t="s">
        <v>275</v>
      </c>
      <c r="BD6" s="42" t="s">
        <v>276</v>
      </c>
      <c r="BE6" s="43" t="s">
        <v>277</v>
      </c>
      <c r="BF6" s="42" t="s">
        <v>234</v>
      </c>
      <c r="BG6" s="42" t="s">
        <v>278</v>
      </c>
      <c r="BH6" s="35" t="s">
        <v>279</v>
      </c>
      <c r="BI6" s="44" t="s">
        <v>280</v>
      </c>
      <c r="BJ6" s="45" t="str">
        <f>IFERROR(VLOOKUP($BG6,[1]프로젝트현황!Y:Z,2,0),"기타")</f>
        <v>서남권</v>
      </c>
      <c r="BK6" s="46" t="str">
        <f>(IF(BF6="","",BF6&amp;" "))&amp;(IF(BG6="","",BG6&amp;" "))&amp;(IF(BH6="","",BH6&amp;" "))&amp;BI6</f>
        <v>경기도 안산시 단원구 단원구 광덕3로 241, 4층 (고잔동 760-2)</v>
      </c>
      <c r="BL6" s="47">
        <v>30</v>
      </c>
      <c r="BM6" s="47">
        <v>30</v>
      </c>
      <c r="BN6" s="48">
        <v>34000000</v>
      </c>
      <c r="BO6" s="48">
        <f>BP6*12</f>
        <v>34000082.400000006</v>
      </c>
      <c r="BP6" s="49">
        <f>SUM(BQ6:BS6)</f>
        <v>2833340.2</v>
      </c>
      <c r="BQ6" s="49">
        <f>ROUNDUP(BN6/12*209/(209+BU6*1.5)/BL6*BM6,-1)-BS6</f>
        <v>1965150</v>
      </c>
      <c r="BR6" s="49">
        <f>ROUNDUP(BN6/12*(BU6*1.5)/(209+BU6*1.5)/BL6*BM6,1)</f>
        <v>668190.19999999995</v>
      </c>
      <c r="BS6" s="49">
        <v>200000</v>
      </c>
      <c r="BT6" s="50">
        <v>209</v>
      </c>
      <c r="BU6" s="49">
        <f>IF($BN6="","",
IFERROR(
    IF($BN6&lt;'[1]시간외시간 기준표'!$B$2,0,
        IF($BN6&gt;LOOKUP(9.9E+307,'[1]시간외시간 기준표'!$B$2:$B$999),
            LOOKUP(9.9E+307,'[1]시간외시간 기준표'!$C$2:$C$999),
            LOOKUP($BN6,'[1]시간외시간 기준표'!$B$2:$B$999,'[1]시간외시간 기준표'!$C$2:$C$999)
        )
    ),0)
)</f>
        <v>43</v>
      </c>
      <c r="BV6" s="50">
        <f>(BQ6+BS6)/209</f>
        <v>10359.56937799043</v>
      </c>
      <c r="BW6" s="51">
        <v>30</v>
      </c>
      <c r="BX6" s="51">
        <v>30</v>
      </c>
      <c r="BY6" s="52">
        <v>34000000</v>
      </c>
      <c r="BZ6" s="52">
        <f>CA6*12</f>
        <v>34000064.400000006</v>
      </c>
      <c r="CA6" s="49">
        <f>SUM(CB6:CD6)</f>
        <v>2833338.7</v>
      </c>
      <c r="CB6" s="49">
        <f>ROUNDUP(BY6/12*209/(209+CF6*1.5)/BW6*BX6,-1)-CD6</f>
        <v>1907360</v>
      </c>
      <c r="CC6" s="49">
        <f>ROUNDUP(BY6/12*(CF6*1.5)/(209+CF6*1.5)/BW6*BX6,1)</f>
        <v>725978.7</v>
      </c>
      <c r="CD6" s="49">
        <v>200000</v>
      </c>
      <c r="CE6" s="50">
        <v>209</v>
      </c>
      <c r="CF6" s="49">
        <f>IF(BY6&lt;26000000,0,IF(BY6&lt;26500000,4,IF(BY6&lt;27000000,7,IF(BY6&lt;27500000,9,IF(BY6&lt;28000000,11,IF(BY6&lt;28500000,15,IF(BY6&lt;29000000,17,IF(BY6&lt;29500000,20,IF(BY6&lt;30000000,23,IF(BY6&lt;30500000,25,IF(BY6&lt;31000000,27,IF(BY6&lt;31500000,29,IF(BY6&lt;32000000,33,IF(BY6&lt;32500000,37,IF(BY6&lt;33000000,39,IF(BY6&lt;33500000,42,IF(BY6&lt;34000000,45,IF(BY6&lt;34500000,48,IF(BY6&lt;35000000,52,52)))))))))))))))))))</f>
        <v>48</v>
      </c>
      <c r="CG6" s="50">
        <f>(CB6+CD6)/209</f>
        <v>10083.062200956938</v>
      </c>
      <c r="CH6" s="51">
        <v>30</v>
      </c>
      <c r="CI6" s="51">
        <v>30</v>
      </c>
      <c r="CJ6" s="52">
        <v>33200000</v>
      </c>
      <c r="CK6" s="52">
        <f>CL6*12</f>
        <v>33200026.799999997</v>
      </c>
      <c r="CL6" s="49">
        <f>SUM(CM6:CO6)</f>
        <v>2766668.9</v>
      </c>
      <c r="CM6" s="49">
        <f>ROUNDUP(CJ6/12*209/(209+CQ6*1.5)/CH6*CI6,-1)-CO6</f>
        <v>1925860</v>
      </c>
      <c r="CN6" s="49">
        <f>ROUNDUP(CJ6/12*(CQ6*1.5)/(209+CQ6*1.5)/CH6*CI6,1)</f>
        <v>640808.9</v>
      </c>
      <c r="CO6" s="50">
        <v>200000</v>
      </c>
      <c r="CP6" s="50">
        <v>209</v>
      </c>
      <c r="CQ6" s="50">
        <f>IF(CJ6&lt;26000000,0,IF(CJ6&lt;26500000,4,IF(CJ6&lt;27000000,7,IF(CJ6&lt;27500000,9,IF(CJ6&lt;28000000,11,IF(CJ6&lt;28500000,15,IF(CJ6&lt;29000000,17,IF(CJ6&lt;29500000,20,IF(CJ6&lt;30000000,23,IF(CJ6&lt;30500000,25,IF(CJ6&lt;31000000,27,IF(CJ6&lt;31500000,29,IF(CJ6&lt;32000000,33,IF(CJ6&lt;32500000,37,IF(CJ6&lt;33000000,39,IF(CJ6&lt;33500000,42,IF(CJ6&lt;34000000,45,IF(CJ6&lt;34500000,48,IF(CJ6&lt;35000000,52,52)))))))))))))))))))</f>
        <v>42</v>
      </c>
      <c r="CR6" s="50">
        <f>(CM6+CO6)/209</f>
        <v>10171.578947368422</v>
      </c>
      <c r="CS6" s="52">
        <v>32000000</v>
      </c>
      <c r="CT6" s="53">
        <f>IFERROR(CS6/12,"")</f>
        <v>2666666.6666666665</v>
      </c>
      <c r="CU6" s="53">
        <f>IFERROR(CT6-CV6-CW6,"")</f>
        <v>1837781.8403412551</v>
      </c>
      <c r="CV6" s="53">
        <f>IFERROR(CT6*(CY6*1.5)/(209+(CY6*1.5)),"")</f>
        <v>628884.82632541133</v>
      </c>
      <c r="CW6" s="54">
        <v>200000</v>
      </c>
      <c r="CX6" s="54">
        <v>209</v>
      </c>
      <c r="CY6" s="54">
        <v>43</v>
      </c>
      <c r="CZ6" s="55">
        <f>SUM(CX6:CY6)</f>
        <v>252</v>
      </c>
      <c r="DA6" s="55">
        <f>IFERROR((CU6/209)+(CW6-(9620*209*0.01))/209,"")</f>
        <v>9653.9523461304088</v>
      </c>
      <c r="DB6" s="56">
        <f>IFERROR((CU6+CW6)/209,"")</f>
        <v>9750.1523461304078</v>
      </c>
      <c r="DC6" s="57">
        <v>2023</v>
      </c>
      <c r="DD6" s="58"/>
      <c r="DE6" s="58"/>
      <c r="DF6" s="57"/>
      <c r="DG6" s="59">
        <f>B6</f>
        <v>170801</v>
      </c>
      <c r="DH6" s="58"/>
      <c r="DI6" s="58"/>
      <c r="DJ6" s="60"/>
      <c r="DK6" s="58"/>
      <c r="DL6" s="61"/>
      <c r="DM6" s="24"/>
    </row>
    <row r="7" spans="1:117" ht="15" customHeight="1">
      <c r="A7" s="25">
        <f>ROW()-2</f>
        <v>5</v>
      </c>
      <c r="B7" s="26">
        <v>170803</v>
      </c>
      <c r="C7" s="27" t="s">
        <v>281</v>
      </c>
      <c r="D7" s="27" t="s">
        <v>282</v>
      </c>
      <c r="E7" s="27" t="s">
        <v>283</v>
      </c>
      <c r="F7" s="27" t="s">
        <v>196</v>
      </c>
      <c r="G7" s="27" t="s">
        <v>240</v>
      </c>
      <c r="H7" s="27" t="s">
        <v>241</v>
      </c>
      <c r="I7" s="27" t="s">
        <v>242</v>
      </c>
      <c r="J7" s="27" t="str">
        <f>+VLOOKUP($I7,[1]프로젝트현황!$I:$N,5,0)</f>
        <v>서울시</v>
      </c>
      <c r="K7" s="27" t="str">
        <f>+VLOOKUP($I7,[1]프로젝트현황!$I:$N,6,0)</f>
        <v>영등포구</v>
      </c>
      <c r="L7" s="28">
        <v>42948</v>
      </c>
      <c r="M7" s="28">
        <v>42948</v>
      </c>
      <c r="N7" s="28"/>
      <c r="O7" s="29"/>
      <c r="P7" s="30" t="s">
        <v>284</v>
      </c>
      <c r="Q7" s="27" t="s">
        <v>285</v>
      </c>
      <c r="R7" s="31" t="str">
        <f>LEFT(Q7,6)</f>
        <v>860429</v>
      </c>
      <c r="S7" s="31" t="str">
        <f>MID($Q7,3,2)</f>
        <v>04</v>
      </c>
      <c r="T7" s="31" t="str">
        <f>IF(OR(MID($Q7,8,1)="1",MID($Q7,8,1)="3"),"남자",IF(OR(MID($Q7,8,1)="2",MID($Q7,8,1)="4"),"여자",""))</f>
        <v>남자</v>
      </c>
      <c r="U7" s="31">
        <f ca="1">YEAR(TODAY())-IF(OR(MID($Q7,8,1)="1",MID($Q7,8,1)="2"),19&amp;LEFT($Q7,2),IF(OR(MID($Q7,8,1)="3",MID($Q7,8,1)="4"),20&amp;LEFT($Q7,2),""))+1</f>
        <v>41</v>
      </c>
      <c r="V7" s="31" t="s">
        <v>200</v>
      </c>
      <c r="W7" s="31" t="s">
        <v>201</v>
      </c>
      <c r="X7" s="27" t="s">
        <v>286</v>
      </c>
      <c r="Y7" s="27"/>
      <c r="Z7" s="27"/>
      <c r="AA7" s="32"/>
      <c r="AB7" s="31" t="s">
        <v>203</v>
      </c>
      <c r="AC7" s="27"/>
      <c r="AD7" s="33" t="str">
        <f ca="1">QUOTIENT(SUMPRODUCT(LEFT($AE7:$AF7,FIND("년",$AE7:$AF7)-1)*12+MID($AE7:$AF7,FIND("년",$AE7:$AF7)+1,FIND("개월",$AE7:$AF7)-FIND("년",$AE7:$AF7)-1)),12)&amp;"년"&amp;MOD(SUMPRODUCT(LEFT($AE7:$AF7,FIND("년",$AE7:$AF7)-1)*12+MID($AE7:$AF7,FIND("년",$AE7:$AF7)+1,FIND("개월",$AE7:$AF7)-FIND("년",$AE7:$AF7)-1)),12)&amp;"개월"</f>
        <v>16년11개월</v>
      </c>
      <c r="AE7" s="33" t="s">
        <v>287</v>
      </c>
      <c r="AF7" s="34" t="str">
        <f ca="1">DATEDIF($L7,TODAY(),"y")&amp;"년"&amp;DATEDIF($L7,TODAY(),"ym")&amp;"개월"</f>
        <v>8년6개월</v>
      </c>
      <c r="AG7" s="35" t="s">
        <v>288</v>
      </c>
      <c r="AH7" s="35" t="s">
        <v>289</v>
      </c>
      <c r="AI7" s="30" t="s">
        <v>205</v>
      </c>
      <c r="AJ7" s="32">
        <v>39492</v>
      </c>
      <c r="AK7" s="36">
        <f ca="1">VALUE(LEFT($AD7,FIND("년",$AD7)-1))</f>
        <v>16</v>
      </c>
      <c r="AL7" s="31" t="str">
        <f ca="1">IF($AI7="전문학사",IF($AK7&lt;=8,"초급",IF($AK7&lt;12,"중급",IF($AK7&lt;15,"고급",IF($AK7&gt;=15,"특급")))))</f>
        <v>특급</v>
      </c>
      <c r="AM7" s="31" t="str">
        <f>IF(ISNUMBER(SEARCH("산업기사",$AT7)),IF($AK7&gt;=13,"특급",IF($AK7&gt;=10,"고급",IF($AK7&gt;=7,"중급","초급"))),IF(ISNUMBER(SEARCH("기사",$AR7)),IF($AK7&gt;=10,"특급",IF($AK7&gt;=7,"고급",IF($AK7&gt;=4,"중급","초급"))),"미해당"))</f>
        <v>미해당</v>
      </c>
      <c r="AN7" s="27" t="s">
        <v>135</v>
      </c>
      <c r="AO7" s="32">
        <v>44794</v>
      </c>
      <c r="AP7" s="27" t="s">
        <v>137</v>
      </c>
      <c r="AQ7" s="32">
        <v>44035</v>
      </c>
      <c r="AR7" s="27"/>
      <c r="AS7" s="27"/>
      <c r="AT7" s="37"/>
      <c r="AU7" s="27"/>
      <c r="AV7" s="38"/>
      <c r="AW7" s="39" t="s">
        <v>290</v>
      </c>
      <c r="AX7" s="39" t="s">
        <v>291</v>
      </c>
      <c r="AY7" s="40" t="s">
        <v>251</v>
      </c>
      <c r="AZ7" s="41" t="s">
        <v>252</v>
      </c>
      <c r="BA7" s="30" t="s">
        <v>230</v>
      </c>
      <c r="BB7" s="30" t="s">
        <v>292</v>
      </c>
      <c r="BC7" s="42" t="s">
        <v>254</v>
      </c>
      <c r="BD7" s="42" t="s">
        <v>293</v>
      </c>
      <c r="BE7" s="43" t="s">
        <v>294</v>
      </c>
      <c r="BF7" s="42" t="s">
        <v>234</v>
      </c>
      <c r="BG7" s="42" t="s">
        <v>295</v>
      </c>
      <c r="BH7" s="35" t="s">
        <v>296</v>
      </c>
      <c r="BI7" s="44" t="s">
        <v>297</v>
      </c>
      <c r="BJ7" s="45" t="str">
        <f>IFERROR(VLOOKUP($BG7,[1]프로젝트현황!Y:Z,2,0),"기타")</f>
        <v>동남권</v>
      </c>
      <c r="BK7" s="46" t="str">
        <f>(IF(BF7="","",BF7&amp;" "))&amp;(IF(BG7="","",BG7&amp;" "))&amp;(IF(BH7="","",BH7&amp;" "))&amp;BI7</f>
        <v>경기도 수원시 팔달구 경수대로 534, 102동 401호 (인계동 945, 인계극동스타클래스)</v>
      </c>
      <c r="BL7" s="47">
        <v>30</v>
      </c>
      <c r="BM7" s="47">
        <v>30</v>
      </c>
      <c r="BN7" s="48">
        <v>39000000</v>
      </c>
      <c r="BO7" s="48">
        <f>BP7*12</f>
        <v>39000063.599999994</v>
      </c>
      <c r="BP7" s="49">
        <f>SUM(BQ7:BS7)</f>
        <v>3250005.3</v>
      </c>
      <c r="BQ7" s="49">
        <f>ROUNDUP(BN7/12*209/(209+BU7*1.5)/BL7*BM7,-1)-BS7</f>
        <v>2166730</v>
      </c>
      <c r="BR7" s="49">
        <f>ROUNDUP(BN7/12*(BU7*1.5)/(209+BU7*1.5)/BL7*BM7,1)</f>
        <v>883275.29999999993</v>
      </c>
      <c r="BS7" s="49">
        <v>200000</v>
      </c>
      <c r="BT7" s="50">
        <v>209</v>
      </c>
      <c r="BU7" s="49">
        <f>IF($BN7="","",
IFERROR(
    IF($BN7&lt;'[1]시간외시간 기준표'!$B$2,0,
        IF($BN7&gt;LOOKUP(9.9E+307,'[1]시간외시간 기준표'!$B$2:$B$999),
            LOOKUP(9.9E+307,'[1]시간외시간 기준표'!$C$2:$C$999),
            LOOKUP($BN7,'[1]시간외시간 기준표'!$B$2:$B$999,'[1]시간외시간 기준표'!$C$2:$C$999)
        )
    ),0)
)</f>
        <v>52</v>
      </c>
      <c r="BV7" s="50">
        <f>(BQ7+BS7)/209</f>
        <v>11324.066985645934</v>
      </c>
      <c r="BW7" s="51">
        <v>30</v>
      </c>
      <c r="BX7" s="51">
        <v>30</v>
      </c>
      <c r="BY7" s="52">
        <v>39000000</v>
      </c>
      <c r="BZ7" s="52">
        <f>CA7*12</f>
        <v>39000063.599999994</v>
      </c>
      <c r="CA7" s="49">
        <f>SUM(CB7:CD7)</f>
        <v>3250005.3</v>
      </c>
      <c r="CB7" s="49">
        <f>ROUNDUP(BY7/12*209/(209+CF7*1.5)/BW7*BX7,-1)-CD7</f>
        <v>2166730</v>
      </c>
      <c r="CC7" s="49">
        <f>ROUNDUP(BY7/12*(CF7*1.5)/(209+CF7*1.5)/BW7*BX7,1)</f>
        <v>883275.29999999993</v>
      </c>
      <c r="CD7" s="49">
        <v>200000</v>
      </c>
      <c r="CE7" s="50">
        <v>209</v>
      </c>
      <c r="CF7" s="49">
        <f>IF(BY7&lt;26000000,0,IF(BY7&lt;26500000,4,IF(BY7&lt;27000000,7,IF(BY7&lt;27500000,9,IF(BY7&lt;28000000,11,IF(BY7&lt;28500000,15,IF(BY7&lt;29000000,17,IF(BY7&lt;29500000,20,IF(BY7&lt;30000000,23,IF(BY7&lt;30500000,25,IF(BY7&lt;31000000,27,IF(BY7&lt;31500000,29,IF(BY7&lt;32000000,33,IF(BY7&lt;32500000,37,IF(BY7&lt;33000000,39,IF(BY7&lt;33500000,42,IF(BY7&lt;34000000,45,IF(BY7&lt;34500000,48,IF(BY7&lt;35000000,52,52)))))))))))))))))))</f>
        <v>52</v>
      </c>
      <c r="CG7" s="50">
        <f>(CB7+CD7)/209</f>
        <v>11324.066985645934</v>
      </c>
      <c r="CH7" s="51">
        <v>30</v>
      </c>
      <c r="CI7" s="51">
        <v>30</v>
      </c>
      <c r="CJ7" s="52">
        <v>38200000</v>
      </c>
      <c r="CK7" s="52">
        <f>CL7*12</f>
        <v>38200041.599999994</v>
      </c>
      <c r="CL7" s="49">
        <f>SUM(CM7:CO7)</f>
        <v>3183336.8</v>
      </c>
      <c r="CM7" s="49">
        <f>ROUNDUP(CJ7/12*209/(209+CQ7*1.5)/CH7*CI7,-1)-CO7</f>
        <v>2118180</v>
      </c>
      <c r="CN7" s="49">
        <f>ROUNDUP(CJ7/12*(CQ7*1.5)/(209+CQ7*1.5)/CH7*CI7,1)</f>
        <v>865156.79999999993</v>
      </c>
      <c r="CO7" s="50">
        <v>200000</v>
      </c>
      <c r="CP7" s="50">
        <v>209</v>
      </c>
      <c r="CQ7" s="50">
        <f>IF(CJ7&lt;26000000,0,IF(CJ7&lt;26500000,4,IF(CJ7&lt;27000000,7,IF(CJ7&lt;27500000,9,IF(CJ7&lt;28000000,11,IF(CJ7&lt;28500000,15,IF(CJ7&lt;29000000,17,IF(CJ7&lt;29500000,20,IF(CJ7&lt;30000000,23,IF(CJ7&lt;30500000,25,IF(CJ7&lt;31000000,27,IF(CJ7&lt;31500000,29,IF(CJ7&lt;32000000,33,IF(CJ7&lt;32500000,37,IF(CJ7&lt;33000000,39,IF(CJ7&lt;33500000,42,IF(CJ7&lt;34000000,45,IF(CJ7&lt;34500000,48,IF(CJ7&lt;35000000,52,52)))))))))))))))))))</f>
        <v>52</v>
      </c>
      <c r="CR7" s="50">
        <f>(CM7+CO7)/209</f>
        <v>11091.770334928229</v>
      </c>
      <c r="CS7" s="52">
        <v>37000000</v>
      </c>
      <c r="CT7" s="53">
        <f>IFERROR(CS7/12,"")</f>
        <v>3083333.3333333335</v>
      </c>
      <c r="CU7" s="53">
        <f>IFERROR(CT7-CV7-CW7,"")</f>
        <v>2045354.2392566781</v>
      </c>
      <c r="CV7" s="53">
        <f>IFERROR(CT7*(CY7*1.5)/(209+(CY7*1.5)),"")</f>
        <v>837979.09407665511</v>
      </c>
      <c r="CW7" s="54">
        <v>200000</v>
      </c>
      <c r="CX7" s="54">
        <v>209</v>
      </c>
      <c r="CY7" s="54">
        <v>52</v>
      </c>
      <c r="CZ7" s="55">
        <f>SUM(CX7:CY7)</f>
        <v>261</v>
      </c>
      <c r="DA7" s="55">
        <f>IFERROR((CU7/209)+(CW7-(9620*209*0.01))/209,"")</f>
        <v>10647.121718931474</v>
      </c>
      <c r="DB7" s="56">
        <f>IFERROR((CU7+CW7)/209,"")</f>
        <v>10743.321718931475</v>
      </c>
      <c r="DC7" s="57">
        <v>2023</v>
      </c>
      <c r="DD7" s="58"/>
      <c r="DE7" s="58"/>
      <c r="DF7" s="57"/>
      <c r="DG7" s="59">
        <f>B7</f>
        <v>170803</v>
      </c>
      <c r="DH7" s="58"/>
      <c r="DI7" s="58"/>
      <c r="DJ7" s="60"/>
      <c r="DK7" s="58"/>
      <c r="DL7" s="61"/>
      <c r="DM7" s="24"/>
    </row>
    <row r="8" spans="1:117" ht="15" customHeight="1">
      <c r="A8" s="25">
        <f>ROW()-2</f>
        <v>6</v>
      </c>
      <c r="B8" s="26">
        <v>170904</v>
      </c>
      <c r="C8" s="27" t="s">
        <v>298</v>
      </c>
      <c r="D8" s="27"/>
      <c r="E8" s="27" t="s">
        <v>239</v>
      </c>
      <c r="F8" s="27" t="s">
        <v>196</v>
      </c>
      <c r="G8" s="27" t="s">
        <v>240</v>
      </c>
      <c r="H8" s="27" t="s">
        <v>241</v>
      </c>
      <c r="I8" s="27" t="s">
        <v>299</v>
      </c>
      <c r="J8" s="27" t="str">
        <f>+VLOOKUP($I8,[1]프로젝트현황!$I:$N,5,0)</f>
        <v>서울시</v>
      </c>
      <c r="K8" s="27" t="str">
        <f>+VLOOKUP($I8,[1]프로젝트현황!$I:$N,6,0)</f>
        <v>영등포구</v>
      </c>
      <c r="L8" s="28">
        <v>42982</v>
      </c>
      <c r="M8" s="28">
        <v>42982</v>
      </c>
      <c r="N8" s="28"/>
      <c r="O8" s="29"/>
      <c r="P8" s="30" t="s">
        <v>300</v>
      </c>
      <c r="Q8" s="27" t="s">
        <v>301</v>
      </c>
      <c r="R8" s="31" t="str">
        <f>LEFT(Q8,6)</f>
        <v>900424</v>
      </c>
      <c r="S8" s="31" t="str">
        <f>MID($Q8,3,2)</f>
        <v>04</v>
      </c>
      <c r="T8" s="31" t="str">
        <f>IF(OR(MID($Q8,8,1)="1",MID($Q8,8,1)="3"),"남자",IF(OR(MID($Q8,8,1)="2",MID($Q8,8,1)="4"),"여자",""))</f>
        <v>여자</v>
      </c>
      <c r="U8" s="31">
        <f ca="1">YEAR(TODAY())-IF(OR(MID($Q8,8,1)="1",MID($Q8,8,1)="2"),19&amp;LEFT($Q8,2),IF(OR(MID($Q8,8,1)="3",MID($Q8,8,1)="4"),20&amp;LEFT($Q8,2),""))+1</f>
        <v>37</v>
      </c>
      <c r="V8" s="31" t="s">
        <v>200</v>
      </c>
      <c r="W8" s="31" t="s">
        <v>201</v>
      </c>
      <c r="X8" s="27" t="s">
        <v>302</v>
      </c>
      <c r="Y8" s="27"/>
      <c r="Z8" s="27" t="s">
        <v>266</v>
      </c>
      <c r="AA8" s="32"/>
      <c r="AB8" s="31" t="s">
        <v>203</v>
      </c>
      <c r="AC8" s="27"/>
      <c r="AD8" s="33" t="str">
        <f ca="1">QUOTIENT(SUMPRODUCT(LEFT($AE8:$AF8,FIND("년",$AE8:$AF8)-1)*12+MID($AE8:$AF8,FIND("년",$AE8:$AF8)+1,FIND("개월",$AE8:$AF8)-FIND("년",$AE8:$AF8)-1)),12)&amp;"년"&amp;MOD(SUMPRODUCT(LEFT($AE8:$AF8,FIND("년",$AE8:$AF8)-1)*12+MID($AE8:$AF8,FIND("년",$AE8:$AF8)+1,FIND("개월",$AE8:$AF8)-FIND("년",$AE8:$AF8)-1)),12)&amp;"개월"</f>
        <v>13년1개월</v>
      </c>
      <c r="AE8" s="33" t="s">
        <v>303</v>
      </c>
      <c r="AF8" s="34" t="str">
        <f ca="1">DATEDIF($L8,TODAY(),"y")&amp;"년"&amp;DATEDIF($L8,TODAY(),"ym")&amp;"개월"</f>
        <v>8년5개월</v>
      </c>
      <c r="AG8" s="35" t="s">
        <v>304</v>
      </c>
      <c r="AH8" s="35" t="s">
        <v>305</v>
      </c>
      <c r="AI8" s="30" t="s">
        <v>205</v>
      </c>
      <c r="AJ8" s="32">
        <v>40585</v>
      </c>
      <c r="AK8" s="36">
        <f ca="1">VALUE(LEFT($AD8,FIND("년",$AD8)-1))</f>
        <v>13</v>
      </c>
      <c r="AL8" s="31" t="str">
        <f ca="1">IF($AI8="전문학사",IF($AK8&lt;=8,"초급",IF($AK8&lt;12,"중급",IF($AK8&lt;15,"고급",IF($AK8&gt;=15,"특급")))))</f>
        <v>고급</v>
      </c>
      <c r="AM8" s="31" t="str">
        <f>IF(ISNUMBER(SEARCH("산업기사",$AT8)),IF($AK8&gt;=13,"특급",IF($AK8&gt;=10,"고급",IF($AK8&gt;=7,"중급","초급"))),IF(ISNUMBER(SEARCH("기사",$AR8)),IF($AK8&gt;=10,"특급",IF($AK8&gt;=7,"고급",IF($AK8&gt;=4,"중급","초급"))),"미해당"))</f>
        <v>미해당</v>
      </c>
      <c r="AN8" s="27"/>
      <c r="AO8" s="32"/>
      <c r="AP8" s="27"/>
      <c r="AQ8" s="32"/>
      <c r="AR8" s="27"/>
      <c r="AS8" s="27"/>
      <c r="AT8" s="37"/>
      <c r="AU8" s="27"/>
      <c r="AV8" s="38" t="s">
        <v>306</v>
      </c>
      <c r="AW8" s="39" t="s">
        <v>307</v>
      </c>
      <c r="AX8" s="39" t="s">
        <v>308</v>
      </c>
      <c r="AY8" s="40" t="s">
        <v>251</v>
      </c>
      <c r="AZ8" s="41" t="s">
        <v>252</v>
      </c>
      <c r="BA8" s="30" t="s">
        <v>230</v>
      </c>
      <c r="BB8" s="30" t="s">
        <v>309</v>
      </c>
      <c r="BC8" s="42" t="s">
        <v>254</v>
      </c>
      <c r="BD8" s="42" t="s">
        <v>310</v>
      </c>
      <c r="BE8" s="43" t="s">
        <v>311</v>
      </c>
      <c r="BF8" s="42" t="s">
        <v>234</v>
      </c>
      <c r="BG8" s="42" t="s">
        <v>295</v>
      </c>
      <c r="BH8" s="35" t="s">
        <v>312</v>
      </c>
      <c r="BI8" s="44" t="s">
        <v>313</v>
      </c>
      <c r="BJ8" s="45" t="str">
        <f>IFERROR(VLOOKUP($BG8,[1]프로젝트현황!Y:Z,2,0),"기타")</f>
        <v>동남권</v>
      </c>
      <c r="BK8" s="46" t="str">
        <f>(IF(BF8="","",BF8&amp;" "))&amp;(IF(BG8="","",BG8&amp;" "))&amp;(IF(BH8="","",BH8&amp;" "))&amp;BI8</f>
        <v>경기도 수원시 권선구 경수대로 302번길 29, 4동 501호 (권선제2동 1185-1, 권선삼성아파트)</v>
      </c>
      <c r="BL8" s="47">
        <v>30</v>
      </c>
      <c r="BM8" s="47">
        <v>30</v>
      </c>
      <c r="BN8" s="48">
        <v>36400000</v>
      </c>
      <c r="BO8" s="48">
        <f>BP8*12</f>
        <v>36400083.599999994</v>
      </c>
      <c r="BP8" s="49">
        <f>SUM(BQ8:BS8)</f>
        <v>3033340.3</v>
      </c>
      <c r="BQ8" s="49">
        <f>ROUNDUP(BN8/12*209/(209+BU8*1.5)/BL8*BM8,-1)-BS8</f>
        <v>2008950</v>
      </c>
      <c r="BR8" s="49">
        <f>ROUNDUP(BN8/12*(BU8*1.5)/(209+BU8*1.5)/BL8*BM8,1)</f>
        <v>824390.29999999993</v>
      </c>
      <c r="BS8" s="49">
        <v>200000</v>
      </c>
      <c r="BT8" s="50">
        <v>209</v>
      </c>
      <c r="BU8" s="49">
        <f>IF($BN8="","",
IFERROR(
    IF($BN8&lt;'[1]시간외시간 기준표'!$B$2,0,
        IF($BN8&gt;LOOKUP(9.9E+307,'[1]시간외시간 기준표'!$B$2:$B$999),
            LOOKUP(9.9E+307,'[1]시간외시간 기준표'!$C$2:$C$999),
            LOOKUP($BN8,'[1]시간외시간 기준표'!$B$2:$B$999,'[1]시간외시간 기준표'!$C$2:$C$999)
        )
    ),0)
)</f>
        <v>52</v>
      </c>
      <c r="BV8" s="50">
        <f>(BQ8+BS8)/209</f>
        <v>10569.138755980861</v>
      </c>
      <c r="BW8" s="51">
        <v>30</v>
      </c>
      <c r="BX8" s="51">
        <v>30</v>
      </c>
      <c r="BY8" s="52">
        <v>36400000</v>
      </c>
      <c r="BZ8" s="52">
        <f>CA8*12</f>
        <v>36400083.599999994</v>
      </c>
      <c r="CA8" s="49">
        <f>SUM(CB8:CD8)</f>
        <v>3033340.3</v>
      </c>
      <c r="CB8" s="49">
        <f>ROUNDUP(BY8/12*209/(209+CF8*1.5)/BW8*BX8,-1)-CD8</f>
        <v>2008950</v>
      </c>
      <c r="CC8" s="49">
        <f>ROUNDUP(BY8/12*(CF8*1.5)/(209+CF8*1.5)/BW8*BX8,1)</f>
        <v>824390.29999999993</v>
      </c>
      <c r="CD8" s="49">
        <v>200000</v>
      </c>
      <c r="CE8" s="50">
        <v>209</v>
      </c>
      <c r="CF8" s="49">
        <f>IF(BY8&lt;26000000,0,IF(BY8&lt;26500000,4,IF(BY8&lt;27000000,7,IF(BY8&lt;27500000,9,IF(BY8&lt;28000000,11,IF(BY8&lt;28500000,15,IF(BY8&lt;29000000,17,IF(BY8&lt;29500000,20,IF(BY8&lt;30000000,23,IF(BY8&lt;30500000,25,IF(BY8&lt;31000000,27,IF(BY8&lt;31500000,29,IF(BY8&lt;32000000,33,IF(BY8&lt;32500000,37,IF(BY8&lt;33000000,39,IF(BY8&lt;33500000,42,IF(BY8&lt;34000000,45,IF(BY8&lt;34500000,48,IF(BY8&lt;35000000,52,52)))))))))))))))))))</f>
        <v>52</v>
      </c>
      <c r="CG8" s="50">
        <f>(CB8+CD8)/209</f>
        <v>10569.138755980861</v>
      </c>
      <c r="CH8" s="51">
        <v>30</v>
      </c>
      <c r="CI8" s="51">
        <v>30</v>
      </c>
      <c r="CJ8" s="52">
        <v>35600000</v>
      </c>
      <c r="CK8" s="52">
        <f>CL8*12</f>
        <v>35600061.599999994</v>
      </c>
      <c r="CL8" s="49">
        <f>SUM(CM8:CO8)</f>
        <v>2966671.8</v>
      </c>
      <c r="CM8" s="49">
        <f>ROUNDUP(CJ8/12*209/(209+CQ8*1.5)/CH8*CI8,-1)-CO8</f>
        <v>1960400</v>
      </c>
      <c r="CN8" s="49">
        <f>ROUNDUP(CJ8/12*(CQ8*1.5)/(209+CQ8*1.5)/CH8*CI8,1)</f>
        <v>806271.79999999993</v>
      </c>
      <c r="CO8" s="50">
        <v>200000</v>
      </c>
      <c r="CP8" s="50">
        <v>209</v>
      </c>
      <c r="CQ8" s="50">
        <f>IF(CJ8&lt;26000000,0,IF(CJ8&lt;26500000,4,IF(CJ8&lt;27000000,7,IF(CJ8&lt;27500000,9,IF(CJ8&lt;28000000,11,IF(CJ8&lt;28500000,15,IF(CJ8&lt;29000000,17,IF(CJ8&lt;29500000,20,IF(CJ8&lt;30000000,23,IF(CJ8&lt;30500000,25,IF(CJ8&lt;31000000,27,IF(CJ8&lt;31500000,29,IF(CJ8&lt;32000000,33,IF(CJ8&lt;32500000,37,IF(CJ8&lt;33000000,39,IF(CJ8&lt;33500000,42,IF(CJ8&lt;34000000,45,IF(CJ8&lt;34500000,48,IF(CJ8&lt;35000000,52,52)))))))))))))))))))</f>
        <v>52</v>
      </c>
      <c r="CR8" s="50">
        <f>(CM8+CO8)/209</f>
        <v>10336.842105263158</v>
      </c>
      <c r="CS8" s="52">
        <v>35000000</v>
      </c>
      <c r="CT8" s="53">
        <f>IFERROR(CS8/12,"")</f>
        <v>2916666.6666666665</v>
      </c>
      <c r="CU8" s="53">
        <f>IFERROR(CT8-CV8-CW8,"")</f>
        <v>1923983.7398373983</v>
      </c>
      <c r="CV8" s="53">
        <f>IFERROR(CT8*(CY8*1.5)/(209+(CY8*1.5)),"")</f>
        <v>792682.92682926834</v>
      </c>
      <c r="CW8" s="54">
        <v>200000</v>
      </c>
      <c r="CX8" s="54">
        <v>209</v>
      </c>
      <c r="CY8" s="54">
        <v>52</v>
      </c>
      <c r="CZ8" s="55">
        <f>SUM(CX8:CY8)</f>
        <v>261</v>
      </c>
      <c r="DA8" s="55">
        <f>IFERROR((CU8/209)+(CW8-(9620*209*0.01))/209,"")</f>
        <v>10066.401626016261</v>
      </c>
      <c r="DB8" s="56">
        <f>IFERROR((CU8+CW8)/209,"")</f>
        <v>10162.60162601626</v>
      </c>
      <c r="DC8" s="57">
        <v>2023</v>
      </c>
      <c r="DD8" s="58" t="s">
        <v>314</v>
      </c>
      <c r="DE8" s="58"/>
      <c r="DF8" s="57"/>
      <c r="DG8" s="59">
        <f>B8</f>
        <v>170904</v>
      </c>
      <c r="DH8" s="58"/>
      <c r="DI8" s="58"/>
      <c r="DJ8" s="60"/>
      <c r="DK8" s="58"/>
      <c r="DL8" s="61"/>
      <c r="DM8" s="24"/>
    </row>
    <row r="9" spans="1:117" ht="15" customHeight="1">
      <c r="A9" s="25">
        <f>ROW()-2</f>
        <v>7</v>
      </c>
      <c r="B9" s="26">
        <v>180501</v>
      </c>
      <c r="C9" s="27" t="s">
        <v>315</v>
      </c>
      <c r="D9" s="27" t="s">
        <v>282</v>
      </c>
      <c r="E9" s="27" t="s">
        <v>283</v>
      </c>
      <c r="F9" s="27" t="s">
        <v>196</v>
      </c>
      <c r="G9" s="27" t="s">
        <v>240</v>
      </c>
      <c r="H9" s="27" t="s">
        <v>260</v>
      </c>
      <c r="I9" s="27" t="s">
        <v>316</v>
      </c>
      <c r="J9" s="27" t="str">
        <f>+VLOOKUP($I9,[1]프로젝트현황!$I:$N,5,0)</f>
        <v>경기도</v>
      </c>
      <c r="K9" s="27" t="str">
        <f>+VLOOKUP($I9,[1]프로젝트현황!$I:$N,6,0)</f>
        <v>성남시</v>
      </c>
      <c r="L9" s="28">
        <v>43244</v>
      </c>
      <c r="M9" s="28">
        <v>43244</v>
      </c>
      <c r="N9" s="28"/>
      <c r="O9" s="29"/>
      <c r="P9" s="30" t="s">
        <v>317</v>
      </c>
      <c r="Q9" s="27" t="s">
        <v>318</v>
      </c>
      <c r="R9" s="31" t="str">
        <f>LEFT(Q9,6)</f>
        <v>810306</v>
      </c>
      <c r="S9" s="31" t="str">
        <f>MID($Q9,3,2)</f>
        <v>03</v>
      </c>
      <c r="T9" s="31" t="str">
        <f>IF(OR(MID($Q9,8,1)="1",MID($Q9,8,1)="3"),"남자",IF(OR(MID($Q9,8,1)="2",MID($Q9,8,1)="4"),"여자",""))</f>
        <v>남자</v>
      </c>
      <c r="U9" s="31">
        <f ca="1">YEAR(TODAY())-IF(OR(MID($Q9,8,1)="1",MID($Q9,8,1)="2"),19&amp;LEFT($Q9,2),IF(OR(MID($Q9,8,1)="3",MID($Q9,8,1)="4"),20&amp;LEFT($Q9,2),""))+1</f>
        <v>46</v>
      </c>
      <c r="V9" s="31" t="s">
        <v>200</v>
      </c>
      <c r="W9" s="31" t="s">
        <v>201</v>
      </c>
      <c r="X9" s="27" t="s">
        <v>319</v>
      </c>
      <c r="Y9" s="27"/>
      <c r="Z9" s="27"/>
      <c r="AA9" s="32"/>
      <c r="AB9" s="31" t="s">
        <v>203</v>
      </c>
      <c r="AC9" s="27"/>
      <c r="AD9" s="33" t="str">
        <f ca="1">QUOTIENT(SUMPRODUCT(LEFT($AE9:$AF9,FIND("년",$AE9:$AF9)-1)*12+MID($AE9:$AF9,FIND("년",$AE9:$AF9)+1,FIND("개월",$AE9:$AF9)-FIND("년",$AE9:$AF9)-1)),12)&amp;"년"&amp;MOD(SUMPRODUCT(LEFT($AE9:$AF9,FIND("년",$AE9:$AF9)-1)*12+MID($AE9:$AF9,FIND("년",$AE9:$AF9)+1,FIND("개월",$AE9:$AF9)-FIND("년",$AE9:$AF9)-1)),12)&amp;"개월"</f>
        <v>17년6개월</v>
      </c>
      <c r="AE9" s="33" t="s">
        <v>320</v>
      </c>
      <c r="AF9" s="34" t="str">
        <f ca="1">DATEDIF($L9,TODAY(),"y")&amp;"년"&amp;DATEDIF($L9,TODAY(),"ym")&amp;"개월"</f>
        <v>7년8개월</v>
      </c>
      <c r="AG9" s="35" t="s">
        <v>304</v>
      </c>
      <c r="AH9" s="35" t="s">
        <v>321</v>
      </c>
      <c r="AI9" s="30" t="s">
        <v>205</v>
      </c>
      <c r="AJ9" s="32">
        <v>38401</v>
      </c>
      <c r="AK9" s="36">
        <f ca="1">VALUE(LEFT($AD9,FIND("년",$AD9)-1))</f>
        <v>17</v>
      </c>
      <c r="AL9" s="31" t="str">
        <f ca="1">IF($AI9="전문학사",IF($AK9&lt;=8,"초급",IF($AK9&lt;12,"중급",IF($AK9&lt;15,"고급",IF($AK9&gt;=15,"특급")))))</f>
        <v>특급</v>
      </c>
      <c r="AM9" s="31" t="str">
        <f>IF(ISNUMBER(SEARCH("산업기사",$AT9)),IF($AK9&gt;=13,"특급",IF($AK9&gt;=10,"고급",IF($AK9&gt;=7,"중급","초급"))),IF(ISNUMBER(SEARCH("기사",$AR9)),IF($AK9&gt;=10,"특급",IF($AK9&gt;=7,"고급",IF($AK9&gt;=4,"중급","초급"))),"미해당"))</f>
        <v>미해당</v>
      </c>
      <c r="AN9" s="27"/>
      <c r="AO9" s="32"/>
      <c r="AP9" s="27"/>
      <c r="AQ9" s="32"/>
      <c r="AR9" s="27"/>
      <c r="AS9" s="27"/>
      <c r="AT9" s="37"/>
      <c r="AU9" s="27"/>
      <c r="AV9" s="38" t="s">
        <v>322</v>
      </c>
      <c r="AW9" s="39" t="s">
        <v>323</v>
      </c>
      <c r="AX9" s="39" t="s">
        <v>324</v>
      </c>
      <c r="AY9" s="40" t="s">
        <v>251</v>
      </c>
      <c r="AZ9" s="41" t="s">
        <v>252</v>
      </c>
      <c r="BA9" s="30" t="s">
        <v>230</v>
      </c>
      <c r="BB9" s="30" t="s">
        <v>325</v>
      </c>
      <c r="BC9" s="42" t="s">
        <v>254</v>
      </c>
      <c r="BD9" s="42" t="s">
        <v>326</v>
      </c>
      <c r="BE9" s="43" t="s">
        <v>327</v>
      </c>
      <c r="BF9" s="42" t="s">
        <v>234</v>
      </c>
      <c r="BG9" s="42" t="s">
        <v>328</v>
      </c>
      <c r="BH9" s="35" t="s">
        <v>329</v>
      </c>
      <c r="BI9" s="44" t="s">
        <v>330</v>
      </c>
      <c r="BJ9" s="45" t="str">
        <f>IFERROR(VLOOKUP($BG9,[1]프로젝트현황!Y:Z,2,0),"기타")</f>
        <v>동남권</v>
      </c>
      <c r="BK9" s="46" t="str">
        <f>(IF(BF9="","",BF9&amp;" "))&amp;(IF(BG9="","",BG9&amp;" "))&amp;(IF(BH9="","",BH9&amp;" "))&amp;BI9</f>
        <v>경기도 성남시 수정구 수정로 251번길 22 신원빌리지 102동 302호</v>
      </c>
      <c r="BL9" s="47">
        <v>30</v>
      </c>
      <c r="BM9" s="47">
        <v>30</v>
      </c>
      <c r="BN9" s="48">
        <v>39600000</v>
      </c>
      <c r="BO9" s="48">
        <f>BP9*12</f>
        <v>39600050.400000006</v>
      </c>
      <c r="BP9" s="49">
        <f>SUM(BQ9:BS9)</f>
        <v>3300004.2</v>
      </c>
      <c r="BQ9" s="49">
        <f>ROUNDUP(BN9/12*209/(209+BU9*1.5)/BL9*BM9,-1)-BS9</f>
        <v>2203140</v>
      </c>
      <c r="BR9" s="49">
        <f>ROUNDUP(BN9/12*(BU9*1.5)/(209+BU9*1.5)/BL9*BM9,1)</f>
        <v>896864.2</v>
      </c>
      <c r="BS9" s="49">
        <v>200000</v>
      </c>
      <c r="BT9" s="50">
        <v>209</v>
      </c>
      <c r="BU9" s="49">
        <f>IF($BN9="","",
IFERROR(
    IF($BN9&lt;'[1]시간외시간 기준표'!$B$2,0,
        IF($BN9&gt;LOOKUP(9.9E+307,'[1]시간외시간 기준표'!$B$2:$B$999),
            LOOKUP(9.9E+307,'[1]시간외시간 기준표'!$C$2:$C$999),
            LOOKUP($BN9,'[1]시간외시간 기준표'!$B$2:$B$999,'[1]시간외시간 기준표'!$C$2:$C$999)
        )
    ),0)
)</f>
        <v>52</v>
      </c>
      <c r="BV9" s="50">
        <f>(BQ9+BS9)/209</f>
        <v>11498.277511961722</v>
      </c>
      <c r="BW9" s="51">
        <v>30</v>
      </c>
      <c r="BX9" s="51">
        <v>30</v>
      </c>
      <c r="BY9" s="52">
        <v>39600000</v>
      </c>
      <c r="BZ9" s="52">
        <f>CA9*12</f>
        <v>39600050.400000006</v>
      </c>
      <c r="CA9" s="49">
        <f>SUM(CB9:CD9)</f>
        <v>3300004.2</v>
      </c>
      <c r="CB9" s="49">
        <f>ROUNDUP(BY9/12*209/(209+CF9*1.5)/BW9*BX9,-1)-CD9</f>
        <v>2203140</v>
      </c>
      <c r="CC9" s="49">
        <f>ROUNDUP(BY9/12*(CF9*1.5)/(209+CF9*1.5)/BW9*BX9,1)</f>
        <v>896864.2</v>
      </c>
      <c r="CD9" s="49">
        <v>200000</v>
      </c>
      <c r="CE9" s="50">
        <v>209</v>
      </c>
      <c r="CF9" s="49">
        <f>IF(BY9&lt;26000000,0,IF(BY9&lt;26500000,4,IF(BY9&lt;27000000,7,IF(BY9&lt;27500000,9,IF(BY9&lt;28000000,11,IF(BY9&lt;28500000,15,IF(BY9&lt;29000000,17,IF(BY9&lt;29500000,20,IF(BY9&lt;30000000,23,IF(BY9&lt;30500000,25,IF(BY9&lt;31000000,27,IF(BY9&lt;31500000,29,IF(BY9&lt;32000000,33,IF(BY9&lt;32500000,37,IF(BY9&lt;33000000,39,IF(BY9&lt;33500000,42,IF(BY9&lt;34000000,45,IF(BY9&lt;34500000,48,IF(BY9&lt;35000000,52,52)))))))))))))))))))</f>
        <v>52</v>
      </c>
      <c r="CG9" s="50">
        <f>(CB9+CD9)/209</f>
        <v>11498.277511961722</v>
      </c>
      <c r="CH9" s="51">
        <v>30</v>
      </c>
      <c r="CI9" s="51">
        <v>30</v>
      </c>
      <c r="CJ9" s="52">
        <v>38800000</v>
      </c>
      <c r="CK9" s="52">
        <f>CL9*12</f>
        <v>38800028.400000006</v>
      </c>
      <c r="CL9" s="49">
        <f>SUM(CM9:CO9)</f>
        <v>3233335.7</v>
      </c>
      <c r="CM9" s="49">
        <f>ROUNDUP(CJ9/12*209/(209+CQ9*1.5)/CH9*CI9,-1)-CO9</f>
        <v>2154590</v>
      </c>
      <c r="CN9" s="49">
        <f>ROUNDUP(CJ9/12*(CQ9*1.5)/(209+CQ9*1.5)/CH9*CI9,1)</f>
        <v>878745.7</v>
      </c>
      <c r="CO9" s="50">
        <v>200000</v>
      </c>
      <c r="CP9" s="50">
        <v>209</v>
      </c>
      <c r="CQ9" s="50">
        <f>IF(CJ9&lt;26000000,0,IF(CJ9&lt;26500000,4,IF(CJ9&lt;27000000,7,IF(CJ9&lt;27500000,9,IF(CJ9&lt;28000000,11,IF(CJ9&lt;28500000,15,IF(CJ9&lt;29000000,17,IF(CJ9&lt;29500000,20,IF(CJ9&lt;30000000,23,IF(CJ9&lt;30500000,25,IF(CJ9&lt;31000000,27,IF(CJ9&lt;31500000,29,IF(CJ9&lt;32000000,33,IF(CJ9&lt;32500000,37,IF(CJ9&lt;33000000,39,IF(CJ9&lt;33500000,42,IF(CJ9&lt;34000000,45,IF(CJ9&lt;34500000,48,IF(CJ9&lt;35000000,52,52)))))))))))))))))))</f>
        <v>52</v>
      </c>
      <c r="CR9" s="50">
        <f>(CM9+CO9)/209</f>
        <v>11265.980861244019</v>
      </c>
      <c r="CS9" s="52">
        <v>37000000</v>
      </c>
      <c r="CT9" s="53">
        <f>IFERROR(CS9/12,"")</f>
        <v>3083333.3333333335</v>
      </c>
      <c r="CU9" s="53">
        <f>IFERROR(CT9-CV9-CW9,"")</f>
        <v>2045354.2392566781</v>
      </c>
      <c r="CV9" s="53">
        <f>IFERROR(CT9*(CY9*1.5)/(209+(CY9*1.5)),"")</f>
        <v>837979.09407665511</v>
      </c>
      <c r="CW9" s="54">
        <v>200000</v>
      </c>
      <c r="CX9" s="54">
        <v>209</v>
      </c>
      <c r="CY9" s="54">
        <v>52</v>
      </c>
      <c r="CZ9" s="55">
        <f>SUM(CX9:CY9)</f>
        <v>261</v>
      </c>
      <c r="DA9" s="55">
        <f>IFERROR((CU9/209)+(CW9-(9620*209*0.01))/209,"")</f>
        <v>10647.121718931474</v>
      </c>
      <c r="DB9" s="56">
        <f>IFERROR((CU9+CW9)/209,"")</f>
        <v>10743.321718931475</v>
      </c>
      <c r="DC9" s="57">
        <v>2023</v>
      </c>
      <c r="DD9" s="58"/>
      <c r="DE9" s="58"/>
      <c r="DF9" s="57"/>
      <c r="DG9" s="59">
        <f>B9</f>
        <v>180501</v>
      </c>
      <c r="DH9" s="58"/>
      <c r="DI9" s="58"/>
      <c r="DJ9" s="60"/>
      <c r="DK9" s="58"/>
      <c r="DL9" s="61"/>
      <c r="DM9" s="24"/>
    </row>
    <row r="10" spans="1:117" ht="15" customHeight="1">
      <c r="A10" s="25">
        <f>ROW()-2</f>
        <v>8</v>
      </c>
      <c r="B10" s="26">
        <v>180601</v>
      </c>
      <c r="C10" s="27" t="s">
        <v>331</v>
      </c>
      <c r="D10" s="27" t="s">
        <v>282</v>
      </c>
      <c r="E10" s="27" t="s">
        <v>239</v>
      </c>
      <c r="F10" s="27" t="s">
        <v>196</v>
      </c>
      <c r="G10" s="27" t="s">
        <v>240</v>
      </c>
      <c r="H10" s="27" t="s">
        <v>217</v>
      </c>
      <c r="I10" s="27" t="s">
        <v>332</v>
      </c>
      <c r="J10" s="27" t="str">
        <f>+VLOOKUP($I10,[1]프로젝트현황!$I:$N,5,0)</f>
        <v>서울시</v>
      </c>
      <c r="K10" s="27" t="str">
        <f>+VLOOKUP($I10,[1]프로젝트현황!$I:$N,6,0)</f>
        <v>강서구</v>
      </c>
      <c r="L10" s="28">
        <v>43262</v>
      </c>
      <c r="M10" s="28">
        <v>43262</v>
      </c>
      <c r="N10" s="28"/>
      <c r="O10" s="29"/>
      <c r="P10" s="30" t="s">
        <v>333</v>
      </c>
      <c r="Q10" s="27" t="s">
        <v>334</v>
      </c>
      <c r="R10" s="31" t="str">
        <f>LEFT(Q10,6)</f>
        <v>920409</v>
      </c>
      <c r="S10" s="31" t="str">
        <f>MID($Q10,3,2)</f>
        <v>04</v>
      </c>
      <c r="T10" s="31" t="str">
        <f>IF(OR(MID($Q10,8,1)="1",MID($Q10,8,1)="3"),"남자",IF(OR(MID($Q10,8,1)="2",MID($Q10,8,1)="4"),"여자",""))</f>
        <v>남자</v>
      </c>
      <c r="U10" s="31">
        <f ca="1">YEAR(TODAY())-IF(OR(MID($Q10,8,1)="1",MID($Q10,8,1)="2"),19&amp;LEFT($Q10,2),IF(OR(MID($Q10,8,1)="3",MID($Q10,8,1)="4"),20&amp;LEFT($Q10,2),""))+1</f>
        <v>35</v>
      </c>
      <c r="V10" s="31" t="s">
        <v>200</v>
      </c>
      <c r="W10" s="31" t="s">
        <v>201</v>
      </c>
      <c r="X10" s="27" t="s">
        <v>335</v>
      </c>
      <c r="Y10" s="27"/>
      <c r="Z10" s="27" t="s">
        <v>266</v>
      </c>
      <c r="AA10" s="32"/>
      <c r="AB10" s="31" t="s">
        <v>203</v>
      </c>
      <c r="AC10" s="27"/>
      <c r="AD10" s="33" t="str">
        <f ca="1">QUOTIENT(SUMPRODUCT(LEFT($AE10:$AF10,FIND("년",$AE10:$AF10)-1)*12+MID($AE10:$AF10,FIND("년",$AE10:$AF10)+1,FIND("개월",$AE10:$AF10)-FIND("년",$AE10:$AF10)-1)),12)&amp;"년"&amp;MOD(SUMPRODUCT(LEFT($AE10:$AF10,FIND("년",$AE10:$AF10)-1)*12+MID($AE10:$AF10,FIND("년",$AE10:$AF10)+1,FIND("개월",$AE10:$AF10)-FIND("년",$AE10:$AF10)-1)),12)&amp;"개월"</f>
        <v>9년4개월</v>
      </c>
      <c r="AE10" s="33" t="s">
        <v>336</v>
      </c>
      <c r="AF10" s="34" t="str">
        <f ca="1">DATEDIF($L10,TODAY(),"y")&amp;"년"&amp;DATEDIF($L10,TODAY(),"ym")&amp;"개월"</f>
        <v>7년8개월</v>
      </c>
      <c r="AG10" s="35" t="s">
        <v>304</v>
      </c>
      <c r="AH10" s="35" t="s">
        <v>337</v>
      </c>
      <c r="AI10" s="30" t="s">
        <v>205</v>
      </c>
      <c r="AJ10" s="32">
        <v>42412</v>
      </c>
      <c r="AK10" s="36">
        <f ca="1">VALUE(LEFT($AD10,FIND("년",$AD10)-1))</f>
        <v>9</v>
      </c>
      <c r="AL10" s="31" t="str">
        <f ca="1">IF($AI10="전문학사",IF($AK10&lt;=8,"초급",IF($AK10&lt;12,"중급",IF($AK10&lt;15,"고급",IF($AK10&gt;=15,"특급")))))</f>
        <v>중급</v>
      </c>
      <c r="AM10" s="31" t="str">
        <f>IF(ISNUMBER(SEARCH("산업기사",$AT10)),IF($AK10&gt;=13,"특급",IF($AK10&gt;=10,"고급",IF($AK10&gt;=7,"중급","초급"))),IF(ISNUMBER(SEARCH("기사",$AR10)),IF($AK10&gt;=10,"특급",IF($AK10&gt;=7,"고급",IF($AK10&gt;=4,"중급","초급"))),"미해당"))</f>
        <v>미해당</v>
      </c>
      <c r="AN10" s="27"/>
      <c r="AO10" s="32"/>
      <c r="AP10" s="27"/>
      <c r="AQ10" s="32"/>
      <c r="AR10" s="27"/>
      <c r="AS10" s="27"/>
      <c r="AT10" s="37"/>
      <c r="AU10" s="27"/>
      <c r="AV10" s="38"/>
      <c r="AW10" s="39"/>
      <c r="AX10" s="39"/>
      <c r="AY10" s="40" t="s">
        <v>251</v>
      </c>
      <c r="AZ10" s="41" t="s">
        <v>252</v>
      </c>
      <c r="BA10" s="30" t="s">
        <v>230</v>
      </c>
      <c r="BB10" s="30" t="s">
        <v>338</v>
      </c>
      <c r="BC10" s="42" t="s">
        <v>254</v>
      </c>
      <c r="BD10" s="42" t="s">
        <v>339</v>
      </c>
      <c r="BE10" s="43" t="s">
        <v>340</v>
      </c>
      <c r="BF10" s="42" t="s">
        <v>211</v>
      </c>
      <c r="BG10" s="42" t="s">
        <v>341</v>
      </c>
      <c r="BH10" s="35"/>
      <c r="BI10" s="44" t="s">
        <v>342</v>
      </c>
      <c r="BJ10" s="45" t="str">
        <f>IFERROR(VLOOKUP($BG10,[1]프로젝트현황!Y:Z,2,0),"기타")</f>
        <v>서남권</v>
      </c>
      <c r="BK10" s="46" t="str">
        <f>(IF(BF10="","",BF10&amp;" "))&amp;(IF(BG10="","",BG10&amp;" "))&amp;(IF(BH10="","",BH10&amp;" "))&amp;BI10</f>
        <v>서울시 구로구 부일로17길 147 4층</v>
      </c>
      <c r="BL10" s="47">
        <v>30</v>
      </c>
      <c r="BM10" s="47">
        <v>30</v>
      </c>
      <c r="BN10" s="48">
        <v>34600000</v>
      </c>
      <c r="BO10" s="48">
        <f>BP10*12</f>
        <v>34600050</v>
      </c>
      <c r="BP10" s="49">
        <f>SUM(BQ10:BS10)</f>
        <v>2883337.5</v>
      </c>
      <c r="BQ10" s="49">
        <f>ROUNDUP(BN10/12*209/(209+BU10*1.5)/BL10*BM10,-1)-BS10</f>
        <v>1967690</v>
      </c>
      <c r="BR10" s="49">
        <f>ROUNDUP(BN10/12*(BU10*1.5)/(209+BU10*1.5)/BL10*BM10,1)</f>
        <v>715647.5</v>
      </c>
      <c r="BS10" s="49">
        <v>200000</v>
      </c>
      <c r="BT10" s="50">
        <v>209</v>
      </c>
      <c r="BU10" s="49">
        <f>IF($BN10="","",
IFERROR(
    IF($BN10&lt;'[1]시간외시간 기준표'!$B$2,0,
        IF($BN10&gt;LOOKUP(9.9E+307,'[1]시간외시간 기준표'!$B$2:$B$999),
            LOOKUP(9.9E+307,'[1]시간외시간 기준표'!$C$2:$C$999),
            LOOKUP($BN10,'[1]시간외시간 기준표'!$B$2:$B$999,'[1]시간외시간 기준표'!$C$2:$C$999)
        )
    ),0)
)</f>
        <v>46</v>
      </c>
      <c r="BV10" s="50">
        <f>(BQ10+BS10)/209</f>
        <v>10371.722488038278</v>
      </c>
      <c r="BW10" s="51">
        <v>30</v>
      </c>
      <c r="BX10" s="51">
        <v>30</v>
      </c>
      <c r="BY10" s="52">
        <v>34600000</v>
      </c>
      <c r="BZ10" s="52">
        <f>CA10*12</f>
        <v>34600004.400000006</v>
      </c>
      <c r="CA10" s="49">
        <f>SUM(CB10:CD10)</f>
        <v>2883333.7</v>
      </c>
      <c r="CB10" s="49">
        <f>ROUNDUP(BY10/12*209/(209+CF10*1.5)/BW10*BX10,-1)-CD10</f>
        <v>1899710</v>
      </c>
      <c r="CC10" s="49">
        <f>ROUNDUP(BY10/12*(CF10*1.5)/(209+CF10*1.5)/BW10*BX10,1)</f>
        <v>783623.7</v>
      </c>
      <c r="CD10" s="49">
        <v>200000</v>
      </c>
      <c r="CE10" s="50">
        <v>209</v>
      </c>
      <c r="CF10" s="49">
        <f>IF(BY10&lt;26000000,0,IF(BY10&lt;26500000,4,IF(BY10&lt;27000000,7,IF(BY10&lt;27500000,9,IF(BY10&lt;28000000,11,IF(BY10&lt;28500000,15,IF(BY10&lt;29000000,17,IF(BY10&lt;29500000,20,IF(BY10&lt;30000000,23,IF(BY10&lt;30500000,25,IF(BY10&lt;31000000,27,IF(BY10&lt;31500000,29,IF(BY10&lt;32000000,33,IF(BY10&lt;32500000,37,IF(BY10&lt;33000000,39,IF(BY10&lt;33500000,42,IF(BY10&lt;34000000,45,IF(BY10&lt;34500000,48,IF(BY10&lt;35000000,52,52)))))))))))))))))))</f>
        <v>52</v>
      </c>
      <c r="CG10" s="50">
        <f>(CB10+CD10)/209</f>
        <v>10046.45933014354</v>
      </c>
      <c r="CH10" s="51">
        <v>30</v>
      </c>
      <c r="CI10" s="51">
        <v>30</v>
      </c>
      <c r="CJ10" s="52">
        <v>33800000</v>
      </c>
      <c r="CK10" s="52">
        <f>CL10*12</f>
        <v>33800077.200000003</v>
      </c>
      <c r="CL10" s="49">
        <f>SUM(CM10:CO10)</f>
        <v>2816673.1</v>
      </c>
      <c r="CM10" s="49">
        <f>ROUNDUP(CJ10/12*209/(209+CQ10*1.5)/CH10*CI10,-1)-CO10</f>
        <v>1929060</v>
      </c>
      <c r="CN10" s="49">
        <f>ROUNDUP(CJ10/12*(CQ10*1.5)/(209+CQ10*1.5)/CH10*CI10,1)</f>
        <v>687613.1</v>
      </c>
      <c r="CO10" s="50">
        <v>200000</v>
      </c>
      <c r="CP10" s="50">
        <v>209</v>
      </c>
      <c r="CQ10" s="50">
        <f>IF(CJ10&lt;26000000,0,IF(CJ10&lt;26500000,4,IF(CJ10&lt;27000000,7,IF(CJ10&lt;27500000,9,IF(CJ10&lt;28000000,11,IF(CJ10&lt;28500000,15,IF(CJ10&lt;29000000,17,IF(CJ10&lt;29500000,20,IF(CJ10&lt;30000000,23,IF(CJ10&lt;30500000,25,IF(CJ10&lt;31000000,27,IF(CJ10&lt;31500000,29,IF(CJ10&lt;32000000,33,IF(CJ10&lt;32500000,37,IF(CJ10&lt;33000000,39,IF(CJ10&lt;33500000,42,IF(CJ10&lt;34000000,45,IF(CJ10&lt;34500000,48,IF(CJ10&lt;35000000,52,52)))))))))))))))))))</f>
        <v>45</v>
      </c>
      <c r="CR10" s="50">
        <f>(CM10+CO10)/209</f>
        <v>10186.889952153109</v>
      </c>
      <c r="CS10" s="52">
        <v>32000000</v>
      </c>
      <c r="CT10" s="53">
        <f>IFERROR(CS10/12,"")</f>
        <v>2666666.6666666665</v>
      </c>
      <c r="CU10" s="53">
        <f>IFERROR(CT10-CV10-CW10,"")</f>
        <v>1837781.8403412551</v>
      </c>
      <c r="CV10" s="53">
        <f>IFERROR(CT10*(CY10*1.5)/(209+(CY10*1.5)),"")</f>
        <v>628884.82632541133</v>
      </c>
      <c r="CW10" s="54">
        <v>200000</v>
      </c>
      <c r="CX10" s="54">
        <v>209</v>
      </c>
      <c r="CY10" s="54">
        <v>43</v>
      </c>
      <c r="CZ10" s="55">
        <f>SUM(CX10:CY10)</f>
        <v>252</v>
      </c>
      <c r="DA10" s="55">
        <f>IFERROR((CU10/209)+(CW10-(9620*209*0.01))/209,"")</f>
        <v>9653.9523461304088</v>
      </c>
      <c r="DB10" s="56">
        <f>IFERROR((CU10+CW10)/209,"")</f>
        <v>9750.1523461304078</v>
      </c>
      <c r="DC10" s="57">
        <v>2023</v>
      </c>
      <c r="DD10" s="58"/>
      <c r="DE10" s="58"/>
      <c r="DF10" s="57"/>
      <c r="DG10" s="59">
        <f>B10</f>
        <v>180601</v>
      </c>
      <c r="DH10" s="58"/>
      <c r="DI10" s="58"/>
      <c r="DJ10" s="60"/>
      <c r="DK10" s="58"/>
      <c r="DL10" s="61"/>
      <c r="DM10" s="24"/>
    </row>
    <row r="11" spans="1:117" ht="15" customHeight="1">
      <c r="A11" s="25">
        <f>ROW()-2</f>
        <v>9</v>
      </c>
      <c r="B11" s="26">
        <v>190102</v>
      </c>
      <c r="C11" s="27" t="s">
        <v>343</v>
      </c>
      <c r="D11" s="27"/>
      <c r="E11" s="27" t="s">
        <v>239</v>
      </c>
      <c r="F11" s="27" t="s">
        <v>196</v>
      </c>
      <c r="G11" s="27" t="s">
        <v>240</v>
      </c>
      <c r="H11" s="27" t="s">
        <v>260</v>
      </c>
      <c r="I11" s="27" t="s">
        <v>344</v>
      </c>
      <c r="J11" s="27" t="str">
        <f>+VLOOKUP($I11,[1]프로젝트현황!$I:$N,5,0)</f>
        <v>서울시</v>
      </c>
      <c r="K11" s="27" t="str">
        <f>+VLOOKUP($I11,[1]프로젝트현황!$I:$N,6,0)</f>
        <v>영등포구</v>
      </c>
      <c r="L11" s="28">
        <v>43467</v>
      </c>
      <c r="M11" s="28">
        <v>43467</v>
      </c>
      <c r="N11" s="28"/>
      <c r="O11" s="29"/>
      <c r="P11" s="30" t="s">
        <v>345</v>
      </c>
      <c r="Q11" s="27" t="s">
        <v>346</v>
      </c>
      <c r="R11" s="31" t="str">
        <f>LEFT(Q11,6)</f>
        <v>920208</v>
      </c>
      <c r="S11" s="31" t="str">
        <f>MID($Q11,3,2)</f>
        <v>02</v>
      </c>
      <c r="T11" s="31" t="str">
        <f>IF(OR(MID($Q11,8,1)="1",MID($Q11,8,1)="3"),"남자",IF(OR(MID($Q11,8,1)="2",MID($Q11,8,1)="4"),"여자",""))</f>
        <v>남자</v>
      </c>
      <c r="U11" s="31">
        <f ca="1">YEAR(TODAY())-IF(OR(MID($Q11,8,1)="1",MID($Q11,8,1)="2"),19&amp;LEFT($Q11,2),IF(OR(MID($Q11,8,1)="3",MID($Q11,8,1)="4"),20&amp;LEFT($Q11,2),""))+1</f>
        <v>35</v>
      </c>
      <c r="V11" s="31" t="s">
        <v>200</v>
      </c>
      <c r="W11" s="31" t="s">
        <v>201</v>
      </c>
      <c r="X11" s="27" t="s">
        <v>347</v>
      </c>
      <c r="Y11" s="27"/>
      <c r="Z11" s="27" t="s">
        <v>266</v>
      </c>
      <c r="AA11" s="32"/>
      <c r="AB11" s="31" t="s">
        <v>203</v>
      </c>
      <c r="AC11" s="27"/>
      <c r="AD11" s="33" t="str">
        <f ca="1">QUOTIENT(SUMPRODUCT(LEFT($AE11:$AF11,FIND("년",$AE11:$AF11)-1)*12+MID($AE11:$AF11,FIND("년",$AE11:$AF11)+1,FIND("개월",$AE11:$AF11)-FIND("년",$AE11:$AF11)-1)),12)&amp;"년"&amp;MOD(SUMPRODUCT(LEFT($AE11:$AF11,FIND("년",$AE11:$AF11)-1)*12+MID($AE11:$AF11,FIND("년",$AE11:$AF11)+1,FIND("개월",$AE11:$AF11)-FIND("년",$AE11:$AF11)-1)),12)&amp;"개월"</f>
        <v>8년4개월</v>
      </c>
      <c r="AE11" s="33" t="s">
        <v>348</v>
      </c>
      <c r="AF11" s="34" t="str">
        <f ca="1">DATEDIF($L11,TODAY(),"y")&amp;"년"&amp;DATEDIF($L11,TODAY(),"ym")&amp;"개월"</f>
        <v>7년1개월</v>
      </c>
      <c r="AG11" s="35" t="s">
        <v>349</v>
      </c>
      <c r="AH11" s="35" t="s">
        <v>350</v>
      </c>
      <c r="AI11" s="30" t="s">
        <v>205</v>
      </c>
      <c r="AJ11" s="32">
        <v>42050</v>
      </c>
      <c r="AK11" s="36">
        <f ca="1">VALUE(LEFT($AD11,FIND("년",$AD11)-1))</f>
        <v>8</v>
      </c>
      <c r="AL11" s="31" t="str">
        <f ca="1">IF($AI11="전문학사",IF($AK11&lt;=8,"초급",IF($AK11&lt;12,"중급",IF($AK11&lt;15,"고급",IF($AK11&gt;=15,"특급")))))</f>
        <v>초급</v>
      </c>
      <c r="AM11" s="31" t="str">
        <f>IF(ISNUMBER(SEARCH("산업기사",$AT11)),IF($AK11&gt;=13,"특급",IF($AK11&gt;=10,"고급",IF($AK11&gt;=7,"중급","초급"))),IF(ISNUMBER(SEARCH("기사",$AR11)),IF($AK11&gt;=10,"특급",IF($AK11&gt;=7,"고급",IF($AK11&gt;=4,"중급","초급"))),"미해당"))</f>
        <v>미해당</v>
      </c>
      <c r="AN11" s="27"/>
      <c r="AO11" s="32"/>
      <c r="AP11" s="27" t="s">
        <v>137</v>
      </c>
      <c r="AQ11" s="32">
        <v>2017.12</v>
      </c>
      <c r="AR11" s="27"/>
      <c r="AS11" s="27"/>
      <c r="AT11" s="37"/>
      <c r="AU11" s="27"/>
      <c r="AV11" s="38"/>
      <c r="AW11" s="39" t="s">
        <v>227</v>
      </c>
      <c r="AX11" s="39" t="s">
        <v>351</v>
      </c>
      <c r="AY11" s="40" t="s">
        <v>251</v>
      </c>
      <c r="AZ11" s="41" t="s">
        <v>252</v>
      </c>
      <c r="BA11" s="30" t="s">
        <v>230</v>
      </c>
      <c r="BB11" s="30" t="s">
        <v>352</v>
      </c>
      <c r="BC11" s="42" t="s">
        <v>254</v>
      </c>
      <c r="BD11" s="42" t="s">
        <v>353</v>
      </c>
      <c r="BE11" s="43" t="s">
        <v>354</v>
      </c>
      <c r="BF11" s="42" t="s">
        <v>234</v>
      </c>
      <c r="BG11" s="42" t="s">
        <v>355</v>
      </c>
      <c r="BH11" s="35" t="s">
        <v>356</v>
      </c>
      <c r="BI11" s="44" t="s">
        <v>357</v>
      </c>
      <c r="BJ11" s="45" t="str">
        <f>IFERROR(VLOOKUP($BG11,[1]프로젝트현황!Y:Z,2,0),"기타")</f>
        <v>서남권</v>
      </c>
      <c r="BK11" s="46" t="str">
        <f>(IF(BF11="","",BF11&amp;" "))&amp;(IF(BG11="","",BG11&amp;" "))&amp;(IF(BH11="","",BH11&amp;" "))&amp;BI11</f>
        <v>경기도 부천시 원미구 부일로 232, 102동 2108호 (상동)</v>
      </c>
      <c r="BL11" s="47">
        <v>30</v>
      </c>
      <c r="BM11" s="47">
        <v>30</v>
      </c>
      <c r="BN11" s="48">
        <v>36600000</v>
      </c>
      <c r="BO11" s="48">
        <f>BP11*12</f>
        <v>36600118.799999997</v>
      </c>
      <c r="BP11" s="49">
        <f>SUM(BQ11:BS11)</f>
        <v>3050009.9</v>
      </c>
      <c r="BQ11" s="49">
        <f>ROUNDUP(BN11/12*209/(209+BU11*1.5)/BL11*BM11,-1)-BS11</f>
        <v>2021090</v>
      </c>
      <c r="BR11" s="49">
        <f>ROUNDUP(BN11/12*(BU11*1.5)/(209+BU11*1.5)/BL11*BM11,1)</f>
        <v>828919.9</v>
      </c>
      <c r="BS11" s="49">
        <v>200000</v>
      </c>
      <c r="BT11" s="50">
        <v>209</v>
      </c>
      <c r="BU11" s="49">
        <f>IF($BN11="","",
IFERROR(
    IF($BN11&lt;'[1]시간외시간 기준표'!$B$2,0,
        IF($BN11&gt;LOOKUP(9.9E+307,'[1]시간외시간 기준표'!$B$2:$B$999),
            LOOKUP(9.9E+307,'[1]시간외시간 기준표'!$C$2:$C$999),
            LOOKUP($BN11,'[1]시간외시간 기준표'!$B$2:$B$999,'[1]시간외시간 기준표'!$C$2:$C$999)
        )
    ),0)
)</f>
        <v>52</v>
      </c>
      <c r="BV11" s="50">
        <f>(BQ11+BS11)/209</f>
        <v>10627.224880382775</v>
      </c>
      <c r="BW11" s="51">
        <v>30</v>
      </c>
      <c r="BX11" s="51">
        <v>30</v>
      </c>
      <c r="BY11" s="52">
        <v>36600000</v>
      </c>
      <c r="BZ11" s="52">
        <f>CA11*12</f>
        <v>36600118.799999997</v>
      </c>
      <c r="CA11" s="49">
        <f>SUM(CB11:CD11)</f>
        <v>3050009.9</v>
      </c>
      <c r="CB11" s="49">
        <f>ROUNDUP(BY11/12*209/(209+CF11*1.5)/BW11*BX11,-1)-CD11</f>
        <v>2021090</v>
      </c>
      <c r="CC11" s="49">
        <f>ROUNDUP(BY11/12*(CF11*1.5)/(209+CF11*1.5)/BW11*BX11,1)</f>
        <v>828919.9</v>
      </c>
      <c r="CD11" s="49">
        <v>200000</v>
      </c>
      <c r="CE11" s="50">
        <v>209</v>
      </c>
      <c r="CF11" s="49">
        <f>IF(BY11&lt;26000000,0,IF(BY11&lt;26500000,4,IF(BY11&lt;27000000,7,IF(BY11&lt;27500000,9,IF(BY11&lt;28000000,11,IF(BY11&lt;28500000,15,IF(BY11&lt;29000000,17,IF(BY11&lt;29500000,20,IF(BY11&lt;30000000,23,IF(BY11&lt;30500000,25,IF(BY11&lt;31000000,27,IF(BY11&lt;31500000,29,IF(BY11&lt;32000000,33,IF(BY11&lt;32500000,37,IF(BY11&lt;33000000,39,IF(BY11&lt;33500000,42,IF(BY11&lt;34000000,45,IF(BY11&lt;34500000,48,IF(BY11&lt;35000000,52,52)))))))))))))))))))</f>
        <v>52</v>
      </c>
      <c r="CG11" s="50">
        <f>(CB11+CD11)/209</f>
        <v>10627.224880382775</v>
      </c>
      <c r="CH11" s="51">
        <v>30</v>
      </c>
      <c r="CI11" s="51">
        <v>30</v>
      </c>
      <c r="CJ11" s="52">
        <v>35800000</v>
      </c>
      <c r="CK11" s="52">
        <f>CL11*12</f>
        <v>35800096.799999997</v>
      </c>
      <c r="CL11" s="49">
        <f>SUM(CM11:CO11)</f>
        <v>2983341.4</v>
      </c>
      <c r="CM11" s="49">
        <f>ROUNDUP(CJ11/12*209/(209+CQ11*1.5)/CH11*CI11,-1)-CO11</f>
        <v>1972540</v>
      </c>
      <c r="CN11" s="49">
        <f>ROUNDUP(CJ11/12*(CQ11*1.5)/(209+CQ11*1.5)/CH11*CI11,1)</f>
        <v>810801.4</v>
      </c>
      <c r="CO11" s="50">
        <v>200000</v>
      </c>
      <c r="CP11" s="50">
        <v>209</v>
      </c>
      <c r="CQ11" s="50">
        <f>IF(CJ11&lt;26000000,0,IF(CJ11&lt;26500000,4,IF(CJ11&lt;27000000,7,IF(CJ11&lt;27500000,9,IF(CJ11&lt;28000000,11,IF(CJ11&lt;28500000,15,IF(CJ11&lt;29000000,17,IF(CJ11&lt;29500000,20,IF(CJ11&lt;30000000,23,IF(CJ11&lt;30500000,25,IF(CJ11&lt;31000000,27,IF(CJ11&lt;31500000,29,IF(CJ11&lt;32000000,33,IF(CJ11&lt;32500000,37,IF(CJ11&lt;33000000,39,IF(CJ11&lt;33500000,42,IF(CJ11&lt;34000000,45,IF(CJ11&lt;34500000,48,IF(CJ11&lt;35000000,52,52)))))))))))))))))))</f>
        <v>52</v>
      </c>
      <c r="CR11" s="50">
        <f>(CM11+CO11)/209</f>
        <v>10394.928229665073</v>
      </c>
      <c r="CS11" s="52">
        <v>34000000</v>
      </c>
      <c r="CT11" s="53">
        <f>IFERROR(CS11/12,"")</f>
        <v>2833333.3333333335</v>
      </c>
      <c r="CU11" s="53">
        <f>IFERROR(CT11-CV11-CW11,"")</f>
        <v>1863298.4901277586</v>
      </c>
      <c r="CV11" s="53">
        <f>IFERROR(CT11*(CY11*1.5)/(209+(CY11*1.5)),"")</f>
        <v>770034.8432055749</v>
      </c>
      <c r="CW11" s="54">
        <v>200000</v>
      </c>
      <c r="CX11" s="54">
        <v>209</v>
      </c>
      <c r="CY11" s="54">
        <v>52</v>
      </c>
      <c r="CZ11" s="55">
        <f>SUM(CX11:CY11)</f>
        <v>261</v>
      </c>
      <c r="DA11" s="55">
        <f>IFERROR((CU11/209)+(CW11-(9620*209*0.01))/209,"")</f>
        <v>9776.0415795586523</v>
      </c>
      <c r="DB11" s="56">
        <f>IFERROR((CU11+CW11)/209,"")</f>
        <v>9872.241579558653</v>
      </c>
      <c r="DC11" s="57">
        <v>2023</v>
      </c>
      <c r="DD11" s="58"/>
      <c r="DE11" s="58"/>
      <c r="DF11" s="57"/>
      <c r="DG11" s="59">
        <f>B11</f>
        <v>190102</v>
      </c>
      <c r="DH11" s="58"/>
      <c r="DI11" s="58"/>
      <c r="DJ11" s="60"/>
      <c r="DK11" s="58"/>
      <c r="DL11" s="61"/>
      <c r="DM11" s="24"/>
    </row>
    <row r="12" spans="1:117" ht="15" customHeight="1">
      <c r="A12" s="25">
        <f>ROW()-2</f>
        <v>10</v>
      </c>
      <c r="B12" s="26">
        <v>190103</v>
      </c>
      <c r="C12" s="27" t="s">
        <v>358</v>
      </c>
      <c r="D12" s="27"/>
      <c r="E12" s="27" t="s">
        <v>239</v>
      </c>
      <c r="F12" s="27" t="s">
        <v>196</v>
      </c>
      <c r="G12" s="27" t="s">
        <v>240</v>
      </c>
      <c r="H12" s="27" t="s">
        <v>217</v>
      </c>
      <c r="I12" s="27" t="s">
        <v>359</v>
      </c>
      <c r="J12" s="27" t="str">
        <f>+VLOOKUP($I12,[1]프로젝트현황!$I:$N,5,0)</f>
        <v>서울시</v>
      </c>
      <c r="K12" s="27" t="str">
        <f>+VLOOKUP($I12,[1]프로젝트현황!$I:$N,6,0)</f>
        <v>금천구</v>
      </c>
      <c r="L12" s="28">
        <v>43474</v>
      </c>
      <c r="M12" s="28">
        <v>43474</v>
      </c>
      <c r="N12" s="28"/>
      <c r="O12" s="29"/>
      <c r="P12" s="30"/>
      <c r="Q12" s="27" t="s">
        <v>360</v>
      </c>
      <c r="R12" s="31" t="str">
        <f>LEFT(Q12,6)</f>
        <v>910629</v>
      </c>
      <c r="S12" s="31" t="str">
        <f>MID($Q12,3,2)</f>
        <v>06</v>
      </c>
      <c r="T12" s="31" t="str">
        <f>IF(OR(MID($Q12,8,1)="1",MID($Q12,8,1)="3"),"남자",IF(OR(MID($Q12,8,1)="2",MID($Q12,8,1)="4"),"여자",""))</f>
        <v>남자</v>
      </c>
      <c r="U12" s="31">
        <f ca="1">YEAR(TODAY())-IF(OR(MID($Q12,8,1)="1",MID($Q12,8,1)="2"),19&amp;LEFT($Q12,2),IF(OR(MID($Q12,8,1)="3",MID($Q12,8,1)="4"),20&amp;LEFT($Q12,2),""))+1</f>
        <v>36</v>
      </c>
      <c r="V12" s="31" t="s">
        <v>200</v>
      </c>
      <c r="W12" s="31" t="s">
        <v>201</v>
      </c>
      <c r="X12" s="27" t="s">
        <v>361</v>
      </c>
      <c r="Y12" s="27"/>
      <c r="Z12" s="27" t="s">
        <v>266</v>
      </c>
      <c r="AA12" s="32"/>
      <c r="AB12" s="31" t="s">
        <v>203</v>
      </c>
      <c r="AC12" s="27"/>
      <c r="AD12" s="33" t="str">
        <f ca="1">QUOTIENT(SUMPRODUCT(LEFT($AE12:$AF12,FIND("년",$AE12:$AF12)-1)*12+MID($AE12:$AF12,FIND("년",$AE12:$AF12)+1,FIND("개월",$AE12:$AF12)-FIND("년",$AE12:$AF12)-1)),12)&amp;"년"&amp;MOD(SUMPRODUCT(LEFT($AE12:$AF12,FIND("년",$AE12:$AF12)-1)*12+MID($AE12:$AF12,FIND("년",$AE12:$AF12)+1,FIND("개월",$AE12:$AF12)-FIND("년",$AE12:$AF12)-1)),12)&amp;"개월"</f>
        <v>13년6개월</v>
      </c>
      <c r="AE12" s="33" t="s">
        <v>362</v>
      </c>
      <c r="AF12" s="34" t="str">
        <f ca="1">DATEDIF($L12,TODAY(),"y")&amp;"년"&amp;DATEDIF($L12,TODAY(),"ym")&amp;"개월"</f>
        <v>7년1개월</v>
      </c>
      <c r="AG12" s="35" t="s">
        <v>363</v>
      </c>
      <c r="AH12" s="35" t="s">
        <v>364</v>
      </c>
      <c r="AI12" s="30" t="s">
        <v>365</v>
      </c>
      <c r="AJ12" s="32">
        <v>40221</v>
      </c>
      <c r="AK12" s="36">
        <f ca="1">VALUE(LEFT($AD12,FIND("년",$AD12)-1))</f>
        <v>13</v>
      </c>
      <c r="AL12" s="31" t="str">
        <f ca="1">IF($AI12="고졸",IF($AK12&lt;=11,"초급",IF($AK12&lt;=14,"중급",IF($AK12&lt;=17,"고급",IF($AK12&gt;=18,"특급")))))</f>
        <v>중급</v>
      </c>
      <c r="AM12" s="31" t="str">
        <f>IF(ISNUMBER(SEARCH("산업기사",$AT12)),IF($AK12&gt;=13,"특급",IF($AK12&gt;=10,"고급",IF($AK12&gt;=7,"중급","초급"))),IF(ISNUMBER(SEARCH("기사",$AR12)),IF($AK12&gt;=10,"특급",IF($AK12&gt;=7,"고급",IF($AK12&gt;=4,"중급","초급"))),"미해당"))</f>
        <v>미해당</v>
      </c>
      <c r="AN12" s="27"/>
      <c r="AO12" s="32"/>
      <c r="AP12" s="27" t="s">
        <v>137</v>
      </c>
      <c r="AQ12" s="32">
        <v>42206</v>
      </c>
      <c r="AR12" s="27"/>
      <c r="AS12" s="27"/>
      <c r="AT12" s="37"/>
      <c r="AU12" s="27"/>
      <c r="AV12" s="38"/>
      <c r="AW12" s="39" t="s">
        <v>227</v>
      </c>
      <c r="AX12" s="39" t="s">
        <v>366</v>
      </c>
      <c r="AY12" s="40" t="s">
        <v>251</v>
      </c>
      <c r="AZ12" s="41" t="s">
        <v>252</v>
      </c>
      <c r="BA12" s="30" t="s">
        <v>230</v>
      </c>
      <c r="BB12" s="30" t="s">
        <v>367</v>
      </c>
      <c r="BC12" s="42" t="s">
        <v>368</v>
      </c>
      <c r="BD12" s="42" t="s">
        <v>369</v>
      </c>
      <c r="BE12" s="43" t="s">
        <v>370</v>
      </c>
      <c r="BF12" s="42" t="s">
        <v>211</v>
      </c>
      <c r="BG12" s="42" t="s">
        <v>371</v>
      </c>
      <c r="BH12" s="35"/>
      <c r="BI12" s="44" t="s">
        <v>372</v>
      </c>
      <c r="BJ12" s="45" t="str">
        <f>IFERROR(VLOOKUP($BG12,[1]프로젝트현황!Y:Z,2,0),"기타")</f>
        <v>서남권</v>
      </c>
      <c r="BK12" s="46" t="str">
        <f>(IF(BF12="","",BF12&amp;" "))&amp;(IF(BG12="","",BG12&amp;" "))&amp;(IF(BH12="","",BH12&amp;" "))&amp;BI12</f>
        <v>서울시 관악구 행운2길 51 502호</v>
      </c>
      <c r="BL12" s="47">
        <v>30</v>
      </c>
      <c r="BM12" s="47">
        <v>30</v>
      </c>
      <c r="BN12" s="48">
        <v>38000000</v>
      </c>
      <c r="BO12" s="48">
        <f>BP12*12</f>
        <v>38000006.400000006</v>
      </c>
      <c r="BP12" s="49">
        <f>SUM(BQ12:BS12)</f>
        <v>3166667.2</v>
      </c>
      <c r="BQ12" s="49">
        <f>ROUNDUP(BN12/12*209/(209+BU12*1.5)/BL12*BM12,-1)-BS12</f>
        <v>2106040</v>
      </c>
      <c r="BR12" s="49">
        <f>ROUNDUP(BN12/12*(BU12*1.5)/(209+BU12*1.5)/BL12*BM12,1)</f>
        <v>860627.2</v>
      </c>
      <c r="BS12" s="49">
        <v>200000</v>
      </c>
      <c r="BT12" s="50">
        <v>209</v>
      </c>
      <c r="BU12" s="49">
        <f>IF($BN12="","",
IFERROR(
    IF($BN12&lt;'[1]시간외시간 기준표'!$B$2,0,
        IF($BN12&gt;LOOKUP(9.9E+307,'[1]시간외시간 기준표'!$B$2:$B$999),
            LOOKUP(9.9E+307,'[1]시간외시간 기준표'!$C$2:$C$999),
            LOOKUP($BN12,'[1]시간외시간 기준표'!$B$2:$B$999,'[1]시간외시간 기준표'!$C$2:$C$999)
        )
    ),0)
)</f>
        <v>52</v>
      </c>
      <c r="BV12" s="50">
        <f>(BQ12+BS12)/209</f>
        <v>11033.684210526315</v>
      </c>
      <c r="BW12" s="51">
        <v>30</v>
      </c>
      <c r="BX12" s="51">
        <v>30</v>
      </c>
      <c r="BY12" s="52">
        <v>38000000</v>
      </c>
      <c r="BZ12" s="52">
        <f>CA12*12</f>
        <v>38000006.400000006</v>
      </c>
      <c r="CA12" s="49">
        <f>SUM(CB12:CD12)</f>
        <v>3166667.2</v>
      </c>
      <c r="CB12" s="49">
        <f>ROUNDUP(BY12/12*209/(209+CF12*1.5)/BW12*BX12,-1)-CD12</f>
        <v>2106040</v>
      </c>
      <c r="CC12" s="49">
        <f>ROUNDUP(BY12/12*(CF12*1.5)/(209+CF12*1.5)/BW12*BX12,1)</f>
        <v>860627.2</v>
      </c>
      <c r="CD12" s="49">
        <v>200000</v>
      </c>
      <c r="CE12" s="50">
        <v>209</v>
      </c>
      <c r="CF12" s="49">
        <f>IF(BY12&lt;26000000,0,IF(BY12&lt;26500000,4,IF(BY12&lt;27000000,7,IF(BY12&lt;27500000,9,IF(BY12&lt;28000000,11,IF(BY12&lt;28500000,15,IF(BY12&lt;29000000,17,IF(BY12&lt;29500000,20,IF(BY12&lt;30000000,23,IF(BY12&lt;30500000,25,IF(BY12&lt;31000000,27,IF(BY12&lt;31500000,29,IF(BY12&lt;32000000,33,IF(BY12&lt;32500000,37,IF(BY12&lt;33000000,39,IF(BY12&lt;33500000,42,IF(BY12&lt;34000000,45,IF(BY12&lt;34500000,48,IF(BY12&lt;35000000,52,52)))))))))))))))))))</f>
        <v>52</v>
      </c>
      <c r="CG12" s="50">
        <f>(CB12+CD12)/209</f>
        <v>11033.684210526315</v>
      </c>
      <c r="CH12" s="51">
        <v>30</v>
      </c>
      <c r="CI12" s="51">
        <v>30</v>
      </c>
      <c r="CJ12" s="52">
        <v>37200000</v>
      </c>
      <c r="CK12" s="52">
        <f>CL12*12</f>
        <v>37200105.599999994</v>
      </c>
      <c r="CL12" s="49">
        <f>SUM(CM12:CO12)</f>
        <v>3100008.8</v>
      </c>
      <c r="CM12" s="49">
        <f>ROUNDUP(CJ12/12*209/(209+CQ12*1.5)/CH12*CI12,-1)-CO12</f>
        <v>2057500</v>
      </c>
      <c r="CN12" s="49">
        <f>ROUNDUP(CJ12/12*(CQ12*1.5)/(209+CQ12*1.5)/CH12*CI12,1)</f>
        <v>842508.79999999993</v>
      </c>
      <c r="CO12" s="50">
        <v>200000</v>
      </c>
      <c r="CP12" s="50">
        <v>209</v>
      </c>
      <c r="CQ12" s="50">
        <f>IF(CJ12&lt;26000000,0,IF(CJ12&lt;26500000,4,IF(CJ12&lt;27000000,7,IF(CJ12&lt;27500000,9,IF(CJ12&lt;28000000,11,IF(CJ12&lt;28500000,15,IF(CJ12&lt;29000000,17,IF(CJ12&lt;29500000,20,IF(CJ12&lt;30000000,23,IF(CJ12&lt;30500000,25,IF(CJ12&lt;31000000,27,IF(CJ12&lt;31500000,29,IF(CJ12&lt;32000000,33,IF(CJ12&lt;32500000,37,IF(CJ12&lt;33000000,39,IF(CJ12&lt;33500000,42,IF(CJ12&lt;34000000,45,IF(CJ12&lt;34500000,48,IF(CJ12&lt;35000000,52,52)))))))))))))))))))</f>
        <v>52</v>
      </c>
      <c r="CR12" s="50">
        <f>(CM12+CO12)/209</f>
        <v>10801.435406698565</v>
      </c>
      <c r="CS12" s="52">
        <v>36000000</v>
      </c>
      <c r="CT12" s="53">
        <f>IFERROR(CS12/12,"")</f>
        <v>3000000</v>
      </c>
      <c r="CU12" s="53">
        <f>IFERROR(CT12-CV12-CW12,"")</f>
        <v>1984668.9895470385</v>
      </c>
      <c r="CV12" s="53">
        <f>IFERROR(CT12*(CY12*1.5)/(209+(CY12*1.5)),"")</f>
        <v>815331.01045296167</v>
      </c>
      <c r="CW12" s="54">
        <v>200000</v>
      </c>
      <c r="CX12" s="54">
        <v>209</v>
      </c>
      <c r="CY12" s="54">
        <v>52</v>
      </c>
      <c r="CZ12" s="55">
        <f>SUM(CX12:CY12)</f>
        <v>261</v>
      </c>
      <c r="DA12" s="55">
        <f>IFERROR((CU12/209)+(CW12-(9620*209*0.01))/209,"")</f>
        <v>10356.761672473869</v>
      </c>
      <c r="DB12" s="56">
        <f>IFERROR((CU12+CW12)/209,"")</f>
        <v>10452.961672473868</v>
      </c>
      <c r="DC12" s="57">
        <v>2023</v>
      </c>
      <c r="DD12" s="58"/>
      <c r="DE12" s="58"/>
      <c r="DF12" s="57"/>
      <c r="DG12" s="59">
        <f>B12</f>
        <v>190103</v>
      </c>
      <c r="DH12" s="58"/>
      <c r="DI12" s="58"/>
      <c r="DJ12" s="60"/>
      <c r="DK12" s="58"/>
      <c r="DL12" s="61"/>
      <c r="DM12" s="24"/>
    </row>
    <row r="13" spans="1:117" ht="15" customHeight="1">
      <c r="A13" s="25">
        <f>ROW()-2</f>
        <v>11</v>
      </c>
      <c r="B13" s="26">
        <v>190105</v>
      </c>
      <c r="C13" s="62" t="s">
        <v>373</v>
      </c>
      <c r="D13" s="27"/>
      <c r="E13" s="27" t="s">
        <v>239</v>
      </c>
      <c r="F13" s="27" t="s">
        <v>196</v>
      </c>
      <c r="G13" s="27" t="s">
        <v>240</v>
      </c>
      <c r="H13" s="27" t="s">
        <v>260</v>
      </c>
      <c r="I13" s="27" t="s">
        <v>316</v>
      </c>
      <c r="J13" s="27" t="str">
        <f>+VLOOKUP($I13,[1]프로젝트현황!$I:$N,5,0)</f>
        <v>경기도</v>
      </c>
      <c r="K13" s="27" t="str">
        <f>+VLOOKUP($I13,[1]프로젝트현황!$I:$N,6,0)</f>
        <v>성남시</v>
      </c>
      <c r="L13" s="28">
        <v>43479</v>
      </c>
      <c r="M13" s="28">
        <v>43479</v>
      </c>
      <c r="N13" s="28"/>
      <c r="O13" s="29"/>
      <c r="P13" s="30" t="s">
        <v>374</v>
      </c>
      <c r="Q13" s="27" t="s">
        <v>375</v>
      </c>
      <c r="R13" s="31" t="str">
        <f>LEFT(Q13,6)</f>
        <v>911113</v>
      </c>
      <c r="S13" s="31" t="str">
        <f>MID($Q13,3,2)</f>
        <v>11</v>
      </c>
      <c r="T13" s="31" t="str">
        <f>IF(OR(MID($Q13,8,1)="1",MID($Q13,8,1)="3"),"남자",IF(OR(MID($Q13,8,1)="2",MID($Q13,8,1)="4"),"여자",""))</f>
        <v>여자</v>
      </c>
      <c r="U13" s="31">
        <f ca="1">YEAR(TODAY())-IF(OR(MID($Q13,8,1)="1",MID($Q13,8,1)="2"),19&amp;LEFT($Q13,2),IF(OR(MID($Q13,8,1)="3",MID($Q13,8,1)="4"),20&amp;LEFT($Q13,2),""))+1</f>
        <v>36</v>
      </c>
      <c r="V13" s="31" t="s">
        <v>200</v>
      </c>
      <c r="W13" s="31" t="s">
        <v>201</v>
      </c>
      <c r="X13" s="27" t="s">
        <v>376</v>
      </c>
      <c r="Y13" s="27"/>
      <c r="Z13" s="27"/>
      <c r="AA13" s="32"/>
      <c r="AB13" s="31" t="s">
        <v>203</v>
      </c>
      <c r="AC13" s="27"/>
      <c r="AD13" s="33" t="str">
        <f ca="1">QUOTIENT(SUMPRODUCT(LEFT($AE13:$AF13,FIND("년",$AE13:$AF13)-1)*12+MID($AE13:$AF13,FIND("년",$AE13:$AF13)+1,FIND("개월",$AE13:$AF13)-FIND("년",$AE13:$AF13)-1)),12)&amp;"년"&amp;MOD(SUMPRODUCT(LEFT($AE13:$AF13,FIND("년",$AE13:$AF13)-1)*12+MID($AE13:$AF13,FIND("년",$AE13:$AF13)+1,FIND("개월",$AE13:$AF13)-FIND("년",$AE13:$AF13)-1)),12)&amp;"개월"</f>
        <v>7년9개월</v>
      </c>
      <c r="AE13" s="33" t="s">
        <v>377</v>
      </c>
      <c r="AF13" s="34" t="str">
        <f ca="1">DATEDIF($L13,TODAY(),"y")&amp;"년"&amp;DATEDIF($L13,TODAY(),"ym")&amp;"개월"</f>
        <v>7년0개월</v>
      </c>
      <c r="AG13" s="35" t="s">
        <v>378</v>
      </c>
      <c r="AH13" s="35" t="s">
        <v>379</v>
      </c>
      <c r="AI13" s="30" t="s">
        <v>270</v>
      </c>
      <c r="AJ13" s="32">
        <v>42787</v>
      </c>
      <c r="AK13" s="36">
        <f ca="1">VALUE(LEFT($AD13,FIND("년",$AD13)-1))</f>
        <v>7</v>
      </c>
      <c r="AL13" s="31" t="str">
        <f ca="1">IF($AI13="학사",IF($AK13&lt;=5,"초급",IF($AK13&lt;9,"중급",IF($AK13&lt;12,"고급",IF($AK13&gt;=12,"특급")))))</f>
        <v>중급</v>
      </c>
      <c r="AM13" s="31" t="str">
        <f>IF(ISNUMBER(SEARCH("산업기사",$AT13)),IF($AK13&gt;=13,"특급",IF($AK13&gt;=10,"고급",IF($AK13&gt;=7,"중급","초급"))),IF(ISNUMBER(SEARCH("기사",$AR13)),IF($AK13&gt;=10,"특급",IF($AK13&gt;=7,"고급",IF($AK13&gt;=4,"중급","초급"))),"미해당"))</f>
        <v>미해당</v>
      </c>
      <c r="AN13" s="27"/>
      <c r="AO13" s="32"/>
      <c r="AP13" s="27"/>
      <c r="AQ13" s="32"/>
      <c r="AR13" s="27"/>
      <c r="AS13" s="27"/>
      <c r="AT13" s="37"/>
      <c r="AU13" s="27"/>
      <c r="AV13" s="38" t="s">
        <v>380</v>
      </c>
      <c r="AW13" s="39" t="s">
        <v>381</v>
      </c>
      <c r="AX13" s="39">
        <v>2012.11</v>
      </c>
      <c r="AY13" s="40" t="s">
        <v>251</v>
      </c>
      <c r="AZ13" s="41" t="s">
        <v>252</v>
      </c>
      <c r="BA13" s="30" t="s">
        <v>230</v>
      </c>
      <c r="BB13" s="30" t="s">
        <v>382</v>
      </c>
      <c r="BC13" s="42" t="s">
        <v>254</v>
      </c>
      <c r="BD13" s="42" t="s">
        <v>383</v>
      </c>
      <c r="BE13" s="43" t="s">
        <v>384</v>
      </c>
      <c r="BF13" s="42" t="s">
        <v>211</v>
      </c>
      <c r="BG13" s="42" t="s">
        <v>385</v>
      </c>
      <c r="BH13" s="35"/>
      <c r="BI13" s="44" t="s">
        <v>386</v>
      </c>
      <c r="BJ13" s="45" t="str">
        <f>IFERROR(VLOOKUP($BG13,[1]프로젝트현황!Y:Z,2,0),"기타")</f>
        <v>동남권</v>
      </c>
      <c r="BK13" s="46" t="str">
        <f>(IF(BF13="","",BF13&amp;" "))&amp;(IF(BG13="","",BG13&amp;" "))&amp;(IF(BH13="","",BH13&amp;" "))&amp;BI13</f>
        <v>서울시 서초구 청계산로9길 1-12, 601동 309호(신원동, 서초포레스타)</v>
      </c>
      <c r="BL13" s="47">
        <v>30</v>
      </c>
      <c r="BM13" s="47">
        <v>30</v>
      </c>
      <c r="BN13" s="48">
        <v>30000000</v>
      </c>
      <c r="BO13" s="48">
        <f>BP13*12</f>
        <v>30000109.200000003</v>
      </c>
      <c r="BP13" s="49">
        <f>SUM(BQ13:BS13)</f>
        <v>2500009.1</v>
      </c>
      <c r="BQ13" s="49">
        <f>ROUNDUP(BN13/12*209/(209+BU13*1.5)/BL13*BM13,-1)-BS13</f>
        <v>1959100</v>
      </c>
      <c r="BR13" s="49">
        <f>ROUNDUP(BN13/12*(BU13*1.5)/(209+BU13*1.5)/BL13*BM13,1)</f>
        <v>340909.1</v>
      </c>
      <c r="BS13" s="49">
        <v>200000</v>
      </c>
      <c r="BT13" s="50">
        <v>209</v>
      </c>
      <c r="BU13" s="49">
        <f>IF($BN13="","",
IFERROR(
    IF($BN13&lt;'[1]시간외시간 기준표'!$B$2,0,
        IF($BN13&gt;LOOKUP(9.9E+307,'[1]시간외시간 기준표'!$B$2:$B$999),
            LOOKUP(9.9E+307,'[1]시간외시간 기준표'!$C$2:$C$999),
            LOOKUP($BN13,'[1]시간외시간 기준표'!$B$2:$B$999,'[1]시간외시간 기준표'!$C$2:$C$999)
        )
    ),0)
)</f>
        <v>22</v>
      </c>
      <c r="BV13" s="50">
        <f>(BQ13+BS13)/209</f>
        <v>10330.622009569379</v>
      </c>
      <c r="BW13" s="51">
        <v>30</v>
      </c>
      <c r="BX13" s="51">
        <v>30</v>
      </c>
      <c r="BY13" s="52">
        <v>30000000</v>
      </c>
      <c r="BZ13" s="52">
        <f>CA13*12</f>
        <v>30000055.200000003</v>
      </c>
      <c r="CA13" s="49">
        <f>SUM(CB13:CD13)</f>
        <v>2500004.6</v>
      </c>
      <c r="CB13" s="49">
        <f>ROUNDUP(BY13/12*209/(209+CF13*1.5)/BW13*BX13,-1)-CD13</f>
        <v>1919680</v>
      </c>
      <c r="CC13" s="49">
        <f>ROUNDUP(BY13/12*(CF13*1.5)/(209+CF13*1.5)/BW13*BX13,1)</f>
        <v>380324.6</v>
      </c>
      <c r="CD13" s="49">
        <v>200000</v>
      </c>
      <c r="CE13" s="50">
        <v>209</v>
      </c>
      <c r="CF13" s="49">
        <f>IF(BY13&lt;26000000,0,IF(BY13&lt;26500000,4,IF(BY13&lt;27000000,7,IF(BY13&lt;27500000,9,IF(BY13&lt;28000000,11,IF(BY13&lt;28500000,15,IF(BY13&lt;29000000,17,IF(BY13&lt;29500000,20,IF(BY13&lt;30000000,23,IF(BY13&lt;30500000,25,IF(BY13&lt;31000000,27,IF(BY13&lt;31500000,29,IF(BY13&lt;32000000,33,IF(BY13&lt;32500000,37,IF(BY13&lt;33000000,39,IF(BY13&lt;33500000,42,IF(BY13&lt;34000000,45,IF(BY13&lt;34500000,48,IF(BY13&lt;35000000,52,52)))))))))))))))))))</f>
        <v>25</v>
      </c>
      <c r="CG13" s="50">
        <f>(CB13+CD13)/209</f>
        <v>10142.009569377991</v>
      </c>
      <c r="CH13" s="51">
        <v>30</v>
      </c>
      <c r="CI13" s="51">
        <v>30</v>
      </c>
      <c r="CJ13" s="52">
        <v>29200000</v>
      </c>
      <c r="CK13" s="52">
        <f>CL13*12</f>
        <v>29200072.799999997</v>
      </c>
      <c r="CL13" s="49">
        <f>SUM(CM13:CO13)</f>
        <v>2433339.4</v>
      </c>
      <c r="CM13" s="49">
        <f>ROUNDUP(CJ13/12*209/(209+CQ13*1.5)/CH13*CI13,-1)-CO13</f>
        <v>1927900</v>
      </c>
      <c r="CN13" s="49">
        <f>ROUNDUP(CJ13/12*(CQ13*1.5)/(209+CQ13*1.5)/CH13*CI13,1)</f>
        <v>305439.39999999997</v>
      </c>
      <c r="CO13" s="50">
        <v>200000</v>
      </c>
      <c r="CP13" s="50">
        <v>209</v>
      </c>
      <c r="CQ13" s="50">
        <f>IF(CJ13&lt;26000000,0,IF(CJ13&lt;26500000,4,IF(CJ13&lt;27000000,7,IF(CJ13&lt;27500000,9,IF(CJ13&lt;28000000,11,IF(CJ13&lt;28500000,15,IF(CJ13&lt;29000000,17,IF(CJ13&lt;29500000,20,IF(CJ13&lt;30000000,23,IF(CJ13&lt;30500000,25,IF(CJ13&lt;31000000,27,IF(CJ13&lt;31500000,29,IF(CJ13&lt;32000000,33,IF(CJ13&lt;32500000,37,IF(CJ13&lt;33000000,39,IF(CJ13&lt;33500000,42,IF(CJ13&lt;34000000,45,IF(CJ13&lt;34500000,48,IF(CJ13&lt;35000000,52,52)))))))))))))))))))</f>
        <v>20</v>
      </c>
      <c r="CR13" s="50">
        <f>(CM13+CO13)/209</f>
        <v>10181.33971291866</v>
      </c>
      <c r="CS13" s="52">
        <v>28000000</v>
      </c>
      <c r="CT13" s="53">
        <f>IFERROR(CS13/12,"")</f>
        <v>2333333.3333333335</v>
      </c>
      <c r="CU13" s="53">
        <f>IFERROR(CT13-CV13-CW13,"")</f>
        <v>1840446.3040446306</v>
      </c>
      <c r="CV13" s="53">
        <f>IFERROR(CT13*(CY13*1.5)/(209+(CY13*1.5)),"")</f>
        <v>292887.02928870294</v>
      </c>
      <c r="CW13" s="54">
        <v>200000</v>
      </c>
      <c r="CX13" s="54">
        <v>209</v>
      </c>
      <c r="CY13" s="54">
        <v>20</v>
      </c>
      <c r="CZ13" s="55">
        <f>SUM(CX13:CY13)</f>
        <v>229</v>
      </c>
      <c r="DA13" s="55">
        <f>IFERROR((CU13/209)+(CW13-(9620*209*0.01))/209,"")</f>
        <v>9666.7009762900998</v>
      </c>
      <c r="DB13" s="56">
        <f>IFERROR((CU13+CW13)/209,"")</f>
        <v>9762.9009762900987</v>
      </c>
      <c r="DC13" s="57">
        <v>2023</v>
      </c>
      <c r="DD13" s="58"/>
      <c r="DE13" s="58"/>
      <c r="DF13" s="57"/>
      <c r="DG13" s="59">
        <f>B13</f>
        <v>190105</v>
      </c>
      <c r="DH13" s="58"/>
      <c r="DI13" s="58"/>
      <c r="DJ13" s="60"/>
      <c r="DK13" s="58"/>
      <c r="DL13" s="61"/>
      <c r="DM13" s="24"/>
    </row>
    <row r="14" spans="1:117" ht="15" customHeight="1">
      <c r="A14" s="25">
        <f>ROW()-2</f>
        <v>12</v>
      </c>
      <c r="B14" s="26">
        <v>190107</v>
      </c>
      <c r="C14" s="62" t="s">
        <v>387</v>
      </c>
      <c r="D14" s="27" t="s">
        <v>388</v>
      </c>
      <c r="E14" s="27" t="s">
        <v>239</v>
      </c>
      <c r="F14" s="27" t="s">
        <v>196</v>
      </c>
      <c r="G14" s="27" t="s">
        <v>216</v>
      </c>
      <c r="H14" s="27" t="s">
        <v>198</v>
      </c>
      <c r="I14" s="27" t="s">
        <v>389</v>
      </c>
      <c r="J14" s="27" t="str">
        <f>+VLOOKUP($I14,[1]프로젝트현황!$I:$N,5,0)</f>
        <v>서울시</v>
      </c>
      <c r="K14" s="27" t="str">
        <f>+VLOOKUP($I14,[1]프로젝트현황!$I:$N,6,0)</f>
        <v>강남구</v>
      </c>
      <c r="L14" s="28">
        <v>43495</v>
      </c>
      <c r="M14" s="28">
        <v>43495</v>
      </c>
      <c r="N14" s="28"/>
      <c r="O14" s="29"/>
      <c r="P14" s="30" t="s">
        <v>390</v>
      </c>
      <c r="Q14" s="27" t="s">
        <v>391</v>
      </c>
      <c r="R14" s="31" t="str">
        <f>LEFT(Q14,6)</f>
        <v>961116</v>
      </c>
      <c r="S14" s="31" t="str">
        <f>MID($Q14,3,2)</f>
        <v>11</v>
      </c>
      <c r="T14" s="31" t="str">
        <f>IF(OR(MID($Q14,8,1)="1",MID($Q14,8,1)="3"),"남자",IF(OR(MID($Q14,8,1)="2",MID($Q14,8,1)="4"),"여자",""))</f>
        <v>여자</v>
      </c>
      <c r="U14" s="31">
        <f ca="1">YEAR(TODAY())-IF(OR(MID($Q14,8,1)="1",MID($Q14,8,1)="2"),19&amp;LEFT($Q14,2),IF(OR(MID($Q14,8,1)="3",MID($Q14,8,1)="4"),20&amp;LEFT($Q14,2),""))+1</f>
        <v>31</v>
      </c>
      <c r="V14" s="31" t="s">
        <v>200</v>
      </c>
      <c r="W14" s="31" t="s">
        <v>201</v>
      </c>
      <c r="X14" s="27" t="s">
        <v>392</v>
      </c>
      <c r="Y14" s="27"/>
      <c r="Z14" s="27"/>
      <c r="AA14" s="32"/>
      <c r="AB14" s="31" t="s">
        <v>203</v>
      </c>
      <c r="AC14" s="27"/>
      <c r="AD14" s="33" t="str">
        <f ca="1">QUOTIENT(SUMPRODUCT(LEFT($AE14:$AF14,FIND("년",$AE14:$AF14)-1)*12+MID($AE14:$AF14,FIND("년",$AE14:$AF14)+1,FIND("개월",$AE14:$AF14)-FIND("년",$AE14:$AF14)-1)),12)&amp;"년"&amp;MOD(SUMPRODUCT(LEFT($AE14:$AF14,FIND("년",$AE14:$AF14)-1)*12+MID($AE14:$AF14,FIND("년",$AE14:$AF14)+1,FIND("개월",$AE14:$AF14)-FIND("년",$AE14:$AF14)-1)),12)&amp;"개월"</f>
        <v>9년0개월</v>
      </c>
      <c r="AE14" s="33" t="s">
        <v>393</v>
      </c>
      <c r="AF14" s="34" t="str">
        <f ca="1">DATEDIF($L14,TODAY(),"y")&amp;"년"&amp;DATEDIF($L14,TODAY(),"ym")&amp;"개월"</f>
        <v>7년0개월</v>
      </c>
      <c r="AG14" s="35" t="s">
        <v>394</v>
      </c>
      <c r="AH14" s="35" t="s">
        <v>395</v>
      </c>
      <c r="AI14" s="30" t="s">
        <v>205</v>
      </c>
      <c r="AJ14" s="32">
        <v>43154</v>
      </c>
      <c r="AK14" s="36">
        <f ca="1">VALUE(LEFT($AD14,FIND("년",$AD14)-1))</f>
        <v>9</v>
      </c>
      <c r="AL14" s="31" t="str">
        <f ca="1">IF($AI14="전문학사",IF($AK14&lt;=8,"초급",IF($AK14&lt;12,"중급",IF($AK14&lt;15,"고급",IF($AK14&gt;=15,"특급")))))</f>
        <v>중급</v>
      </c>
      <c r="AM14" s="31" t="str">
        <f>IF(ISNUMBER(SEARCH("산업기사",$AT14)),IF($AK14&gt;=13,"특급",IF($AK14&gt;=10,"고급",IF($AK14&gt;=7,"중급","초급"))),IF(ISNUMBER(SEARCH("기사",$AR14)),IF($AK14&gt;=10,"특급",IF($AK14&gt;=7,"고급",IF($AK14&gt;=4,"중급","초급"))),"미해당"))</f>
        <v>미해당</v>
      </c>
      <c r="AN14" s="27"/>
      <c r="AO14" s="32"/>
      <c r="AP14" s="27"/>
      <c r="AQ14" s="32"/>
      <c r="AR14" s="27"/>
      <c r="AS14" s="27"/>
      <c r="AT14" s="37"/>
      <c r="AU14" s="27"/>
      <c r="AV14" s="38"/>
      <c r="AW14" s="39"/>
      <c r="AX14" s="39"/>
      <c r="AY14" s="40" t="s">
        <v>396</v>
      </c>
      <c r="AZ14" s="41" t="s">
        <v>396</v>
      </c>
      <c r="BA14" s="30" t="s">
        <v>230</v>
      </c>
      <c r="BB14" s="30" t="s">
        <v>397</v>
      </c>
      <c r="BC14" s="42" t="s">
        <v>254</v>
      </c>
      <c r="BD14" s="42" t="s">
        <v>398</v>
      </c>
      <c r="BE14" s="43" t="s">
        <v>399</v>
      </c>
      <c r="BF14" s="42" t="s">
        <v>211</v>
      </c>
      <c r="BG14" s="42" t="s">
        <v>400</v>
      </c>
      <c r="BH14" s="35"/>
      <c r="BI14" s="44" t="s">
        <v>401</v>
      </c>
      <c r="BJ14" s="45" t="str">
        <f>IFERROR(VLOOKUP($BG14,[1]프로젝트현황!Y:Z,2,0),"기타")</f>
        <v>서남권</v>
      </c>
      <c r="BK14" s="46" t="str">
        <f>(IF(BF14="","",BF14&amp;" "))&amp;(IF(BG14="","",BG14&amp;" "))&amp;(IF(BH14="","",BH14&amp;" "))&amp;BI14</f>
        <v>서울시 강서구 등촌동 641-12, 802호</v>
      </c>
      <c r="BL14" s="47">
        <v>30</v>
      </c>
      <c r="BM14" s="47">
        <v>30</v>
      </c>
      <c r="BN14" s="48">
        <v>35200000</v>
      </c>
      <c r="BO14" s="48">
        <f>BP14*12</f>
        <v>35200054.799999997</v>
      </c>
      <c r="BP14" s="49">
        <f>SUM(BQ14:BS14)</f>
        <v>2933337.9</v>
      </c>
      <c r="BQ14" s="49">
        <f>ROUNDUP(BN14/12*209/(209+BU14*1.5)/BL14*BM14,-1)-BS14</f>
        <v>1958690</v>
      </c>
      <c r="BR14" s="49">
        <f>ROUNDUP(BN14/12*(BU14*1.5)/(209+BU14*1.5)/BL14*BM14,1)</f>
        <v>774647.9</v>
      </c>
      <c r="BS14" s="49">
        <v>200000</v>
      </c>
      <c r="BT14" s="50">
        <v>209</v>
      </c>
      <c r="BU14" s="49">
        <f>IF($BN14="","",
IFERROR(
    IF($BN14&lt;'[1]시간외시간 기준표'!$B$2,0,
        IF($BN14&gt;LOOKUP(9.9E+307,'[1]시간외시간 기준표'!$B$2:$B$999),
            LOOKUP(9.9E+307,'[1]시간외시간 기준표'!$C$2:$C$999),
            LOOKUP($BN14,'[1]시간외시간 기준표'!$B$2:$B$999,'[1]시간외시간 기준표'!$C$2:$C$999)
        )
    ),0)
)</f>
        <v>50</v>
      </c>
      <c r="BV14" s="50">
        <f>(BQ14+BS14)/209</f>
        <v>10328.66028708134</v>
      </c>
      <c r="BW14" s="51">
        <v>30</v>
      </c>
      <c r="BX14" s="51">
        <v>30</v>
      </c>
      <c r="BY14" s="52">
        <v>35200000</v>
      </c>
      <c r="BZ14" s="52">
        <f>CA14*12</f>
        <v>35200111.200000003</v>
      </c>
      <c r="CA14" s="49">
        <f>SUM(CB14:CD14)</f>
        <v>2933342.6</v>
      </c>
      <c r="CB14" s="49">
        <f>ROUNDUP(BY14/12*209/(209+CF14*1.5)/BW14*BX14,-1)-CD14</f>
        <v>1936130</v>
      </c>
      <c r="CC14" s="49">
        <f>ROUNDUP(BY14/12*(CF14*1.5)/(209+CF14*1.5)/BW14*BX14,1)</f>
        <v>797212.6</v>
      </c>
      <c r="CD14" s="49">
        <v>200000</v>
      </c>
      <c r="CE14" s="50">
        <v>209</v>
      </c>
      <c r="CF14" s="49">
        <f>IF(BY14&lt;26000000,0,IF(BY14&lt;26500000,4,IF(BY14&lt;27000000,7,IF(BY14&lt;27500000,9,IF(BY14&lt;28000000,11,IF(BY14&lt;28500000,15,IF(BY14&lt;29000000,17,IF(BY14&lt;29500000,20,IF(BY14&lt;30000000,23,IF(BY14&lt;30500000,25,IF(BY14&lt;31000000,27,IF(BY14&lt;31500000,29,IF(BY14&lt;32000000,33,IF(BY14&lt;32500000,37,IF(BY14&lt;33000000,39,IF(BY14&lt;33500000,42,IF(BY14&lt;34000000,45,IF(BY14&lt;34500000,48,IF(BY14&lt;35000000,52,52)))))))))))))))))))</f>
        <v>52</v>
      </c>
      <c r="CG14" s="50">
        <f>(CB14+CD14)/209</f>
        <v>10220.717703349283</v>
      </c>
      <c r="CH14" s="51">
        <v>30</v>
      </c>
      <c r="CI14" s="51">
        <v>30</v>
      </c>
      <c r="CJ14" s="52">
        <v>35200000</v>
      </c>
      <c r="CK14" s="52">
        <f>CL14*12</f>
        <v>35200111.200000003</v>
      </c>
      <c r="CL14" s="49">
        <f>SUM(CM14:CO14)</f>
        <v>2933342.6</v>
      </c>
      <c r="CM14" s="49">
        <f>ROUNDUP(CJ14/12*209/(209+CQ14*1.5)/CH14*CI14,-1)-CO14</f>
        <v>1936130</v>
      </c>
      <c r="CN14" s="49">
        <f>ROUNDUP(CJ14/12*(CQ14*1.5)/(209+CQ14*1.5)/CH14*CI14,1)</f>
        <v>797212.6</v>
      </c>
      <c r="CO14" s="50">
        <v>200000</v>
      </c>
      <c r="CP14" s="50">
        <v>209</v>
      </c>
      <c r="CQ14" s="50">
        <f>IF(CJ14&lt;26000000,0,IF(CJ14&lt;26500000,4,IF(CJ14&lt;27000000,7,IF(CJ14&lt;27500000,9,IF(CJ14&lt;28000000,11,IF(CJ14&lt;28500000,15,IF(CJ14&lt;29000000,17,IF(CJ14&lt;29500000,20,IF(CJ14&lt;30000000,23,IF(CJ14&lt;30500000,25,IF(CJ14&lt;31000000,27,IF(CJ14&lt;31500000,29,IF(CJ14&lt;32000000,33,IF(CJ14&lt;32500000,37,IF(CJ14&lt;33000000,39,IF(CJ14&lt;33500000,42,IF(CJ14&lt;34000000,45,IF(CJ14&lt;34500000,48,IF(CJ14&lt;35000000,52,52)))))))))))))))))))</f>
        <v>52</v>
      </c>
      <c r="CR14" s="50">
        <f>(CM14+CO14)/209</f>
        <v>10220.717703349283</v>
      </c>
      <c r="CS14" s="52">
        <v>34000000</v>
      </c>
      <c r="CT14" s="53">
        <f>IFERROR(CS14/12,"")</f>
        <v>2833333.3333333335</v>
      </c>
      <c r="CU14" s="53">
        <f>IFERROR(CT14-CV14-CW14,"")</f>
        <v>1863298.4901277586</v>
      </c>
      <c r="CV14" s="53">
        <f>IFERROR(CT14*(CY14*1.5)/(209+(CY14*1.5)),"")</f>
        <v>770034.8432055749</v>
      </c>
      <c r="CW14" s="54">
        <v>200000</v>
      </c>
      <c r="CX14" s="54">
        <v>209</v>
      </c>
      <c r="CY14" s="54">
        <v>52</v>
      </c>
      <c r="CZ14" s="55">
        <f>SUM(CX14:CY14)</f>
        <v>261</v>
      </c>
      <c r="DA14" s="55">
        <f>IFERROR((CU14/209)+(CW14-(9620*209*0.01))/209,"")</f>
        <v>9776.0415795586523</v>
      </c>
      <c r="DB14" s="56">
        <f>IFERROR((CU14+CW14)/209,"")</f>
        <v>9872.241579558653</v>
      </c>
      <c r="DC14" s="57">
        <v>2023</v>
      </c>
      <c r="DD14" s="58"/>
      <c r="DE14" s="58"/>
      <c r="DF14" s="57"/>
      <c r="DG14" s="59">
        <f>B14</f>
        <v>190107</v>
      </c>
      <c r="DH14" s="58"/>
      <c r="DI14" s="58"/>
      <c r="DJ14" s="60"/>
      <c r="DK14" s="58"/>
      <c r="DL14" s="61"/>
      <c r="DM14" s="24"/>
    </row>
    <row r="15" spans="1:117" ht="15" customHeight="1">
      <c r="A15" s="25">
        <f>ROW()-2</f>
        <v>13</v>
      </c>
      <c r="B15" s="26">
        <v>190301</v>
      </c>
      <c r="C15" s="62" t="s">
        <v>402</v>
      </c>
      <c r="D15" s="27"/>
      <c r="E15" s="27" t="s">
        <v>283</v>
      </c>
      <c r="F15" s="27" t="s">
        <v>196</v>
      </c>
      <c r="G15" s="27" t="s">
        <v>240</v>
      </c>
      <c r="H15" s="27" t="s">
        <v>241</v>
      </c>
      <c r="I15" s="27" t="s">
        <v>242</v>
      </c>
      <c r="J15" s="27" t="str">
        <f>+VLOOKUP($I15,[1]프로젝트현황!$I:$N,5,0)</f>
        <v>서울시</v>
      </c>
      <c r="K15" s="27" t="str">
        <f>+VLOOKUP($I15,[1]프로젝트현황!$I:$N,6,0)</f>
        <v>영등포구</v>
      </c>
      <c r="L15" s="28">
        <v>43529</v>
      </c>
      <c r="M15" s="28">
        <v>43529</v>
      </c>
      <c r="N15" s="28"/>
      <c r="O15" s="29"/>
      <c r="P15" s="30" t="s">
        <v>403</v>
      </c>
      <c r="Q15" s="27" t="s">
        <v>404</v>
      </c>
      <c r="R15" s="31" t="str">
        <f>LEFT(Q15,6)</f>
        <v>870110</v>
      </c>
      <c r="S15" s="31" t="str">
        <f>MID($Q15,3,2)</f>
        <v>01</v>
      </c>
      <c r="T15" s="31" t="str">
        <f>IF(OR(MID($Q15,8,1)="1",MID($Q15,8,1)="3"),"남자",IF(OR(MID($Q15,8,1)="2",MID($Q15,8,1)="4"),"여자",""))</f>
        <v>남자</v>
      </c>
      <c r="U15" s="31">
        <f ca="1">YEAR(TODAY())-IF(OR(MID($Q15,8,1)="1",MID($Q15,8,1)="2"),19&amp;LEFT($Q15,2),IF(OR(MID($Q15,8,1)="3",MID($Q15,8,1)="4"),20&amp;LEFT($Q15,2),""))+1</f>
        <v>40</v>
      </c>
      <c r="V15" s="31" t="s">
        <v>200</v>
      </c>
      <c r="W15" s="31" t="s">
        <v>201</v>
      </c>
      <c r="X15" s="27" t="s">
        <v>405</v>
      </c>
      <c r="Y15" s="27"/>
      <c r="Z15" s="27"/>
      <c r="AA15" s="32"/>
      <c r="AB15" s="31" t="s">
        <v>203</v>
      </c>
      <c r="AC15" s="27"/>
      <c r="AD15" s="33" t="str">
        <f ca="1">QUOTIENT(SUMPRODUCT(LEFT($AE15:$AF15,FIND("년",$AE15:$AF15)-1)*12+MID($AE15:$AF15,FIND("년",$AE15:$AF15)+1,FIND("개월",$AE15:$AF15)-FIND("년",$AE15:$AF15)-1)),12)&amp;"년"&amp;MOD(SUMPRODUCT(LEFT($AE15:$AF15,FIND("년",$AE15:$AF15)-1)*12+MID($AE15:$AF15,FIND("년",$AE15:$AF15)+1,FIND("개월",$AE15:$AF15)-FIND("년",$AE15:$AF15)-1)),12)&amp;"개월"</f>
        <v>15년11개월</v>
      </c>
      <c r="AE15" s="33" t="s">
        <v>406</v>
      </c>
      <c r="AF15" s="34" t="str">
        <f ca="1">DATEDIF($L15,TODAY(),"y")&amp;"년"&amp;DATEDIF($L15,TODAY(),"ym")&amp;"개월"</f>
        <v>6년11개월</v>
      </c>
      <c r="AG15" s="35" t="s">
        <v>407</v>
      </c>
      <c r="AH15" s="35" t="s">
        <v>408</v>
      </c>
      <c r="AI15" s="30" t="s">
        <v>205</v>
      </c>
      <c r="AJ15" s="32">
        <v>40218</v>
      </c>
      <c r="AK15" s="36">
        <f ca="1">VALUE(LEFT($AD15,FIND("년",$AD15)-1))</f>
        <v>15</v>
      </c>
      <c r="AL15" s="31" t="str">
        <f ca="1">IF($AI15="전문학사",IF($AK15&lt;=8,"초급",IF($AK15&lt;12,"중급",IF($AK15&lt;15,"고급",IF($AK15&gt;=15,"특급")))))</f>
        <v>특급</v>
      </c>
      <c r="AM15" s="31" t="str">
        <f>IF(ISNUMBER(SEARCH("산업기사",$AT15)),IF($AK15&gt;=13,"특급",IF($AK15&gt;=10,"고급",IF($AK15&gt;=7,"중급","초급"))),IF(ISNUMBER(SEARCH("기사",$AR15)),IF($AK15&gt;=10,"특급",IF($AK15&gt;=7,"고급",IF($AK15&gt;=4,"중급","초급"))),"미해당"))</f>
        <v>미해당</v>
      </c>
      <c r="AN15" s="27"/>
      <c r="AO15" s="32"/>
      <c r="AP15" s="27" t="s">
        <v>137</v>
      </c>
      <c r="AQ15" s="32">
        <v>42787</v>
      </c>
      <c r="AR15" s="27"/>
      <c r="AS15" s="27"/>
      <c r="AT15" s="37"/>
      <c r="AU15" s="27"/>
      <c r="AV15" s="38" t="s">
        <v>409</v>
      </c>
      <c r="AW15" s="39" t="s">
        <v>410</v>
      </c>
      <c r="AX15" s="39" t="s">
        <v>411</v>
      </c>
      <c r="AY15" s="40" t="s">
        <v>251</v>
      </c>
      <c r="AZ15" s="41" t="s">
        <v>252</v>
      </c>
      <c r="BA15" s="30" t="s">
        <v>230</v>
      </c>
      <c r="BB15" s="30" t="s">
        <v>412</v>
      </c>
      <c r="BC15" s="42" t="s">
        <v>254</v>
      </c>
      <c r="BD15" s="42" t="s">
        <v>413</v>
      </c>
      <c r="BE15" s="43" t="s">
        <v>414</v>
      </c>
      <c r="BF15" s="42" t="s">
        <v>211</v>
      </c>
      <c r="BG15" s="42" t="s">
        <v>341</v>
      </c>
      <c r="BH15" s="35"/>
      <c r="BI15" s="44" t="s">
        <v>415</v>
      </c>
      <c r="BJ15" s="45" t="str">
        <f>IFERROR(VLOOKUP($BG15,[1]프로젝트현황!Y:Z,2,0),"기타")</f>
        <v>서남권</v>
      </c>
      <c r="BK15" s="46" t="str">
        <f>(IF(BF15="","",BF15&amp;" "))&amp;(IF(BG15="","",BG15&amp;" "))&amp;(IF(BH15="","",BH15&amp;" "))&amp;BI15</f>
        <v>서울시 구로구 고척로 49, 202동 1402호 (오류동 338, 동부골든아파트)</v>
      </c>
      <c r="BL15" s="47">
        <v>30</v>
      </c>
      <c r="BM15" s="47">
        <v>30</v>
      </c>
      <c r="BN15" s="48">
        <v>35100000</v>
      </c>
      <c r="BO15" s="48">
        <f>BP15*12</f>
        <v>35100092.400000006</v>
      </c>
      <c r="BP15" s="49">
        <f>SUM(BQ15:BS15)</f>
        <v>2925007.7</v>
      </c>
      <c r="BQ15" s="49">
        <f>ROUNDUP(BN15/12*209/(209+BU15*1.5)/BL15*BM15,-1)-BS15</f>
        <v>1963990</v>
      </c>
      <c r="BR15" s="49">
        <f>ROUNDUP(BN15/12*(BU15*1.5)/(209+BU15*1.5)/BL15*BM15,1)</f>
        <v>761017.7</v>
      </c>
      <c r="BS15" s="49">
        <v>200000</v>
      </c>
      <c r="BT15" s="50">
        <v>209</v>
      </c>
      <c r="BU15" s="49">
        <f>IF($BN15="","",
IFERROR(
    IF($BN15&lt;'[1]시간외시간 기준표'!$B$2,0,
        IF($BN15&gt;LOOKUP(9.9E+307,'[1]시간외시간 기준표'!$B$2:$B$999),
            LOOKUP(9.9E+307,'[1]시간외시간 기준표'!$C$2:$C$999),
            LOOKUP($BN15,'[1]시간외시간 기준표'!$B$2:$B$999,'[1]시간외시간 기준표'!$C$2:$C$999)
        )
    ),0)
)</f>
        <v>49</v>
      </c>
      <c r="BV15" s="50">
        <f>(BQ15+BS15)/209</f>
        <v>10354.019138755981</v>
      </c>
      <c r="BW15" s="51">
        <v>30</v>
      </c>
      <c r="BX15" s="51">
        <v>30</v>
      </c>
      <c r="BY15" s="52">
        <v>35100000</v>
      </c>
      <c r="BZ15" s="52">
        <f>CA15*12</f>
        <v>35100093.599999994</v>
      </c>
      <c r="CA15" s="49">
        <f>SUM(CB15:CD15)</f>
        <v>2925007.8</v>
      </c>
      <c r="CB15" s="49">
        <f>ROUNDUP(BY15/12*209/(209+CF15*1.5)/BW15*BX15,-1)-CD15</f>
        <v>1930060</v>
      </c>
      <c r="CC15" s="49">
        <f>ROUNDUP(BY15/12*(CF15*1.5)/(209+CF15*1.5)/BW15*BX15,1)</f>
        <v>794947.79999999993</v>
      </c>
      <c r="CD15" s="49">
        <v>200000</v>
      </c>
      <c r="CE15" s="50">
        <v>209</v>
      </c>
      <c r="CF15" s="49">
        <f>IF(BY15&lt;26000000,0,IF(BY15&lt;26500000,4,IF(BY15&lt;27000000,7,IF(BY15&lt;27500000,9,IF(BY15&lt;28000000,11,IF(BY15&lt;28500000,15,IF(BY15&lt;29000000,17,IF(BY15&lt;29500000,20,IF(BY15&lt;30000000,23,IF(BY15&lt;30500000,25,IF(BY15&lt;31000000,27,IF(BY15&lt;31500000,29,IF(BY15&lt;32000000,33,IF(BY15&lt;32500000,37,IF(BY15&lt;33000000,39,IF(BY15&lt;33500000,42,IF(BY15&lt;34000000,45,IF(BY15&lt;34500000,48,IF(BY15&lt;35000000,52,52)))))))))))))))))))</f>
        <v>52</v>
      </c>
      <c r="CG15" s="50">
        <f>(CB15+CD15)/209</f>
        <v>10191.674641148325</v>
      </c>
      <c r="CH15" s="51">
        <v>30</v>
      </c>
      <c r="CI15" s="51">
        <v>30</v>
      </c>
      <c r="CJ15" s="52">
        <v>35100000</v>
      </c>
      <c r="CK15" s="52">
        <f>CL15*12</f>
        <v>35100093.599999994</v>
      </c>
      <c r="CL15" s="49">
        <f>SUM(CM15:CO15)</f>
        <v>2925007.8</v>
      </c>
      <c r="CM15" s="49">
        <f>ROUNDUP(CJ15/12*209/(209+CQ15*1.5)/CH15*CI15,-1)-CO15</f>
        <v>1930060</v>
      </c>
      <c r="CN15" s="49">
        <f>ROUNDUP(CJ15/12*(CQ15*1.5)/(209+CQ15*1.5)/CH15*CI15,1)</f>
        <v>794947.79999999993</v>
      </c>
      <c r="CO15" s="50">
        <v>200000</v>
      </c>
      <c r="CP15" s="50">
        <v>209</v>
      </c>
      <c r="CQ15" s="50">
        <f>IF(CJ15&lt;26000000,0,IF(CJ15&lt;26500000,4,IF(CJ15&lt;27000000,7,IF(CJ15&lt;27500000,9,IF(CJ15&lt;28000000,11,IF(CJ15&lt;28500000,15,IF(CJ15&lt;29000000,17,IF(CJ15&lt;29500000,20,IF(CJ15&lt;30000000,23,IF(CJ15&lt;30500000,25,IF(CJ15&lt;31000000,27,IF(CJ15&lt;31500000,29,IF(CJ15&lt;32000000,33,IF(CJ15&lt;32500000,37,IF(CJ15&lt;33000000,39,IF(CJ15&lt;33500000,42,IF(CJ15&lt;34000000,45,IF(CJ15&lt;34500000,48,IF(CJ15&lt;35000000,52,52)))))))))))))))))))</f>
        <v>52</v>
      </c>
      <c r="CR15" s="50">
        <f>(CM15+CO15)/209</f>
        <v>10191.674641148325</v>
      </c>
      <c r="CS15" s="52">
        <v>34500000</v>
      </c>
      <c r="CT15" s="53">
        <f>IFERROR(CS15/12,"")</f>
        <v>2875000</v>
      </c>
      <c r="CU15" s="53">
        <f>IFERROR(CT15-CV15-CW15,"")</f>
        <v>1893641.1149825784</v>
      </c>
      <c r="CV15" s="53">
        <f>IFERROR(CT15*(CY15*1.5)/(209+(CY15*1.5)),"")</f>
        <v>781358.88501742156</v>
      </c>
      <c r="CW15" s="54">
        <v>200000</v>
      </c>
      <c r="CX15" s="54">
        <v>209</v>
      </c>
      <c r="CY15" s="54">
        <v>52</v>
      </c>
      <c r="CZ15" s="55">
        <f>SUM(CX15:CY15)</f>
        <v>261</v>
      </c>
      <c r="DA15" s="55">
        <f>IFERROR((CU15/209)+(CW15-(9620*209*0.01))/209,"")</f>
        <v>9921.2216027874565</v>
      </c>
      <c r="DB15" s="56">
        <f>IFERROR((CU15+CW15)/209,"")</f>
        <v>10017.421602787457</v>
      </c>
      <c r="DC15" s="57">
        <v>2023</v>
      </c>
      <c r="DD15" s="58"/>
      <c r="DE15" s="58"/>
      <c r="DF15" s="57"/>
      <c r="DG15" s="59">
        <f>B15</f>
        <v>190301</v>
      </c>
      <c r="DH15" s="58"/>
      <c r="DI15" s="58"/>
      <c r="DJ15" s="60"/>
      <c r="DK15" s="58"/>
      <c r="DL15" s="61"/>
      <c r="DM15" s="24"/>
    </row>
    <row r="16" spans="1:117" ht="15" customHeight="1">
      <c r="A16" s="25">
        <f>ROW()-2</f>
        <v>14</v>
      </c>
      <c r="B16" s="26">
        <v>190601</v>
      </c>
      <c r="C16" s="62" t="s">
        <v>416</v>
      </c>
      <c r="D16" s="27"/>
      <c r="E16" s="27" t="s">
        <v>283</v>
      </c>
      <c r="F16" s="27" t="s">
        <v>196</v>
      </c>
      <c r="G16" s="27" t="s">
        <v>240</v>
      </c>
      <c r="H16" s="27" t="s">
        <v>241</v>
      </c>
      <c r="I16" s="27" t="s">
        <v>242</v>
      </c>
      <c r="J16" s="27" t="str">
        <f>+VLOOKUP($I16,[1]프로젝트현황!$I:$N,5,0)</f>
        <v>서울시</v>
      </c>
      <c r="K16" s="27" t="str">
        <f>+VLOOKUP($I16,[1]프로젝트현황!$I:$N,6,0)</f>
        <v>영등포구</v>
      </c>
      <c r="L16" s="28">
        <v>43619</v>
      </c>
      <c r="M16" s="28">
        <v>43619</v>
      </c>
      <c r="N16" s="28"/>
      <c r="O16" s="29"/>
      <c r="P16" s="30" t="s">
        <v>417</v>
      </c>
      <c r="Q16" s="27" t="s">
        <v>418</v>
      </c>
      <c r="R16" s="31" t="str">
        <f>LEFT(Q16,6)</f>
        <v>730903</v>
      </c>
      <c r="S16" s="31" t="str">
        <f>MID($Q16,3,2)</f>
        <v>09</v>
      </c>
      <c r="T16" s="31" t="str">
        <f>IF(OR(MID($Q16,8,1)="1",MID($Q16,8,1)="3"),"남자",IF(OR(MID($Q16,8,1)="2",MID($Q16,8,1)="4"),"여자",""))</f>
        <v>여자</v>
      </c>
      <c r="U16" s="31">
        <f ca="1">YEAR(TODAY())-IF(OR(MID($Q16,8,1)="1",MID($Q16,8,1)="2"),19&amp;LEFT($Q16,2),IF(OR(MID($Q16,8,1)="3",MID($Q16,8,1)="4"),20&amp;LEFT($Q16,2),""))+1</f>
        <v>54</v>
      </c>
      <c r="V16" s="31" t="s">
        <v>200</v>
      </c>
      <c r="W16" s="31" t="s">
        <v>201</v>
      </c>
      <c r="X16" s="27" t="s">
        <v>419</v>
      </c>
      <c r="Y16" s="27"/>
      <c r="Z16" s="27" t="s">
        <v>222</v>
      </c>
      <c r="AA16" s="32">
        <v>45156</v>
      </c>
      <c r="AB16" s="31" t="s">
        <v>203</v>
      </c>
      <c r="AC16" s="27"/>
      <c r="AD16" s="33" t="str">
        <f ca="1">QUOTIENT(SUMPRODUCT(LEFT($AE16:$AF16,FIND("년",$AE16:$AF16)-1)*12+MID($AE16:$AF16,FIND("년",$AE16:$AF16)+1,FIND("개월",$AE16:$AF16)-FIND("년",$AE16:$AF16)-1)),12)&amp;"년"&amp;MOD(SUMPRODUCT(LEFT($AE16:$AF16,FIND("년",$AE16:$AF16)-1)*12+MID($AE16:$AF16,FIND("년",$AE16:$AF16)+1,FIND("개월",$AE16:$AF16)-FIND("년",$AE16:$AF16)-1)),12)&amp;"개월"</f>
        <v>28년3개월</v>
      </c>
      <c r="AE16" s="33" t="s">
        <v>420</v>
      </c>
      <c r="AF16" s="34" t="str">
        <f ca="1">DATEDIF($L16,TODAY(),"y")&amp;"년"&amp;DATEDIF($L16,TODAY(),"ym")&amp;"개월"</f>
        <v>6년8개월</v>
      </c>
      <c r="AG16" s="35" t="s">
        <v>421</v>
      </c>
      <c r="AH16" s="35" t="s">
        <v>422</v>
      </c>
      <c r="AI16" s="30" t="s">
        <v>205</v>
      </c>
      <c r="AJ16" s="32">
        <v>34733</v>
      </c>
      <c r="AK16" s="36">
        <f ca="1">VALUE(LEFT($AD16,FIND("년",$AD16)-1))</f>
        <v>28</v>
      </c>
      <c r="AL16" s="31" t="str">
        <f ca="1">IF($AI16="전문학사",IF($AK16&lt;=8,"초급",IF($AK16&lt;12,"중급",IF($AK16&lt;15,"고급",IF($AK16&gt;=15,"특급")))))</f>
        <v>특급</v>
      </c>
      <c r="AM16" s="31" t="str">
        <f ca="1">IF(ISNUMBER(SEARCH("산업기사",$AT16)),IF($AK16&gt;=13,"특급",IF($AK16&gt;=10,"고급",IF($AK16&gt;=7,"중급","초급"))),IF(ISNUMBER(SEARCH("기사",$AR16)),IF($AK16&gt;=10,"특급",IF($AK16&gt;=7,"고급",IF($AK16&gt;=4,"중급","초급"))),"미해당"))</f>
        <v>특급</v>
      </c>
      <c r="AN16" s="27"/>
      <c r="AO16" s="32"/>
      <c r="AP16" s="27"/>
      <c r="AQ16" s="32"/>
      <c r="AR16" s="27" t="s">
        <v>139</v>
      </c>
      <c r="AS16" s="27">
        <v>34621</v>
      </c>
      <c r="AT16" s="37"/>
      <c r="AU16" s="27"/>
      <c r="AV16" s="38" t="s">
        <v>423</v>
      </c>
      <c r="AW16" s="39" t="s">
        <v>424</v>
      </c>
      <c r="AX16" s="39" t="s">
        <v>425</v>
      </c>
      <c r="AY16" s="40" t="s">
        <v>251</v>
      </c>
      <c r="AZ16" s="41" t="s">
        <v>252</v>
      </c>
      <c r="BA16" s="30" t="s">
        <v>426</v>
      </c>
      <c r="BB16" s="30" t="s">
        <v>427</v>
      </c>
      <c r="BC16" s="42" t="s">
        <v>208</v>
      </c>
      <c r="BD16" s="42" t="s">
        <v>428</v>
      </c>
      <c r="BE16" s="43" t="s">
        <v>429</v>
      </c>
      <c r="BF16" s="42" t="s">
        <v>211</v>
      </c>
      <c r="BG16" s="42" t="s">
        <v>212</v>
      </c>
      <c r="BH16" s="35"/>
      <c r="BI16" s="44" t="s">
        <v>430</v>
      </c>
      <c r="BJ16" s="45" t="str">
        <f>IFERROR(VLOOKUP($BG16,[1]프로젝트현황!Y:Z,2,0),"기타")</f>
        <v>서북권</v>
      </c>
      <c r="BK16" s="46" t="str">
        <f>(IF(BF16="","",BF16&amp;" "))&amp;(IF(BG16="","",BG16&amp;" "))&amp;(IF(BH16="","",BH16&amp;" "))&amp;BI16</f>
        <v>서울시 서대문구 문화촌길 6-24, 103동 510호(홍제동, 문화촌현대아파트)</v>
      </c>
      <c r="BL16" s="47">
        <v>30</v>
      </c>
      <c r="BM16" s="47">
        <v>30</v>
      </c>
      <c r="BN16" s="48">
        <v>42000000</v>
      </c>
      <c r="BO16" s="48">
        <f>BP16*12</f>
        <v>42000115.200000003</v>
      </c>
      <c r="BP16" s="49">
        <f>SUM(BQ16:BS16)</f>
        <v>3500009.6</v>
      </c>
      <c r="BQ16" s="49">
        <f>ROUNDUP(BN16/12*209/(209+BU16*1.5)/BL16*BM16,-1)-BS16</f>
        <v>2348790</v>
      </c>
      <c r="BR16" s="49">
        <f>ROUNDUP(BN16/12*(BU16*1.5)/(209+BU16*1.5)/BL16*BM16,1)</f>
        <v>951219.6</v>
      </c>
      <c r="BS16" s="49">
        <v>200000</v>
      </c>
      <c r="BT16" s="50">
        <v>209</v>
      </c>
      <c r="BU16" s="49">
        <f>IF($BN16="","",
IFERROR(
    IF($BN16&lt;'[1]시간외시간 기준표'!$B$2,0,
        IF($BN16&gt;LOOKUP(9.9E+307,'[1]시간외시간 기준표'!$B$2:$B$999),
            LOOKUP(9.9E+307,'[1]시간외시간 기준표'!$C$2:$C$999),
            LOOKUP($BN16,'[1]시간외시간 기준표'!$B$2:$B$999,'[1]시간외시간 기준표'!$C$2:$C$999)
        )
    ),0)
)</f>
        <v>52</v>
      </c>
      <c r="BV16" s="50">
        <f>(BQ16+BS16)/209</f>
        <v>12195.167464114833</v>
      </c>
      <c r="BW16" s="51">
        <v>30</v>
      </c>
      <c r="BX16" s="51">
        <v>30</v>
      </c>
      <c r="BY16" s="52">
        <v>42000000</v>
      </c>
      <c r="BZ16" s="52">
        <f>CA16*12</f>
        <v>42000115.200000003</v>
      </c>
      <c r="CA16" s="49">
        <f>SUM(CB16:CD16)</f>
        <v>3500009.6</v>
      </c>
      <c r="CB16" s="49">
        <f>ROUNDUP(BY16/12*209/(209+CF16*1.5)/BW16*BX16,-1)-CD16</f>
        <v>2348790</v>
      </c>
      <c r="CC16" s="49">
        <f>ROUNDUP(BY16/12*(CF16*1.5)/(209+CF16*1.5)/BW16*BX16,1)</f>
        <v>951219.6</v>
      </c>
      <c r="CD16" s="49">
        <v>200000</v>
      </c>
      <c r="CE16" s="50">
        <v>209</v>
      </c>
      <c r="CF16" s="49">
        <f>IF(BY16&lt;26000000,0,IF(BY16&lt;26500000,4,IF(BY16&lt;27000000,7,IF(BY16&lt;27500000,9,IF(BY16&lt;28000000,11,IF(BY16&lt;28500000,15,IF(BY16&lt;29000000,17,IF(BY16&lt;29500000,20,IF(BY16&lt;30000000,23,IF(BY16&lt;30500000,25,IF(BY16&lt;31000000,27,IF(BY16&lt;31500000,29,IF(BY16&lt;32000000,33,IF(BY16&lt;32500000,37,IF(BY16&lt;33000000,39,IF(BY16&lt;33500000,42,IF(BY16&lt;34000000,45,IF(BY16&lt;34500000,48,IF(BY16&lt;35000000,52,52)))))))))))))))))))</f>
        <v>52</v>
      </c>
      <c r="CG16" s="50">
        <f>(CB16+CD16)/209</f>
        <v>12195.167464114833</v>
      </c>
      <c r="CH16" s="51">
        <v>30</v>
      </c>
      <c r="CI16" s="51">
        <v>30</v>
      </c>
      <c r="CJ16" s="52">
        <v>41200000</v>
      </c>
      <c r="CK16" s="52">
        <f>CL16*12</f>
        <v>41200093.200000003</v>
      </c>
      <c r="CL16" s="49">
        <f>SUM(CM16:CO16)</f>
        <v>3433341.1</v>
      </c>
      <c r="CM16" s="49">
        <f>ROUNDUP(CJ16/12*209/(209+CQ16*1.5)/CH16*CI16,-1)-CO16</f>
        <v>2300240</v>
      </c>
      <c r="CN16" s="49">
        <f>ROUNDUP(CJ16/12*(CQ16*1.5)/(209+CQ16*1.5)/CH16*CI16,1)</f>
        <v>933101.1</v>
      </c>
      <c r="CO16" s="50">
        <v>200000</v>
      </c>
      <c r="CP16" s="50">
        <v>209</v>
      </c>
      <c r="CQ16" s="50">
        <f>IF(CJ16&lt;26000000,0,IF(CJ16&lt;26500000,4,IF(CJ16&lt;27000000,7,IF(CJ16&lt;27500000,9,IF(CJ16&lt;28000000,11,IF(CJ16&lt;28500000,15,IF(CJ16&lt;29000000,17,IF(CJ16&lt;29500000,20,IF(CJ16&lt;30000000,23,IF(CJ16&lt;30500000,25,IF(CJ16&lt;31000000,27,IF(CJ16&lt;31500000,29,IF(CJ16&lt;32000000,33,IF(CJ16&lt;32500000,37,IF(CJ16&lt;33000000,39,IF(CJ16&lt;33500000,42,IF(CJ16&lt;34000000,45,IF(CJ16&lt;34500000,48,IF(CJ16&lt;35000000,52,52)))))))))))))))))))</f>
        <v>52</v>
      </c>
      <c r="CR16" s="50">
        <f>(CM16+CO16)/209</f>
        <v>11962.870813397129</v>
      </c>
      <c r="CS16" s="52">
        <v>40000000</v>
      </c>
      <c r="CT16" s="53">
        <f>IFERROR(CS16/12,"")</f>
        <v>3333333.3333333335</v>
      </c>
      <c r="CU16" s="53">
        <f>IFERROR(CT16-CV16-CW16,"")</f>
        <v>2227409.9883855982</v>
      </c>
      <c r="CV16" s="53">
        <f>IFERROR(CT16*(CY16*1.5)/(209+(CY16*1.5)),"")</f>
        <v>905923.3449477352</v>
      </c>
      <c r="CW16" s="54">
        <v>200000</v>
      </c>
      <c r="CX16" s="54">
        <v>209</v>
      </c>
      <c r="CY16" s="54">
        <v>52</v>
      </c>
      <c r="CZ16" s="55">
        <f>SUM(CX16:CY16)</f>
        <v>261</v>
      </c>
      <c r="DA16" s="55">
        <f>IFERROR((CU16/209)+(CW16-(9620*209*0.01))/209,"")</f>
        <v>11518.201858304299</v>
      </c>
      <c r="DB16" s="56">
        <f>IFERROR((CU16+CW16)/209,"")</f>
        <v>11614.401858304298</v>
      </c>
      <c r="DC16" s="57">
        <v>2023</v>
      </c>
      <c r="DD16" s="58"/>
      <c r="DE16" s="58"/>
      <c r="DF16" s="57"/>
      <c r="DG16" s="59">
        <f>B16</f>
        <v>190601</v>
      </c>
      <c r="DH16" s="58"/>
      <c r="DI16" s="58"/>
      <c r="DJ16" s="60"/>
      <c r="DK16" s="58"/>
      <c r="DL16" s="61"/>
      <c r="DM16" s="24"/>
    </row>
    <row r="17" spans="1:117" ht="15" customHeight="1">
      <c r="A17" s="25">
        <f>ROW()-2</f>
        <v>15</v>
      </c>
      <c r="B17" s="26">
        <v>190903</v>
      </c>
      <c r="C17" s="62" t="s">
        <v>431</v>
      </c>
      <c r="D17" s="27"/>
      <c r="E17" s="27" t="s">
        <v>239</v>
      </c>
      <c r="F17" s="27" t="s">
        <v>196</v>
      </c>
      <c r="G17" s="27" t="s">
        <v>240</v>
      </c>
      <c r="H17" s="27" t="s">
        <v>217</v>
      </c>
      <c r="I17" s="27" t="s">
        <v>432</v>
      </c>
      <c r="J17" s="27" t="str">
        <f>+VLOOKUP($I17,[1]프로젝트현황!$I:$N,5,0)</f>
        <v>서울시</v>
      </c>
      <c r="K17" s="27" t="str">
        <f>+VLOOKUP($I17,[1]프로젝트현황!$I:$N,6,0)</f>
        <v>중구</v>
      </c>
      <c r="L17" s="28">
        <v>43731</v>
      </c>
      <c r="M17" s="28">
        <v>43731</v>
      </c>
      <c r="N17" s="28">
        <v>45352</v>
      </c>
      <c r="O17" s="29"/>
      <c r="P17" s="30" t="s">
        <v>433</v>
      </c>
      <c r="Q17" s="27" t="s">
        <v>434</v>
      </c>
      <c r="R17" s="31" t="str">
        <f>LEFT(Q17,6)</f>
        <v>920215</v>
      </c>
      <c r="S17" s="31" t="str">
        <f>MID($Q17,3,2)</f>
        <v>02</v>
      </c>
      <c r="T17" s="31" t="str">
        <f>IF(OR(MID($Q17,8,1)="1",MID($Q17,8,1)="3"),"남자",IF(OR(MID($Q17,8,1)="2",MID($Q17,8,1)="4"),"여자",""))</f>
        <v>남자</v>
      </c>
      <c r="U17" s="31">
        <f ca="1">YEAR(TODAY())-IF(OR(MID($Q17,8,1)="1",MID($Q17,8,1)="2"),19&amp;LEFT($Q17,2),IF(OR(MID($Q17,8,1)="3",MID($Q17,8,1)="4"),20&amp;LEFT($Q17,2),""))+1</f>
        <v>35</v>
      </c>
      <c r="V17" s="31" t="s">
        <v>200</v>
      </c>
      <c r="W17" s="31" t="s">
        <v>201</v>
      </c>
      <c r="X17" s="27" t="s">
        <v>435</v>
      </c>
      <c r="Y17" s="27"/>
      <c r="Z17" s="27" t="s">
        <v>266</v>
      </c>
      <c r="AA17" s="32"/>
      <c r="AB17" s="31" t="s">
        <v>203</v>
      </c>
      <c r="AC17" s="27"/>
      <c r="AD17" s="33" t="str">
        <f ca="1">QUOTIENT(SUMPRODUCT(LEFT($AE17:$AF17,FIND("년",$AE17:$AF17)-1)*12+MID($AE17:$AF17,FIND("년",$AE17:$AF17)+1,FIND("개월",$AE17:$AF17)-FIND("년",$AE17:$AF17)-1)),12)&amp;"년"&amp;MOD(SUMPRODUCT(LEFT($AE17:$AF17,FIND("년",$AE17:$AF17)-1)*12+MID($AE17:$AF17,FIND("년",$AE17:$AF17)+1,FIND("개월",$AE17:$AF17)-FIND("년",$AE17:$AF17)-1)),12)&amp;"개월"</f>
        <v>7년4개월</v>
      </c>
      <c r="AE17" s="33" t="s">
        <v>436</v>
      </c>
      <c r="AF17" s="34" t="str">
        <f ca="1">DATEDIF($L17,TODAY(),"y")&amp;"년"&amp;DATEDIF($L17,TODAY(),"ym")&amp;"개월"</f>
        <v>6년4개월</v>
      </c>
      <c r="AG17" s="35" t="s">
        <v>349</v>
      </c>
      <c r="AH17" s="35" t="s">
        <v>350</v>
      </c>
      <c r="AI17" s="30" t="s">
        <v>205</v>
      </c>
      <c r="AJ17" s="32">
        <v>42048</v>
      </c>
      <c r="AK17" s="36">
        <f ca="1">VALUE(LEFT($AD17,FIND("년",$AD17)-1))</f>
        <v>7</v>
      </c>
      <c r="AL17" s="31" t="str">
        <f ca="1">IF($AI17="전문학사",IF($AK17&lt;=8,"초급",IF($AK17&lt;12,"중급",IF($AK17&lt;15,"고급",IF($AK17&gt;=15,"특급")))))</f>
        <v>초급</v>
      </c>
      <c r="AM17" s="31" t="str">
        <f>IF(ISNUMBER(SEARCH("산업기사",$AT17)),IF($AK17&gt;=13,"특급",IF($AK17&gt;=10,"고급",IF($AK17&gt;=7,"중급","초급"))),IF(ISNUMBER(SEARCH("기사",$AR17)),IF($AK17&gt;=10,"특급",IF($AK17&gt;=7,"고급",IF($AK17&gt;=4,"중급","초급"))),"미해당"))</f>
        <v>미해당</v>
      </c>
      <c r="AN17" s="27"/>
      <c r="AO17" s="32"/>
      <c r="AP17" s="27" t="s">
        <v>137</v>
      </c>
      <c r="AQ17" s="32">
        <v>2023.02</v>
      </c>
      <c r="AR17" s="27"/>
      <c r="AS17" s="27"/>
      <c r="AT17" s="37"/>
      <c r="AU17" s="27"/>
      <c r="AV17" s="38"/>
      <c r="AW17" s="39"/>
      <c r="AX17" s="39"/>
      <c r="AY17" s="40" t="s">
        <v>251</v>
      </c>
      <c r="AZ17" s="41" t="s">
        <v>252</v>
      </c>
      <c r="BA17" s="30" t="s">
        <v>230</v>
      </c>
      <c r="BB17" s="30" t="s">
        <v>437</v>
      </c>
      <c r="BC17" s="42" t="s">
        <v>254</v>
      </c>
      <c r="BD17" s="42" t="s">
        <v>438</v>
      </c>
      <c r="BE17" s="43" t="s">
        <v>439</v>
      </c>
      <c r="BF17" s="42" t="s">
        <v>234</v>
      </c>
      <c r="BG17" s="42" t="s">
        <v>440</v>
      </c>
      <c r="BH17" s="35" t="s">
        <v>441</v>
      </c>
      <c r="BI17" s="44" t="s">
        <v>442</v>
      </c>
      <c r="BJ17" s="45" t="str">
        <f>IFERROR(VLOOKUP($BG17,[1]프로젝트현황!Y:Z,2,0),"기타")</f>
        <v>서남권</v>
      </c>
      <c r="BK17" s="46" t="str">
        <f>(IF(BF17="","",BF17&amp;" "))&amp;(IF(BG17="","",BG17&amp;" "))&amp;(IF(BH17="","",BH17&amp;" "))&amp;BI17</f>
        <v>경기도 안양시 동안구 관악대로263번길 67-8, 가동 101호(비산동, 화도맨션)</v>
      </c>
      <c r="BL17" s="47">
        <v>30</v>
      </c>
      <c r="BM17" s="47">
        <v>30</v>
      </c>
      <c r="BN17" s="48">
        <v>30400000</v>
      </c>
      <c r="BO17" s="48">
        <f>BP17*12</f>
        <v>30400018.799999997</v>
      </c>
      <c r="BP17" s="49">
        <f>SUM(BQ17:BS17)</f>
        <v>2533334.9</v>
      </c>
      <c r="BQ17" s="49">
        <f>ROUNDUP(BN17/12*209/(209+BU17*1.5)/BL17*BM17,-1)-BS17</f>
        <v>1961090</v>
      </c>
      <c r="BR17" s="49">
        <f>ROUNDUP(BN17/12*(BU17*1.5)/(209+BU17*1.5)/BL17*BM17,1)</f>
        <v>372244.89999999997</v>
      </c>
      <c r="BS17" s="49">
        <v>200000</v>
      </c>
      <c r="BT17" s="50">
        <v>209</v>
      </c>
      <c r="BU17" s="49">
        <f>IF($BN17="","",
IFERROR(
    IF($BN17&lt;'[1]시간외시간 기준표'!$B$2,0,
        IF($BN17&gt;LOOKUP(9.9E+307,'[1]시간외시간 기준표'!$B$2:$B$999),
            LOOKUP(9.9E+307,'[1]시간외시간 기준표'!$C$2:$C$999),
            LOOKUP($BN17,'[1]시간외시간 기준표'!$B$2:$B$999,'[1]시간외시간 기준표'!$C$2:$C$999)
        )
    ),0)
)</f>
        <v>24</v>
      </c>
      <c r="BV17" s="50">
        <f>(BQ17+BS17)/209</f>
        <v>10340.143540669857</v>
      </c>
      <c r="BW17" s="51">
        <v>30</v>
      </c>
      <c r="BX17" s="51">
        <v>30</v>
      </c>
      <c r="BY17" s="52">
        <v>30400000</v>
      </c>
      <c r="BZ17" s="52">
        <f>CA17*12</f>
        <v>30400027.200000003</v>
      </c>
      <c r="CA17" s="49">
        <f>SUM(CB17:CD17)</f>
        <v>2533335.6</v>
      </c>
      <c r="CB17" s="49">
        <f>ROUNDUP(BY17/12*209/(209+CF17*1.5)/BW17*BX17,-1)-CD17</f>
        <v>1947940</v>
      </c>
      <c r="CC17" s="49">
        <f>ROUNDUP(BY17/12*(CF17*1.5)/(209+CF17*1.5)/BW17*BX17,1)</f>
        <v>385395.6</v>
      </c>
      <c r="CD17" s="49">
        <v>200000</v>
      </c>
      <c r="CE17" s="50">
        <v>209</v>
      </c>
      <c r="CF17" s="49">
        <f>IF(BY17&lt;26000000,0,IF(BY17&lt;26500000,4,IF(BY17&lt;27000000,7,IF(BY17&lt;27500000,9,IF(BY17&lt;28000000,11,IF(BY17&lt;28500000,15,IF(BY17&lt;29000000,17,IF(BY17&lt;29500000,20,IF(BY17&lt;30000000,23,IF(BY17&lt;30500000,25,IF(BY17&lt;31000000,27,IF(BY17&lt;31500000,29,IF(BY17&lt;32000000,33,IF(BY17&lt;32500000,37,IF(BY17&lt;33000000,39,IF(BY17&lt;33500000,42,IF(BY17&lt;34000000,45,IF(BY17&lt;34500000,48,IF(BY17&lt;35000000,52,52)))))))))))))))))))</f>
        <v>25</v>
      </c>
      <c r="CG17" s="50">
        <f>(CB17+CD17)/209</f>
        <v>10277.224880382775</v>
      </c>
      <c r="CH17" s="51">
        <v>30</v>
      </c>
      <c r="CI17" s="51">
        <v>30</v>
      </c>
      <c r="CJ17" s="52">
        <v>29600000</v>
      </c>
      <c r="CK17" s="52">
        <f>CL17*12</f>
        <v>29600120.400000002</v>
      </c>
      <c r="CL17" s="49">
        <f>SUM(CM17:CO17)</f>
        <v>2466676.7000000002</v>
      </c>
      <c r="CM17" s="49">
        <f>ROUNDUP(CJ17/12*209/(209+CQ17*1.5)/CH17*CI17,-1)-CO17</f>
        <v>1917190</v>
      </c>
      <c r="CN17" s="49">
        <f>ROUNDUP(CJ17/12*(CQ17*1.5)/(209+CQ17*1.5)/CH17*CI17,1)</f>
        <v>349486.69999999995</v>
      </c>
      <c r="CO17" s="50">
        <v>200000</v>
      </c>
      <c r="CP17" s="50">
        <v>209</v>
      </c>
      <c r="CQ17" s="50">
        <f>IF(CJ17&lt;26000000,0,IF(CJ17&lt;26500000,4,IF(CJ17&lt;27000000,7,IF(CJ17&lt;27500000,9,IF(CJ17&lt;28000000,11,IF(CJ17&lt;28500000,15,IF(CJ17&lt;29000000,17,IF(CJ17&lt;29500000,20,IF(CJ17&lt;30000000,23,IF(CJ17&lt;30500000,25,IF(CJ17&lt;31000000,27,IF(CJ17&lt;31500000,29,IF(CJ17&lt;32000000,33,IF(CJ17&lt;32500000,37,IF(CJ17&lt;33000000,39,IF(CJ17&lt;33500000,42,IF(CJ17&lt;34000000,45,IF(CJ17&lt;34500000,48,IF(CJ17&lt;35000000,52,52)))))))))))))))))))</f>
        <v>23</v>
      </c>
      <c r="CR17" s="50">
        <f>(CM17+CO17)/209</f>
        <v>10130.095693779904</v>
      </c>
      <c r="CS17" s="52">
        <v>29000000</v>
      </c>
      <c r="CT17" s="53">
        <f>IFERROR(CS17/12,"")</f>
        <v>2416666.6666666665</v>
      </c>
      <c r="CU17" s="53">
        <f>IFERROR(CT17-CV17-CW17,"")</f>
        <v>1836626.3440860214</v>
      </c>
      <c r="CV17" s="53">
        <f>IFERROR(CT17*(CY17*1.5)/(209+(CY17*1.5)),"")</f>
        <v>380040.32258064515</v>
      </c>
      <c r="CW17" s="54">
        <v>200000</v>
      </c>
      <c r="CX17" s="54">
        <v>209</v>
      </c>
      <c r="CY17" s="54">
        <v>26</v>
      </c>
      <c r="CZ17" s="55">
        <f>SUM(CX17:CY17)</f>
        <v>235</v>
      </c>
      <c r="DA17" s="55">
        <f>IFERROR((CU17/209)+(CW17-(9620*209*0.01))/209,"")</f>
        <v>9648.423655913979</v>
      </c>
      <c r="DB17" s="56">
        <f>IFERROR((CU17+CW17)/209,"")</f>
        <v>9744.6236559139779</v>
      </c>
      <c r="DC17" s="57">
        <v>2023</v>
      </c>
      <c r="DD17" s="58"/>
      <c r="DE17" s="58"/>
      <c r="DF17" s="57"/>
      <c r="DG17" s="59">
        <f>B17</f>
        <v>190903</v>
      </c>
      <c r="DH17" s="58"/>
      <c r="DI17" s="58"/>
      <c r="DJ17" s="60"/>
      <c r="DK17" s="58"/>
      <c r="DL17" s="61"/>
      <c r="DM17" s="24"/>
    </row>
    <row r="18" spans="1:117" ht="15" customHeight="1">
      <c r="A18" s="25">
        <f>ROW()-2</f>
        <v>16</v>
      </c>
      <c r="B18" s="26">
        <v>200901</v>
      </c>
      <c r="C18" s="62" t="s">
        <v>443</v>
      </c>
      <c r="D18" s="27"/>
      <c r="E18" s="27" t="s">
        <v>239</v>
      </c>
      <c r="F18" s="27" t="s">
        <v>196</v>
      </c>
      <c r="G18" s="27" t="s">
        <v>240</v>
      </c>
      <c r="H18" s="27" t="s">
        <v>241</v>
      </c>
      <c r="I18" s="27" t="s">
        <v>242</v>
      </c>
      <c r="J18" s="27" t="str">
        <f>+VLOOKUP($I18,[1]프로젝트현황!$I:$N,5,0)</f>
        <v>서울시</v>
      </c>
      <c r="K18" s="27" t="str">
        <f>+VLOOKUP($I18,[1]프로젝트현황!$I:$N,6,0)</f>
        <v>영등포구</v>
      </c>
      <c r="L18" s="28">
        <v>44075</v>
      </c>
      <c r="M18" s="28">
        <v>44075</v>
      </c>
      <c r="N18" s="28"/>
      <c r="O18" s="29"/>
      <c r="P18" s="30" t="s">
        <v>444</v>
      </c>
      <c r="Q18" s="27" t="s">
        <v>445</v>
      </c>
      <c r="R18" s="31" t="str">
        <f>LEFT(Q18,6)</f>
        <v>990903</v>
      </c>
      <c r="S18" s="31" t="str">
        <f>MID($Q18,3,2)</f>
        <v>09</v>
      </c>
      <c r="T18" s="31" t="str">
        <f>IF(OR(MID($Q18,8,1)="1",MID($Q18,8,1)="3"),"남자",IF(OR(MID($Q18,8,1)="2",MID($Q18,8,1)="4"),"여자",""))</f>
        <v>여자</v>
      </c>
      <c r="U18" s="31">
        <f ca="1">YEAR(TODAY())-IF(OR(MID($Q18,8,1)="1",MID($Q18,8,1)="2"),19&amp;LEFT($Q18,2),IF(OR(MID($Q18,8,1)="3",MID($Q18,8,1)="4"),20&amp;LEFT($Q18,2),""))+1</f>
        <v>28</v>
      </c>
      <c r="V18" s="31" t="s">
        <v>200</v>
      </c>
      <c r="W18" s="31" t="s">
        <v>201</v>
      </c>
      <c r="X18" s="27" t="s">
        <v>446</v>
      </c>
      <c r="Y18" s="27"/>
      <c r="Z18" s="27"/>
      <c r="AA18" s="32"/>
      <c r="AB18" s="31" t="s">
        <v>203</v>
      </c>
      <c r="AC18" s="27"/>
      <c r="AD18" s="33" t="str">
        <f ca="1">QUOTIENT(SUMPRODUCT(LEFT($AE18:$AF18,FIND("년",$AE18:$AF18)-1)*12+MID($AE18:$AF18,FIND("년",$AE18:$AF18)+1,FIND("개월",$AE18:$AF18)-FIND("년",$AE18:$AF18)-1)),12)&amp;"년"&amp;MOD(SUMPRODUCT(LEFT($AE18:$AF18,FIND("년",$AE18:$AF18)-1)*12+MID($AE18:$AF18,FIND("년",$AE18:$AF18)+1,FIND("개월",$AE18:$AF18)-FIND("년",$AE18:$AF18)-1)),12)&amp;"개월"</f>
        <v>5년5개월</v>
      </c>
      <c r="AE18" s="33" t="s">
        <v>204</v>
      </c>
      <c r="AF18" s="34" t="str">
        <f ca="1">DATEDIF($L18,TODAY(),"y")&amp;"년"&amp;DATEDIF($L18,TODAY(),"ym")&amp;"개월"</f>
        <v>5년5개월</v>
      </c>
      <c r="AG18" s="35" t="s">
        <v>447</v>
      </c>
      <c r="AH18" s="35" t="s">
        <v>448</v>
      </c>
      <c r="AI18" s="30" t="s">
        <v>205</v>
      </c>
      <c r="AJ18" s="32">
        <v>44232</v>
      </c>
      <c r="AK18" s="36">
        <f ca="1">VALUE(LEFT($AD18,FIND("년",$AD18)-1))</f>
        <v>5</v>
      </c>
      <c r="AL18" s="31" t="str">
        <f ca="1">IF($AI18="전문학사",IF($AK18&lt;=8,"초급",IF($AK18&lt;12,"중급",IF($AK18&lt;15,"고급",IF($AK18&gt;=15,"특급")))))</f>
        <v>초급</v>
      </c>
      <c r="AM18" s="31" t="str">
        <f>IF(ISNUMBER(SEARCH("산업기사",$AT18)),IF($AK18&gt;=13,"특급",IF($AK18&gt;=10,"고급",IF($AK18&gt;=7,"중급","초급"))),IF(ISNUMBER(SEARCH("기사",$AR18)),IF($AK18&gt;=10,"특급",IF($AK18&gt;=7,"고급",IF($AK18&gt;=4,"중급","초급"))),"미해당"))</f>
        <v>미해당</v>
      </c>
      <c r="AN18" s="27"/>
      <c r="AO18" s="32"/>
      <c r="AP18" s="27"/>
      <c r="AQ18" s="32"/>
      <c r="AR18" s="27"/>
      <c r="AS18" s="27"/>
      <c r="AT18" s="37"/>
      <c r="AU18" s="27"/>
      <c r="AV18" s="38"/>
      <c r="AW18" s="39"/>
      <c r="AX18" s="39"/>
      <c r="AY18" s="40" t="s">
        <v>251</v>
      </c>
      <c r="AZ18" s="41" t="s">
        <v>252</v>
      </c>
      <c r="BA18" s="30" t="s">
        <v>230</v>
      </c>
      <c r="BB18" s="30" t="s">
        <v>449</v>
      </c>
      <c r="BC18" s="42" t="s">
        <v>254</v>
      </c>
      <c r="BD18" s="42" t="s">
        <v>450</v>
      </c>
      <c r="BE18" s="43" t="s">
        <v>451</v>
      </c>
      <c r="BF18" s="42" t="s">
        <v>234</v>
      </c>
      <c r="BG18" s="42" t="s">
        <v>452</v>
      </c>
      <c r="BH18" s="35"/>
      <c r="BI18" s="44" t="s">
        <v>453</v>
      </c>
      <c r="BJ18" s="45" t="str">
        <f>IFERROR(VLOOKUP($BG18,[1]프로젝트현황!Y:Z,2,0),"기타")</f>
        <v>서북권</v>
      </c>
      <c r="BK18" s="46" t="str">
        <f>(IF(BF18="","",BF18&amp;" "))&amp;(IF(BG18="","",BG18&amp;" "))&amp;(IF(BH18="","",BH18&amp;" "))&amp;BI18</f>
        <v>경기도 파주시 파평면 배머리길 811-15</v>
      </c>
      <c r="BL18" s="47">
        <v>30</v>
      </c>
      <c r="BM18" s="47">
        <v>30</v>
      </c>
      <c r="BN18" s="48">
        <v>34500000</v>
      </c>
      <c r="BO18" s="48">
        <f>BP18*12</f>
        <v>34500043.200000003</v>
      </c>
      <c r="BP18" s="49">
        <f>SUM(BQ18:BS18)</f>
        <v>2875003.6</v>
      </c>
      <c r="BQ18" s="49">
        <f>ROUNDUP(BN18/12*209/(209+BU18*1.5)/BL18*BM18,-1)-BS18</f>
        <v>1973150</v>
      </c>
      <c r="BR18" s="49">
        <f>ROUNDUP(BN18/12*(BU18*1.5)/(209+BU18*1.5)/BL18*BM18,1)</f>
        <v>701853.6</v>
      </c>
      <c r="BS18" s="49">
        <v>200000</v>
      </c>
      <c r="BT18" s="50">
        <v>209</v>
      </c>
      <c r="BU18" s="49">
        <f>IF($BN18="","",
IFERROR(
    IF($BN18&lt;'[1]시간외시간 기준표'!$B$2,0,
        IF($BN18&gt;LOOKUP(9.9E+307,'[1]시간외시간 기준표'!$B$2:$B$999),
            LOOKUP(9.9E+307,'[1]시간외시간 기준표'!$C$2:$C$999),
            LOOKUP($BN18,'[1]시간외시간 기준표'!$B$2:$B$999,'[1]시간외시간 기준표'!$C$2:$C$999)
        )
    ),0)
)</f>
        <v>45</v>
      </c>
      <c r="BV18" s="50">
        <f>(BQ18+BS18)/209</f>
        <v>10397.846889952154</v>
      </c>
      <c r="BW18" s="51">
        <v>30</v>
      </c>
      <c r="BX18" s="51">
        <v>30</v>
      </c>
      <c r="BY18" s="52">
        <v>34500000</v>
      </c>
      <c r="BZ18" s="52">
        <f>CA18*12</f>
        <v>34500106.799999997</v>
      </c>
      <c r="CA18" s="49">
        <f>SUM(CB18:CD18)</f>
        <v>2875008.9</v>
      </c>
      <c r="CB18" s="49">
        <f>ROUNDUP(BY18/12*209/(209+CF18*1.5)/BW18*BX18,-1)-CD18</f>
        <v>1893650</v>
      </c>
      <c r="CC18" s="49">
        <f>ROUNDUP(BY18/12*(CF18*1.5)/(209+CF18*1.5)/BW18*BX18,1)</f>
        <v>781358.9</v>
      </c>
      <c r="CD18" s="49">
        <v>200000</v>
      </c>
      <c r="CE18" s="50">
        <v>209</v>
      </c>
      <c r="CF18" s="49">
        <f>IF(BY18&lt;26000000,0,IF(BY18&lt;26500000,4,IF(BY18&lt;27000000,7,IF(BY18&lt;27500000,9,IF(BY18&lt;28000000,11,IF(BY18&lt;28500000,15,IF(BY18&lt;29000000,17,IF(BY18&lt;29500000,20,IF(BY18&lt;30000000,23,IF(BY18&lt;30500000,25,IF(BY18&lt;31000000,27,IF(BY18&lt;31500000,29,IF(BY18&lt;32000000,33,IF(BY18&lt;32500000,37,IF(BY18&lt;33000000,39,IF(BY18&lt;33500000,42,IF(BY18&lt;34000000,45,IF(BY18&lt;34500000,48,IF(BY18&lt;35000000,52,52)))))))))))))))))))</f>
        <v>52</v>
      </c>
      <c r="CG18" s="50">
        <f>(CB18+CD18)/209</f>
        <v>10017.464114832535</v>
      </c>
      <c r="CH18" s="51">
        <v>30</v>
      </c>
      <c r="CI18" s="51">
        <v>30</v>
      </c>
      <c r="CJ18" s="52">
        <v>33000000</v>
      </c>
      <c r="CK18" s="52">
        <f>CL18*12</f>
        <v>33000103.200000003</v>
      </c>
      <c r="CL18" s="49">
        <f>SUM(CM18:CO18)</f>
        <v>2750008.6</v>
      </c>
      <c r="CM18" s="49">
        <f>ROUNDUP(CJ18/12*209/(209+CQ18*1.5)/CH18*CI18,-1)-CO18</f>
        <v>1913060</v>
      </c>
      <c r="CN18" s="49">
        <f>ROUNDUP(CJ18/12*(CQ18*1.5)/(209+CQ18*1.5)/CH18*CI18,1)</f>
        <v>636948.6</v>
      </c>
      <c r="CO18" s="50">
        <v>200000</v>
      </c>
      <c r="CP18" s="50">
        <v>209</v>
      </c>
      <c r="CQ18" s="50">
        <f>IF(CJ18&lt;26000000,0,IF(CJ18&lt;26500000,4,IF(CJ18&lt;27000000,7,IF(CJ18&lt;27500000,9,IF(CJ18&lt;28000000,11,IF(CJ18&lt;28500000,15,IF(CJ18&lt;29000000,17,IF(CJ18&lt;29500000,20,IF(CJ18&lt;30000000,23,IF(CJ18&lt;30500000,25,IF(CJ18&lt;31000000,27,IF(CJ18&lt;31500000,29,IF(CJ18&lt;32000000,33,IF(CJ18&lt;32500000,37,IF(CJ18&lt;33000000,39,IF(CJ18&lt;33500000,42,IF(CJ18&lt;34000000,45,IF(CJ18&lt;34500000,48,IF(CJ18&lt;35000000,52,52)))))))))))))))))))</f>
        <v>42</v>
      </c>
      <c r="CR18" s="50">
        <f>(CM18+CO18)/209</f>
        <v>10110.334928229666</v>
      </c>
      <c r="CS18" s="52">
        <v>30000000</v>
      </c>
      <c r="CT18" s="53">
        <f>IFERROR(CS18/12,"")</f>
        <v>2500000</v>
      </c>
      <c r="CU18" s="53">
        <f>IFERROR(CT18-CV18-CW18,"")</f>
        <v>1833073.9299610895</v>
      </c>
      <c r="CV18" s="53">
        <f>IFERROR(CT18*(CY18*1.5)/(209+(CY18*1.5)),"")</f>
        <v>466926.07003891049</v>
      </c>
      <c r="CW18" s="54">
        <v>200000</v>
      </c>
      <c r="CX18" s="54">
        <v>209</v>
      </c>
      <c r="CY18" s="54">
        <v>32</v>
      </c>
      <c r="CZ18" s="55">
        <f>SUM(CX18:CY18)</f>
        <v>241</v>
      </c>
      <c r="DA18" s="55">
        <f>IFERROR((CU18/209)+(CW18-(9620*209*0.01))/209,"")</f>
        <v>9631.4264591439678</v>
      </c>
      <c r="DB18" s="56">
        <f>IFERROR((CU18+CW18)/209,"")</f>
        <v>9727.6264591439685</v>
      </c>
      <c r="DC18" s="57">
        <v>2023</v>
      </c>
      <c r="DD18" s="58"/>
      <c r="DE18" s="58"/>
      <c r="DF18" s="57"/>
      <c r="DG18" s="59">
        <f>B18</f>
        <v>200901</v>
      </c>
      <c r="DH18" s="58"/>
      <c r="DI18" s="58"/>
      <c r="DJ18" s="60"/>
      <c r="DK18" s="58"/>
      <c r="DL18" s="61"/>
      <c r="DM18" s="24"/>
    </row>
    <row r="19" spans="1:117" ht="15" customHeight="1">
      <c r="A19" s="25">
        <f>ROW()-2</f>
        <v>17</v>
      </c>
      <c r="B19" s="26">
        <v>201003</v>
      </c>
      <c r="C19" s="62" t="s">
        <v>454</v>
      </c>
      <c r="D19" s="27" t="s">
        <v>282</v>
      </c>
      <c r="E19" s="27" t="s">
        <v>239</v>
      </c>
      <c r="F19" s="27" t="s">
        <v>196</v>
      </c>
      <c r="G19" s="27" t="s">
        <v>240</v>
      </c>
      <c r="H19" s="27" t="s">
        <v>241</v>
      </c>
      <c r="I19" s="27" t="s">
        <v>455</v>
      </c>
      <c r="J19" s="27" t="str">
        <f>+VLOOKUP($I19,[1]프로젝트현황!$I:$N,5,0)</f>
        <v>경기도</v>
      </c>
      <c r="K19" s="27" t="str">
        <f>+VLOOKUP($I19,[1]프로젝트현황!$I:$N,6,0)</f>
        <v>성남시</v>
      </c>
      <c r="L19" s="28">
        <v>44116</v>
      </c>
      <c r="M19" s="28">
        <v>44116</v>
      </c>
      <c r="N19" s="28"/>
      <c r="O19" s="29"/>
      <c r="P19" s="30" t="s">
        <v>456</v>
      </c>
      <c r="Q19" s="27" t="s">
        <v>457</v>
      </c>
      <c r="R19" s="31" t="str">
        <f>LEFT(Q19,6)</f>
        <v>931106</v>
      </c>
      <c r="S19" s="31" t="str">
        <f>MID($Q19,3,2)</f>
        <v>11</v>
      </c>
      <c r="T19" s="31" t="str">
        <f>IF(OR(MID($Q19,8,1)="1",MID($Q19,8,1)="3"),"남자",IF(OR(MID($Q19,8,1)="2",MID($Q19,8,1)="4"),"여자",""))</f>
        <v>남자</v>
      </c>
      <c r="U19" s="31">
        <f ca="1">YEAR(TODAY())-IF(OR(MID($Q19,8,1)="1",MID($Q19,8,1)="2"),19&amp;LEFT($Q19,2),IF(OR(MID($Q19,8,1)="3",MID($Q19,8,1)="4"),20&amp;LEFT($Q19,2),""))+1</f>
        <v>34</v>
      </c>
      <c r="V19" s="31" t="s">
        <v>200</v>
      </c>
      <c r="W19" s="31" t="s">
        <v>201</v>
      </c>
      <c r="X19" s="27" t="s">
        <v>458</v>
      </c>
      <c r="Y19" s="27"/>
      <c r="Z19" s="27"/>
      <c r="AA19" s="32"/>
      <c r="AB19" s="31" t="s">
        <v>203</v>
      </c>
      <c r="AC19" s="27"/>
      <c r="AD19" s="33" t="str">
        <f ca="1">QUOTIENT(SUMPRODUCT(LEFT($AE19:$AF19,FIND("년",$AE19:$AF19)-1)*12+MID($AE19:$AF19,FIND("년",$AE19:$AF19)+1,FIND("개월",$AE19:$AF19)-FIND("년",$AE19:$AF19)-1)),12)&amp;"년"&amp;MOD(SUMPRODUCT(LEFT($AE19:$AF19,FIND("년",$AE19:$AF19)-1)*12+MID($AE19:$AF19,FIND("년",$AE19:$AF19)+1,FIND("개월",$AE19:$AF19)-FIND("년",$AE19:$AF19)-1)),12)&amp;"개월"</f>
        <v>8년3개월</v>
      </c>
      <c r="AE19" s="33" t="s">
        <v>459</v>
      </c>
      <c r="AF19" s="34" t="str">
        <f ca="1">DATEDIF($L19,TODAY(),"y")&amp;"년"&amp;DATEDIF($L19,TODAY(),"ym")&amp;"개월"</f>
        <v>5년3개월</v>
      </c>
      <c r="AG19" s="35" t="s">
        <v>407</v>
      </c>
      <c r="AH19" s="35" t="s">
        <v>460</v>
      </c>
      <c r="AI19" s="30" t="s">
        <v>205</v>
      </c>
      <c r="AJ19" s="32">
        <v>42769</v>
      </c>
      <c r="AK19" s="36">
        <f ca="1">VALUE(LEFT($AD19,FIND("년",$AD19)-1))</f>
        <v>8</v>
      </c>
      <c r="AL19" s="31" t="str">
        <f ca="1">IF($AI19="전문학사",IF($AK19&lt;=8,"초급",IF($AK19&lt;12,"중급",IF($AK19&lt;15,"고급",IF($AK19&gt;=15,"특급")))))</f>
        <v>초급</v>
      </c>
      <c r="AM19" s="31" t="str">
        <f>IF(ISNUMBER(SEARCH("산업기사",$AT19)),IF($AK19&gt;=13,"특급",IF($AK19&gt;=10,"고급",IF($AK19&gt;=7,"중급","초급"))),IF(ISNUMBER(SEARCH("기사",$AR19)),IF($AK19&gt;=10,"특급",IF($AK19&gt;=7,"고급",IF($AK19&gt;=4,"중급","초급"))),"미해당"))</f>
        <v>미해당</v>
      </c>
      <c r="AN19" s="27"/>
      <c r="AO19" s="32"/>
      <c r="AP19" s="27"/>
      <c r="AQ19" s="32"/>
      <c r="AR19" s="27"/>
      <c r="AS19" s="27"/>
      <c r="AT19" s="37"/>
      <c r="AU19" s="27"/>
      <c r="AV19" s="38"/>
      <c r="AW19" s="39"/>
      <c r="AX19" s="39"/>
      <c r="AY19" s="40" t="s">
        <v>251</v>
      </c>
      <c r="AZ19" s="41" t="s">
        <v>252</v>
      </c>
      <c r="BA19" s="30" t="s">
        <v>230</v>
      </c>
      <c r="BB19" s="30" t="s">
        <v>461</v>
      </c>
      <c r="BC19" s="42" t="s">
        <v>254</v>
      </c>
      <c r="BD19" s="42" t="s">
        <v>462</v>
      </c>
      <c r="BE19" s="43" t="s">
        <v>463</v>
      </c>
      <c r="BF19" s="42" t="s">
        <v>234</v>
      </c>
      <c r="BG19" s="42" t="s">
        <v>464</v>
      </c>
      <c r="BH19" s="35"/>
      <c r="BI19" s="44" t="s">
        <v>465</v>
      </c>
      <c r="BJ19" s="45" t="str">
        <f>IFERROR(VLOOKUP($BG19,[1]프로젝트현황!Y:Z,2,0),"기타")</f>
        <v>동남권</v>
      </c>
      <c r="BK19" s="46" t="str">
        <f>(IF(BF19="","",BF19&amp;" "))&amp;(IF(BG19="","",BG19&amp;" "))&amp;(IF(BH19="","",BH19&amp;" "))&amp;BI19</f>
        <v>경기도 광주시 송정로 59-26, 2층</v>
      </c>
      <c r="BL19" s="47">
        <v>30</v>
      </c>
      <c r="BM19" s="47">
        <v>30</v>
      </c>
      <c r="BN19" s="48">
        <v>34600000</v>
      </c>
      <c r="BO19" s="48">
        <f>BP19*12</f>
        <v>34600050</v>
      </c>
      <c r="BP19" s="49">
        <f>SUM(BQ19:BS19)</f>
        <v>2883337.5</v>
      </c>
      <c r="BQ19" s="49">
        <f>ROUNDUP(BN19/12*209/(209+BU19*1.5)/BL19*BM19,-1)-BS19</f>
        <v>1967690</v>
      </c>
      <c r="BR19" s="49">
        <f>ROUNDUP(BN19/12*(BU19*1.5)/(209+BU19*1.5)/BL19*BM19,1)</f>
        <v>715647.5</v>
      </c>
      <c r="BS19" s="49">
        <v>200000</v>
      </c>
      <c r="BT19" s="50">
        <v>209</v>
      </c>
      <c r="BU19" s="49">
        <f>IF($BN19="","",
IFERROR(
    IF($BN19&lt;'[1]시간외시간 기준표'!$B$2,0,
        IF($BN19&gt;LOOKUP(9.9E+307,'[1]시간외시간 기준표'!$B$2:$B$999),
            LOOKUP(9.9E+307,'[1]시간외시간 기준표'!$C$2:$C$999),
            LOOKUP($BN19,'[1]시간외시간 기준표'!$B$2:$B$999,'[1]시간외시간 기준표'!$C$2:$C$999)
        )
    ),0)
)</f>
        <v>46</v>
      </c>
      <c r="BV19" s="50">
        <f>(BQ19+BS19)/209</f>
        <v>10371.722488038278</v>
      </c>
      <c r="BW19" s="51">
        <v>30</v>
      </c>
      <c r="BX19" s="51">
        <v>30</v>
      </c>
      <c r="BY19" s="52">
        <v>34600000</v>
      </c>
      <c r="BZ19" s="52">
        <f>CA19*12</f>
        <v>34600004.400000006</v>
      </c>
      <c r="CA19" s="49">
        <f>SUM(CB19:CD19)</f>
        <v>2883333.7</v>
      </c>
      <c r="CB19" s="49">
        <f>ROUNDUP(BY19/12*209/(209+CF19*1.5)/BW19*BX19,-1)-CD19</f>
        <v>1899710</v>
      </c>
      <c r="CC19" s="49">
        <f>ROUNDUP(BY19/12*(CF19*1.5)/(209+CF19*1.5)/BW19*BX19,1)</f>
        <v>783623.7</v>
      </c>
      <c r="CD19" s="49">
        <v>200000</v>
      </c>
      <c r="CE19" s="50">
        <v>209</v>
      </c>
      <c r="CF19" s="49">
        <f>IF(BY19&lt;26000000,0,IF(BY19&lt;26500000,4,IF(BY19&lt;27000000,7,IF(BY19&lt;27500000,9,IF(BY19&lt;28000000,11,IF(BY19&lt;28500000,15,IF(BY19&lt;29000000,17,IF(BY19&lt;29500000,20,IF(BY19&lt;30000000,23,IF(BY19&lt;30500000,25,IF(BY19&lt;31000000,27,IF(BY19&lt;31500000,29,IF(BY19&lt;32000000,33,IF(BY19&lt;32500000,37,IF(BY19&lt;33000000,39,IF(BY19&lt;33500000,42,IF(BY19&lt;34000000,45,IF(BY19&lt;34500000,48,IF(BY19&lt;35000000,52,52)))))))))))))))))))</f>
        <v>52</v>
      </c>
      <c r="CG19" s="50">
        <f>(CB19+CD19)/209</f>
        <v>10046.45933014354</v>
      </c>
      <c r="CH19" s="51">
        <v>30</v>
      </c>
      <c r="CI19" s="51">
        <v>30</v>
      </c>
      <c r="CJ19" s="52">
        <v>33800000</v>
      </c>
      <c r="CK19" s="52">
        <f>CL19*12</f>
        <v>33800077.200000003</v>
      </c>
      <c r="CL19" s="49">
        <f>SUM(CM19:CO19)</f>
        <v>2816673.1</v>
      </c>
      <c r="CM19" s="49">
        <f>ROUNDUP(CJ19/12*209/(209+CQ19*1.5)/CH19*CI19,-1)-CO19</f>
        <v>1929060</v>
      </c>
      <c r="CN19" s="49">
        <f>ROUNDUP(CJ19/12*(CQ19*1.5)/(209+CQ19*1.5)/CH19*CI19,1)</f>
        <v>687613.1</v>
      </c>
      <c r="CO19" s="50">
        <v>200000</v>
      </c>
      <c r="CP19" s="50">
        <v>209</v>
      </c>
      <c r="CQ19" s="50">
        <f>IF(CJ19&lt;26000000,0,IF(CJ19&lt;26500000,4,IF(CJ19&lt;27000000,7,IF(CJ19&lt;27500000,9,IF(CJ19&lt;28000000,11,IF(CJ19&lt;28500000,15,IF(CJ19&lt;29000000,17,IF(CJ19&lt;29500000,20,IF(CJ19&lt;30000000,23,IF(CJ19&lt;30500000,25,IF(CJ19&lt;31000000,27,IF(CJ19&lt;31500000,29,IF(CJ19&lt;32000000,33,IF(CJ19&lt;32500000,37,IF(CJ19&lt;33000000,39,IF(CJ19&lt;33500000,42,IF(CJ19&lt;34000000,45,IF(CJ19&lt;34500000,48,IF(CJ19&lt;35000000,52,52)))))))))))))))))))</f>
        <v>45</v>
      </c>
      <c r="CR19" s="50">
        <f>(CM19+CO19)/209</f>
        <v>10186.889952153109</v>
      </c>
      <c r="CS19" s="52">
        <v>32000000</v>
      </c>
      <c r="CT19" s="53">
        <f>IFERROR(CS19/12,"")</f>
        <v>2666666.6666666665</v>
      </c>
      <c r="CU19" s="53">
        <f>IFERROR(CT19-CV19-CW19,"")</f>
        <v>1837781.8403412551</v>
      </c>
      <c r="CV19" s="53">
        <f>IFERROR(CT19*(CY19*1.5)/(209+(CY19*1.5)),"")</f>
        <v>628884.82632541133</v>
      </c>
      <c r="CW19" s="54">
        <v>200000</v>
      </c>
      <c r="CX19" s="54">
        <v>209</v>
      </c>
      <c r="CY19" s="54">
        <v>43</v>
      </c>
      <c r="CZ19" s="55">
        <f>SUM(CX19:CY19)</f>
        <v>252</v>
      </c>
      <c r="DA19" s="55">
        <f>IFERROR((CU19/209)+(CW19-(9620*209*0.01))/209,"")</f>
        <v>9653.9523461304088</v>
      </c>
      <c r="DB19" s="56">
        <f>IFERROR((CU19+CW19)/209,"")</f>
        <v>9750.1523461304078</v>
      </c>
      <c r="DC19" s="57">
        <v>2023</v>
      </c>
      <c r="DD19" s="58"/>
      <c r="DE19" s="58"/>
      <c r="DF19" s="57"/>
      <c r="DG19" s="59">
        <f>B19</f>
        <v>201003</v>
      </c>
      <c r="DH19" s="58"/>
      <c r="DI19" s="58"/>
      <c r="DJ19" s="60"/>
      <c r="DK19" s="58"/>
      <c r="DL19" s="61"/>
      <c r="DM19" s="24"/>
    </row>
    <row r="20" spans="1:117" ht="15" customHeight="1">
      <c r="A20" s="25">
        <f>ROW()-2</f>
        <v>18</v>
      </c>
      <c r="B20" s="26">
        <v>210301</v>
      </c>
      <c r="C20" s="62" t="s">
        <v>466</v>
      </c>
      <c r="D20" s="27"/>
      <c r="E20" s="27" t="s">
        <v>239</v>
      </c>
      <c r="F20" s="27" t="s">
        <v>196</v>
      </c>
      <c r="G20" s="27" t="s">
        <v>240</v>
      </c>
      <c r="H20" s="27" t="s">
        <v>241</v>
      </c>
      <c r="I20" s="27" t="s">
        <v>455</v>
      </c>
      <c r="J20" s="27" t="str">
        <f>+VLOOKUP($I20,[1]프로젝트현황!$I:$N,5,0)</f>
        <v>경기도</v>
      </c>
      <c r="K20" s="27" t="str">
        <f>+VLOOKUP($I20,[1]프로젝트현황!$I:$N,6,0)</f>
        <v>성남시</v>
      </c>
      <c r="L20" s="28">
        <v>44257</v>
      </c>
      <c r="M20" s="28">
        <v>44257</v>
      </c>
      <c r="N20" s="28"/>
      <c r="O20" s="29"/>
      <c r="P20" s="30" t="s">
        <v>467</v>
      </c>
      <c r="Q20" s="27" t="s">
        <v>468</v>
      </c>
      <c r="R20" s="31" t="str">
        <f>LEFT(Q20,6)</f>
        <v>950306</v>
      </c>
      <c r="S20" s="31" t="str">
        <f>MID($Q20,3,2)</f>
        <v>03</v>
      </c>
      <c r="T20" s="31" t="str">
        <f>IF(OR(MID($Q20,8,1)="1",MID($Q20,8,1)="3"),"남자",IF(OR(MID($Q20,8,1)="2",MID($Q20,8,1)="4"),"여자",""))</f>
        <v>남자</v>
      </c>
      <c r="U20" s="31">
        <f ca="1">YEAR(TODAY())-IF(OR(MID($Q20,8,1)="1",MID($Q20,8,1)="2"),19&amp;LEFT($Q20,2),IF(OR(MID($Q20,8,1)="3",MID($Q20,8,1)="4"),20&amp;LEFT($Q20,2),""))+1</f>
        <v>32</v>
      </c>
      <c r="V20" s="31" t="s">
        <v>200</v>
      </c>
      <c r="W20" s="31" t="s">
        <v>201</v>
      </c>
      <c r="X20" s="27" t="s">
        <v>469</v>
      </c>
      <c r="Y20" s="27"/>
      <c r="Z20" s="27"/>
      <c r="AA20" s="32"/>
      <c r="AB20" s="31" t="s">
        <v>203</v>
      </c>
      <c r="AC20" s="27" t="s">
        <v>470</v>
      </c>
      <c r="AD20" s="33" t="str">
        <f ca="1">QUOTIENT(SUMPRODUCT(LEFT($AE20:$AF20,FIND("년",$AE20:$AF20)-1)*12+MID($AE20:$AF20,FIND("년",$AE20:$AF20)+1,FIND("개월",$AE20:$AF20)-FIND("년",$AE20:$AF20)-1)),12)&amp;"년"&amp;MOD(SUMPRODUCT(LEFT($AE20:$AF20,FIND("년",$AE20:$AF20)-1)*12+MID($AE20:$AF20,FIND("년",$AE20:$AF20)+1,FIND("개월",$AE20:$AF20)-FIND("년",$AE20:$AF20)-1)),12)&amp;"개월"</f>
        <v>6년8개월</v>
      </c>
      <c r="AE20" s="33" t="s">
        <v>471</v>
      </c>
      <c r="AF20" s="34" t="str">
        <f ca="1">DATEDIF($L20,TODAY(),"y")&amp;"년"&amp;DATEDIF($L20,TODAY(),"ym")&amp;"개월"</f>
        <v>4년11개월</v>
      </c>
      <c r="AG20" s="35" t="s">
        <v>472</v>
      </c>
      <c r="AH20" s="35" t="s">
        <v>473</v>
      </c>
      <c r="AI20" s="30" t="s">
        <v>205</v>
      </c>
      <c r="AJ20" s="32">
        <v>43511</v>
      </c>
      <c r="AK20" s="36">
        <f ca="1">VALUE(LEFT($AD20,FIND("년",$AD20)-1))</f>
        <v>6</v>
      </c>
      <c r="AL20" s="31" t="str">
        <f ca="1">IF($AI20="전문학사",IF($AK20&lt;=8,"초급",IF($AK20&lt;12,"중급",IF($AK20&lt;15,"고급",IF($AK20&gt;=15,"특급")))))</f>
        <v>초급</v>
      </c>
      <c r="AM20" s="31" t="str">
        <f>IF(ISNUMBER(SEARCH("산업기사",$AT20)),IF($AK20&gt;=13,"특급",IF($AK20&gt;=10,"고급",IF($AK20&gt;=7,"중급","초급"))),IF(ISNUMBER(SEARCH("기사",$AR20)),IF($AK20&gt;=10,"특급",IF($AK20&gt;=7,"고급",IF($AK20&gt;=4,"중급","초급"))),"미해당"))</f>
        <v>미해당</v>
      </c>
      <c r="AN20" s="27"/>
      <c r="AO20" s="32"/>
      <c r="AP20" s="27"/>
      <c r="AQ20" s="32"/>
      <c r="AR20" s="27"/>
      <c r="AS20" s="27"/>
      <c r="AT20" s="37"/>
      <c r="AU20" s="27"/>
      <c r="AV20" s="38"/>
      <c r="AW20" s="39"/>
      <c r="AX20" s="39"/>
      <c r="AY20" s="40" t="s">
        <v>251</v>
      </c>
      <c r="AZ20" s="41" t="s">
        <v>252</v>
      </c>
      <c r="BA20" s="30" t="s">
        <v>230</v>
      </c>
      <c r="BB20" s="30" t="s">
        <v>474</v>
      </c>
      <c r="BC20" s="42" t="s">
        <v>254</v>
      </c>
      <c r="BD20" s="42" t="s">
        <v>475</v>
      </c>
      <c r="BE20" s="43" t="s">
        <v>476</v>
      </c>
      <c r="BF20" s="42" t="s">
        <v>234</v>
      </c>
      <c r="BG20" s="42" t="s">
        <v>295</v>
      </c>
      <c r="BH20" s="35" t="s">
        <v>312</v>
      </c>
      <c r="BI20" s="44" t="s">
        <v>477</v>
      </c>
      <c r="BJ20" s="45" t="str">
        <f>IFERROR(VLOOKUP($BG20,[1]프로젝트현황!Y:Z,2,0),"기타")</f>
        <v>동남권</v>
      </c>
      <c r="BK20" s="46" t="str">
        <f>(IF(BF20="","",BF20&amp;" "))&amp;(IF(BG20="","",BG20&amp;" "))&amp;(IF(BH20="","",BH20&amp;" "))&amp;BI20</f>
        <v>경기도 수원시 권선구 세류동 97-20 201호</v>
      </c>
      <c r="BL20" s="47">
        <v>30</v>
      </c>
      <c r="BM20" s="47">
        <v>30</v>
      </c>
      <c r="BN20" s="48">
        <v>32000000</v>
      </c>
      <c r="BO20" s="48">
        <f>BP20*12</f>
        <v>32000094</v>
      </c>
      <c r="BP20" s="49">
        <f>SUM(BQ20:BS20)</f>
        <v>2666674.5</v>
      </c>
      <c r="BQ20" s="49">
        <f>ROUNDUP(BN20/12*209/(209+BU20*1.5)/BL20*BM20,-1)-BS20</f>
        <v>1968620</v>
      </c>
      <c r="BR20" s="49">
        <f>ROUNDUP(BN20/12*(BU20*1.5)/(209+BU20*1.5)/BL20*BM20,1)</f>
        <v>498054.5</v>
      </c>
      <c r="BS20" s="49">
        <v>200000</v>
      </c>
      <c r="BT20" s="50">
        <v>209</v>
      </c>
      <c r="BU20" s="49">
        <f>IF($BN20="","",
IFERROR(
    IF($BN20&lt;'[1]시간외시간 기준표'!$B$2,0,
        IF($BN20&gt;LOOKUP(9.9E+307,'[1]시간외시간 기준표'!$B$2:$B$999),
            LOOKUP(9.9E+307,'[1]시간외시간 기준표'!$C$2:$C$999),
            LOOKUP($BN20,'[1]시간외시간 기준표'!$B$2:$B$999,'[1]시간외시간 기준표'!$C$2:$C$999)
        )
    ),0)
)</f>
        <v>32</v>
      </c>
      <c r="BV20" s="50">
        <f>(BQ20+BS20)/209</f>
        <v>10376.172248803829</v>
      </c>
      <c r="BW20" s="51">
        <v>30</v>
      </c>
      <c r="BX20" s="51">
        <v>30</v>
      </c>
      <c r="BY20" s="52">
        <v>32000000</v>
      </c>
      <c r="BZ20" s="52">
        <f>CA20*12</f>
        <v>32000116.799999997</v>
      </c>
      <c r="CA20" s="49">
        <f>SUM(CB20:CD20)</f>
        <v>2666676.4</v>
      </c>
      <c r="CB20" s="49">
        <f>ROUNDUP(BY20/12*209/(209+CF20*1.5)/BW20*BX20,-1)-CD20</f>
        <v>1907130</v>
      </c>
      <c r="CC20" s="49">
        <f>ROUNDUP(BY20/12*(CF20*1.5)/(209+CF20*1.5)/BW20*BX20,1)</f>
        <v>559546.4</v>
      </c>
      <c r="CD20" s="49">
        <v>200000</v>
      </c>
      <c r="CE20" s="50">
        <v>209</v>
      </c>
      <c r="CF20" s="49">
        <f>IF(BY20&lt;26000000,0,IF(BY20&lt;26500000,4,IF(BY20&lt;27000000,7,IF(BY20&lt;27500000,9,IF(BY20&lt;28000000,11,IF(BY20&lt;28500000,15,IF(BY20&lt;29000000,17,IF(BY20&lt;29500000,20,IF(BY20&lt;30000000,23,IF(BY20&lt;30500000,25,IF(BY20&lt;31000000,27,IF(BY20&lt;31500000,29,IF(BY20&lt;32000000,33,IF(BY20&lt;32500000,37,IF(BY20&lt;33000000,39,IF(BY20&lt;33500000,42,IF(BY20&lt;34000000,45,IF(BY20&lt;34500000,48,IF(BY20&lt;35000000,52,52)))))))))))))))))))</f>
        <v>37</v>
      </c>
      <c r="CG20" s="50">
        <f>(CB20+CD20)/209</f>
        <v>10081.961722488039</v>
      </c>
      <c r="CH20" s="51">
        <v>30</v>
      </c>
      <c r="CI20" s="51">
        <v>30</v>
      </c>
      <c r="CJ20" s="52">
        <v>31200000</v>
      </c>
      <c r="CK20" s="52">
        <f>CL20*12</f>
        <v>31200009.599999998</v>
      </c>
      <c r="CL20" s="49">
        <f>SUM(CM20:CO20)</f>
        <v>2600000.7999999998</v>
      </c>
      <c r="CM20" s="49">
        <f>ROUNDUP(CJ20/12*209/(209+CQ20*1.5)/CH20*CI20,-1)-CO20</f>
        <v>1952080</v>
      </c>
      <c r="CN20" s="49">
        <f>ROUNDUP(CJ20/12*(CQ20*1.5)/(209+CQ20*1.5)/CH20*CI20,1)</f>
        <v>447920.8</v>
      </c>
      <c r="CO20" s="50">
        <v>200000</v>
      </c>
      <c r="CP20" s="50">
        <v>209</v>
      </c>
      <c r="CQ20" s="50">
        <f>IF(CJ20&lt;26000000,0,IF(CJ20&lt;26500000,4,IF(CJ20&lt;27000000,7,IF(CJ20&lt;27500000,9,IF(CJ20&lt;28000000,11,IF(CJ20&lt;28500000,15,IF(CJ20&lt;29000000,17,IF(CJ20&lt;29500000,20,IF(CJ20&lt;30000000,23,IF(CJ20&lt;30500000,25,IF(CJ20&lt;31000000,27,IF(CJ20&lt;31500000,29,IF(CJ20&lt;32000000,33,IF(CJ20&lt;32500000,37,IF(CJ20&lt;33000000,39,IF(CJ20&lt;33500000,42,IF(CJ20&lt;34000000,45,IF(CJ20&lt;34500000,48,IF(CJ20&lt;35000000,52,52)))))))))))))))))))</f>
        <v>29</v>
      </c>
      <c r="CR20" s="50">
        <f>(CM20+CO20)/209</f>
        <v>10297.033492822966</v>
      </c>
      <c r="CS20" s="52">
        <v>30000000</v>
      </c>
      <c r="CT20" s="53">
        <f>IFERROR(CS20/12,"")</f>
        <v>2500000</v>
      </c>
      <c r="CU20" s="53">
        <f>IFERROR(CT20-CV20-CW20,"")</f>
        <v>1833073.9299610895</v>
      </c>
      <c r="CV20" s="53">
        <f>IFERROR(CT20*(CY20*1.5)/(209+(CY20*1.5)),"")</f>
        <v>466926.07003891049</v>
      </c>
      <c r="CW20" s="54">
        <v>200000</v>
      </c>
      <c r="CX20" s="54">
        <v>209</v>
      </c>
      <c r="CY20" s="54">
        <v>32</v>
      </c>
      <c r="CZ20" s="55">
        <f>SUM(CX20:CY20)</f>
        <v>241</v>
      </c>
      <c r="DA20" s="55">
        <f>IFERROR((CU20/209)+(CW20-(9620*209*0.01))/209,"")</f>
        <v>9631.4264591439678</v>
      </c>
      <c r="DB20" s="56">
        <f>IFERROR((CU20+CW20)/209,"")</f>
        <v>9727.6264591439685</v>
      </c>
      <c r="DC20" s="57">
        <v>2023</v>
      </c>
      <c r="DD20" s="58"/>
      <c r="DE20" s="58"/>
      <c r="DF20" s="57"/>
      <c r="DG20" s="59">
        <f>B20</f>
        <v>210301</v>
      </c>
      <c r="DH20" s="58"/>
      <c r="DI20" s="58"/>
      <c r="DJ20" s="60"/>
      <c r="DK20" s="58"/>
      <c r="DL20" s="61"/>
      <c r="DM20" s="24"/>
    </row>
    <row r="21" spans="1:117" ht="15" customHeight="1">
      <c r="A21" s="25">
        <f>ROW()-2</f>
        <v>19</v>
      </c>
      <c r="B21" s="26">
        <v>210303</v>
      </c>
      <c r="C21" s="62" t="s">
        <v>478</v>
      </c>
      <c r="D21" s="27" t="s">
        <v>282</v>
      </c>
      <c r="E21" s="27" t="s">
        <v>283</v>
      </c>
      <c r="F21" s="27" t="s">
        <v>196</v>
      </c>
      <c r="G21" s="27" t="s">
        <v>240</v>
      </c>
      <c r="H21" s="27" t="s">
        <v>217</v>
      </c>
      <c r="I21" s="27" t="s">
        <v>479</v>
      </c>
      <c r="J21" s="27" t="str">
        <f>+VLOOKUP($I21,[1]프로젝트현황!$I:$N,5,0)</f>
        <v>경기도</v>
      </c>
      <c r="K21" s="27" t="str">
        <f>+VLOOKUP($I21,[1]프로젝트현황!$I:$N,6,0)</f>
        <v>성남시</v>
      </c>
      <c r="L21" s="28">
        <v>44273</v>
      </c>
      <c r="M21" s="28">
        <v>44273</v>
      </c>
      <c r="N21" s="28"/>
      <c r="O21" s="29"/>
      <c r="P21" s="30" t="s">
        <v>480</v>
      </c>
      <c r="Q21" s="27" t="s">
        <v>481</v>
      </c>
      <c r="R21" s="31" t="str">
        <f>LEFT(Q21,6)</f>
        <v>810323</v>
      </c>
      <c r="S21" s="31" t="str">
        <f>MID($Q21,3,2)</f>
        <v>03</v>
      </c>
      <c r="T21" s="31" t="str">
        <f>IF(OR(MID($Q21,8,1)="1",MID($Q21,8,1)="3"),"남자",IF(OR(MID($Q21,8,1)="2",MID($Q21,8,1)="4"),"여자",""))</f>
        <v>남자</v>
      </c>
      <c r="U21" s="31">
        <f ca="1">YEAR(TODAY())-IF(OR(MID($Q21,8,1)="1",MID($Q21,8,1)="2"),19&amp;LEFT($Q21,2),IF(OR(MID($Q21,8,1)="3",MID($Q21,8,1)="4"),20&amp;LEFT($Q21,2),""))+1</f>
        <v>46</v>
      </c>
      <c r="V21" s="31" t="s">
        <v>200</v>
      </c>
      <c r="W21" s="31" t="s">
        <v>201</v>
      </c>
      <c r="X21" s="27" t="s">
        <v>482</v>
      </c>
      <c r="Y21" s="27"/>
      <c r="Z21" s="27"/>
      <c r="AA21" s="32"/>
      <c r="AB21" s="31" t="s">
        <v>203</v>
      </c>
      <c r="AC21" s="27" t="s">
        <v>483</v>
      </c>
      <c r="AD21" s="33" t="str">
        <f ca="1">QUOTIENT(SUMPRODUCT(LEFT($AE21:$AF21,FIND("년",$AE21:$AF21)-1)*12+MID($AE21:$AF21,FIND("년",$AE21:$AF21)+1,FIND("개월",$AE21:$AF21)-FIND("년",$AE21:$AF21)-1)),12)&amp;"년"&amp;MOD(SUMPRODUCT(LEFT($AE21:$AF21,FIND("년",$AE21:$AF21)-1)*12+MID($AE21:$AF21,FIND("년",$AE21:$AF21)+1,FIND("개월",$AE21:$AF21)-FIND("년",$AE21:$AF21)-1)),12)&amp;"개월"</f>
        <v>16년1개월</v>
      </c>
      <c r="AE21" s="33" t="s">
        <v>484</v>
      </c>
      <c r="AF21" s="34" t="str">
        <f ca="1">DATEDIF($L21,TODAY(),"y")&amp;"년"&amp;DATEDIF($L21,TODAY(),"ym")&amp;"개월"</f>
        <v>4년10개월</v>
      </c>
      <c r="AG21" s="35" t="s">
        <v>485</v>
      </c>
      <c r="AH21" s="35" t="s">
        <v>486</v>
      </c>
      <c r="AI21" s="30" t="s">
        <v>270</v>
      </c>
      <c r="AJ21" s="32">
        <v>39493</v>
      </c>
      <c r="AK21" s="36">
        <f ca="1">VALUE(LEFT($AD21,FIND("년",$AD21)-1))</f>
        <v>16</v>
      </c>
      <c r="AL21" s="31" t="str">
        <f ca="1">IF($AI21="학사",IF($AK21&lt;=5,"초급",IF($AK21&lt;9,"중급",IF($AK21&lt;12,"고급",IF($AK21&gt;=12,"특급")))))</f>
        <v>특급</v>
      </c>
      <c r="AM21" s="31" t="str">
        <f>IF(ISNUMBER(SEARCH("산업기사",$AT21)),IF($AK21&gt;=13,"특급",IF($AK21&gt;=10,"고급",IF($AK21&gt;=7,"중급","초급"))),IF(ISNUMBER(SEARCH("기사",$AR21)),IF($AK21&gt;=10,"특급",IF($AK21&gt;=7,"고급",IF($AK21&gt;=4,"중급","초급"))),"미해당"))</f>
        <v>미해당</v>
      </c>
      <c r="AN21" s="27"/>
      <c r="AO21" s="32"/>
      <c r="AP21" s="27"/>
      <c r="AQ21" s="32"/>
      <c r="AR21" s="27"/>
      <c r="AS21" s="27"/>
      <c r="AT21" s="37"/>
      <c r="AU21" s="27"/>
      <c r="AV21" s="38"/>
      <c r="AW21" s="39"/>
      <c r="AX21" s="39"/>
      <c r="AY21" s="40" t="s">
        <v>251</v>
      </c>
      <c r="AZ21" s="41" t="s">
        <v>252</v>
      </c>
      <c r="BA21" s="30" t="s">
        <v>230</v>
      </c>
      <c r="BB21" s="30" t="s">
        <v>487</v>
      </c>
      <c r="BC21" s="42" t="s">
        <v>254</v>
      </c>
      <c r="BD21" s="42" t="s">
        <v>488</v>
      </c>
      <c r="BE21" s="43" t="s">
        <v>489</v>
      </c>
      <c r="BF21" s="42" t="s">
        <v>234</v>
      </c>
      <c r="BG21" s="42" t="s">
        <v>328</v>
      </c>
      <c r="BH21" s="35" t="s">
        <v>490</v>
      </c>
      <c r="BI21" s="44" t="s">
        <v>491</v>
      </c>
      <c r="BJ21" s="45" t="str">
        <f>IFERROR(VLOOKUP($BG21,[1]프로젝트현황!Y:Z,2,0),"기타")</f>
        <v>동남권</v>
      </c>
      <c r="BK21" s="46" t="str">
        <f>(IF(BF21="","",BF21&amp;" "))&amp;(IF(BG21="","",BG21&amp;" "))&amp;(IF(BH21="","",BH21&amp;" "))&amp;BI21</f>
        <v>경기도 성남시 분당구 분당로 190 101동 102호(분당동, 샛별마을)</v>
      </c>
      <c r="BL21" s="47">
        <v>30</v>
      </c>
      <c r="BM21" s="47">
        <v>30</v>
      </c>
      <c r="BN21" s="48">
        <v>50000000</v>
      </c>
      <c r="BO21" s="48">
        <f>BP21*12</f>
        <v>50000090.400000006</v>
      </c>
      <c r="BP21" s="49">
        <f>SUM(BQ21:BS21)</f>
        <v>4166674.2</v>
      </c>
      <c r="BQ21" s="49">
        <f>ROUNDUP(BN21/12*209/(209+BU21*1.5)/BL21*BM21,-1)-BS21</f>
        <v>2834270</v>
      </c>
      <c r="BR21" s="49">
        <f>ROUNDUP(BN21/12*(BU21*1.5)/(209+BU21*1.5)/BL21*BM21,1)</f>
        <v>1132404.2000000002</v>
      </c>
      <c r="BS21" s="49">
        <v>200000</v>
      </c>
      <c r="BT21" s="50">
        <v>209</v>
      </c>
      <c r="BU21" s="49">
        <f>IF($BN21="","",
IFERROR(
    IF($BN21&lt;'[1]시간외시간 기준표'!$B$2,0,
        IF($BN21&gt;LOOKUP(9.9E+307,'[1]시간외시간 기준표'!$B$2:$B$999),
            LOOKUP(9.9E+307,'[1]시간외시간 기준표'!$C$2:$C$999),
            LOOKUP($BN21,'[1]시간외시간 기준표'!$B$2:$B$999,'[1]시간외시간 기준표'!$C$2:$C$999)
        )
    ),0)
)</f>
        <v>52</v>
      </c>
      <c r="BV21" s="50">
        <f>(BQ21+BS21)/209</f>
        <v>14518.038277511961</v>
      </c>
      <c r="BW21" s="51">
        <v>30</v>
      </c>
      <c r="BX21" s="51">
        <v>30</v>
      </c>
      <c r="BY21" s="52">
        <v>50000000</v>
      </c>
      <c r="BZ21" s="52">
        <f>CA21*12</f>
        <v>50000090.400000006</v>
      </c>
      <c r="CA21" s="49">
        <f>SUM(CB21:CD21)</f>
        <v>4166674.2</v>
      </c>
      <c r="CB21" s="49">
        <f>ROUNDUP(BY21/12*209/(209+CF21*1.5)/BW21*BX21,-1)-CD21</f>
        <v>2834270</v>
      </c>
      <c r="CC21" s="49">
        <f>ROUNDUP(BY21/12*(CF21*1.5)/(209+CF21*1.5)/BW21*BX21,1)</f>
        <v>1132404.2000000002</v>
      </c>
      <c r="CD21" s="49">
        <v>200000</v>
      </c>
      <c r="CE21" s="50">
        <v>209</v>
      </c>
      <c r="CF21" s="49">
        <f>IF(BY21&lt;26000000,0,IF(BY21&lt;26500000,4,IF(BY21&lt;27000000,7,IF(BY21&lt;27500000,9,IF(BY21&lt;28000000,11,IF(BY21&lt;28500000,15,IF(BY21&lt;29000000,17,IF(BY21&lt;29500000,20,IF(BY21&lt;30000000,23,IF(BY21&lt;30500000,25,IF(BY21&lt;31000000,27,IF(BY21&lt;31500000,29,IF(BY21&lt;32000000,33,IF(BY21&lt;32500000,37,IF(BY21&lt;33000000,39,IF(BY21&lt;33500000,42,IF(BY21&lt;34000000,45,IF(BY21&lt;34500000,48,IF(BY21&lt;35000000,52,52)))))))))))))))))))</f>
        <v>52</v>
      </c>
      <c r="CG21" s="50">
        <f>(CB21+CD21)/209</f>
        <v>14518.038277511961</v>
      </c>
      <c r="CH21" s="51">
        <v>30</v>
      </c>
      <c r="CI21" s="51">
        <v>30</v>
      </c>
      <c r="CJ21" s="52">
        <v>49200000</v>
      </c>
      <c r="CK21" s="52">
        <f>CL21*12</f>
        <v>49200069.599999994</v>
      </c>
      <c r="CL21" s="49">
        <f>SUM(CM21:CO21)</f>
        <v>4100005.8</v>
      </c>
      <c r="CM21" s="49">
        <f>ROUNDUP(CJ21/12*209/(209+CQ21*1.5)/CH21*CI21,-1)-CO21</f>
        <v>2785720</v>
      </c>
      <c r="CN21" s="49">
        <f>ROUNDUP(CJ21/12*(CQ21*1.5)/(209+CQ21*1.5)/CH21*CI21,1)</f>
        <v>1114285.8</v>
      </c>
      <c r="CO21" s="50">
        <v>200000</v>
      </c>
      <c r="CP21" s="50">
        <v>209</v>
      </c>
      <c r="CQ21" s="50">
        <f>IF(CJ21&lt;26000000,0,IF(CJ21&lt;26500000,4,IF(CJ21&lt;27000000,7,IF(CJ21&lt;27500000,9,IF(CJ21&lt;28000000,11,IF(CJ21&lt;28500000,15,IF(CJ21&lt;29000000,17,IF(CJ21&lt;29500000,20,IF(CJ21&lt;30000000,23,IF(CJ21&lt;30500000,25,IF(CJ21&lt;31000000,27,IF(CJ21&lt;31500000,29,IF(CJ21&lt;32000000,33,IF(CJ21&lt;32500000,37,IF(CJ21&lt;33000000,39,IF(CJ21&lt;33500000,42,IF(CJ21&lt;34000000,45,IF(CJ21&lt;34500000,48,IF(CJ21&lt;35000000,52,52)))))))))))))))))))</f>
        <v>52</v>
      </c>
      <c r="CR21" s="50">
        <f>(CM21+CO21)/209</f>
        <v>14285.741626794259</v>
      </c>
      <c r="CS21" s="52">
        <v>48000000</v>
      </c>
      <c r="CT21" s="53">
        <f>IFERROR(CS21/12,"")</f>
        <v>4000000</v>
      </c>
      <c r="CU21" s="53">
        <f>IFERROR(CT21-CV21-CW21,"")</f>
        <v>2712891.9860627176</v>
      </c>
      <c r="CV21" s="53">
        <f>IFERROR(CT21*(CY21*1.5)/(209+(CY21*1.5)),"")</f>
        <v>1087108.0139372821</v>
      </c>
      <c r="CW21" s="54">
        <v>200000</v>
      </c>
      <c r="CX21" s="54">
        <v>209</v>
      </c>
      <c r="CY21" s="54">
        <v>52</v>
      </c>
      <c r="CZ21" s="55">
        <f>SUM(CX21:CY21)</f>
        <v>261</v>
      </c>
      <c r="DA21" s="55">
        <f>IFERROR((CU21/209)+(CW21-(9620*209*0.01))/209,"")</f>
        <v>13841.082229965155</v>
      </c>
      <c r="DB21" s="56">
        <f>IFERROR((CU21+CW21)/209,"")</f>
        <v>13937.282229965156</v>
      </c>
      <c r="DC21" s="57">
        <v>2023</v>
      </c>
      <c r="DD21" s="58"/>
      <c r="DE21" s="58"/>
      <c r="DF21" s="57"/>
      <c r="DG21" s="59">
        <f>B21</f>
        <v>210303</v>
      </c>
      <c r="DH21" s="58"/>
      <c r="DI21" s="58"/>
      <c r="DJ21" s="60"/>
      <c r="DK21" s="58"/>
      <c r="DL21" s="61"/>
      <c r="DM21" s="24"/>
    </row>
    <row r="22" spans="1:117" ht="15" customHeight="1">
      <c r="A22" s="25">
        <f>ROW()-2</f>
        <v>20</v>
      </c>
      <c r="B22" s="26">
        <v>210401</v>
      </c>
      <c r="C22" s="62" t="s">
        <v>492</v>
      </c>
      <c r="D22" s="27" t="s">
        <v>215</v>
      </c>
      <c r="E22" s="27" t="s">
        <v>195</v>
      </c>
      <c r="F22" s="27" t="s">
        <v>196</v>
      </c>
      <c r="G22" s="27" t="s">
        <v>493</v>
      </c>
      <c r="H22" s="27" t="s">
        <v>494</v>
      </c>
      <c r="I22" s="27" t="s">
        <v>494</v>
      </c>
      <c r="J22" s="27" t="str">
        <f>+VLOOKUP($I22,[1]프로젝트현황!$I:$N,5,0)</f>
        <v>서울시</v>
      </c>
      <c r="K22" s="27" t="str">
        <f>+VLOOKUP($I22,[1]프로젝트현황!$I:$N,6,0)</f>
        <v>강남구</v>
      </c>
      <c r="L22" s="28">
        <v>44287</v>
      </c>
      <c r="M22" s="28">
        <v>44287</v>
      </c>
      <c r="N22" s="28"/>
      <c r="O22" s="29"/>
      <c r="P22" s="30" t="s">
        <v>495</v>
      </c>
      <c r="Q22" s="27" t="s">
        <v>496</v>
      </c>
      <c r="R22" s="31" t="str">
        <f>LEFT(Q22,6)</f>
        <v>740122</v>
      </c>
      <c r="S22" s="31" t="str">
        <f>MID($Q22,3,2)</f>
        <v>01</v>
      </c>
      <c r="T22" s="31" t="str">
        <f>IF(OR(MID($Q22,8,1)="1",MID($Q22,8,1)="3"),"남자",IF(OR(MID($Q22,8,1)="2",MID($Q22,8,1)="4"),"여자",""))</f>
        <v>여자</v>
      </c>
      <c r="U22" s="31">
        <f ca="1">YEAR(TODAY())-IF(OR(MID($Q22,8,1)="1",MID($Q22,8,1)="2"),19&amp;LEFT($Q22,2),IF(OR(MID($Q22,8,1)="3",MID($Q22,8,1)="4"),20&amp;LEFT($Q22,2),""))+1</f>
        <v>53</v>
      </c>
      <c r="V22" s="31" t="s">
        <v>200</v>
      </c>
      <c r="W22" s="31" t="s">
        <v>201</v>
      </c>
      <c r="X22" s="27" t="s">
        <v>497</v>
      </c>
      <c r="Y22" s="27"/>
      <c r="Z22" s="27" t="s">
        <v>222</v>
      </c>
      <c r="AA22" s="32">
        <v>45047</v>
      </c>
      <c r="AB22" s="31" t="s">
        <v>203</v>
      </c>
      <c r="AC22" s="27" t="s">
        <v>498</v>
      </c>
      <c r="AD22" s="33" t="str">
        <f ca="1">QUOTIENT(SUMPRODUCT(LEFT($AE22:$AF22,FIND("년",$AE22:$AF22)-1)*12+MID($AE22:$AF22,FIND("년",$AE22:$AF22)+1,FIND("개월",$AE22:$AF22)-FIND("년",$AE22:$AF22)-1)),12)&amp;"년"&amp;MOD(SUMPRODUCT(LEFT($AE22:$AF22,FIND("년",$AE22:$AF22)-1)*12+MID($AE22:$AF22,FIND("년",$AE22:$AF22)+1,FIND("개월",$AE22:$AF22)-FIND("년",$AE22:$AF22)-1)),12)&amp;"개월"</f>
        <v>27년7개월</v>
      </c>
      <c r="AE22" s="33" t="s">
        <v>499</v>
      </c>
      <c r="AF22" s="34" t="str">
        <f ca="1">DATEDIF($L22,TODAY(),"y")&amp;"년"&amp;DATEDIF($L22,TODAY(),"ym")&amp;"개월"</f>
        <v>4년10개월</v>
      </c>
      <c r="AG22" s="35" t="s">
        <v>500</v>
      </c>
      <c r="AH22" s="35" t="s">
        <v>501</v>
      </c>
      <c r="AI22" s="30" t="s">
        <v>502</v>
      </c>
      <c r="AJ22" s="32">
        <v>41145</v>
      </c>
      <c r="AK22" s="36">
        <f ca="1">VALUE(LEFT($AD22,FIND("년",$AD22)-1))</f>
        <v>27</v>
      </c>
      <c r="AL22" s="31" t="str">
        <f ca="1">IF($AI22="석사",IF($AK22&lt;=2,"초급",IF($AK22&lt;6,"중급",IF($AK22&lt;9,"고급",IF($AK22&gt;=9,"특급")))))</f>
        <v>특급</v>
      </c>
      <c r="AM22" s="31" t="str">
        <f ca="1">IF(ISNUMBER(SEARCH("산업기사",$AT22)),IF($AK22&gt;=13,"특급",IF($AK22&gt;=10,"고급",IF($AK22&gt;=7,"중급","초급"))),IF(ISNUMBER(SEARCH("기사",$AR22)),IF($AK22&gt;=10,"특급",IF($AK22&gt;=7,"고급",IF($AK22&gt;=4,"중급","초급"))),"미해당"))</f>
        <v>특급</v>
      </c>
      <c r="AN22" s="27"/>
      <c r="AO22" s="32"/>
      <c r="AP22" s="27" t="s">
        <v>137</v>
      </c>
      <c r="AQ22" s="32">
        <v>44443</v>
      </c>
      <c r="AR22" s="27" t="s">
        <v>139</v>
      </c>
      <c r="AS22" s="32">
        <v>39237</v>
      </c>
      <c r="AT22" s="37"/>
      <c r="AU22" s="27"/>
      <c r="AV22" s="38" t="s">
        <v>503</v>
      </c>
      <c r="AW22" s="39" t="s">
        <v>504</v>
      </c>
      <c r="AX22" s="39" t="s">
        <v>505</v>
      </c>
      <c r="AY22" s="40" t="s">
        <v>251</v>
      </c>
      <c r="AZ22" s="41" t="s">
        <v>252</v>
      </c>
      <c r="BA22" s="30" t="s">
        <v>230</v>
      </c>
      <c r="BB22" s="30" t="s">
        <v>506</v>
      </c>
      <c r="BC22" s="42" t="s">
        <v>507</v>
      </c>
      <c r="BD22" s="42" t="s">
        <v>508</v>
      </c>
      <c r="BE22" s="43" t="s">
        <v>509</v>
      </c>
      <c r="BF22" s="42" t="s">
        <v>234</v>
      </c>
      <c r="BG22" s="42" t="s">
        <v>328</v>
      </c>
      <c r="BH22" s="35" t="s">
        <v>490</v>
      </c>
      <c r="BI22" s="44" t="s">
        <v>510</v>
      </c>
      <c r="BJ22" s="45" t="str">
        <f>IFERROR(VLOOKUP($BG22,[1]프로젝트현황!Y:Z,2,0),"기타")</f>
        <v>동남권</v>
      </c>
      <c r="BK22" s="46" t="str">
        <f>(IF(BF22="","",BF22&amp;" "))&amp;(IF(BG22="","",BG22&amp;" "))&amp;(IF(BH22="","",BH22&amp;" "))&amp;BI22</f>
        <v>경기도 성남시 분당구 서판교로29 918동 1804호</v>
      </c>
      <c r="BL22" s="47">
        <v>30</v>
      </c>
      <c r="BM22" s="47">
        <v>30</v>
      </c>
      <c r="BN22" s="48">
        <v>80000000</v>
      </c>
      <c r="BO22" s="48">
        <f>BP22*12</f>
        <v>80000000</v>
      </c>
      <c r="BP22" s="49">
        <f>BN22/12</f>
        <v>6666666.666666667</v>
      </c>
      <c r="BQ22" s="49">
        <f>BP22-BS22</f>
        <v>6466666.666666667</v>
      </c>
      <c r="BR22" s="49">
        <v>0</v>
      </c>
      <c r="BS22" s="49">
        <v>200000</v>
      </c>
      <c r="BT22" s="50">
        <v>0</v>
      </c>
      <c r="BU22" s="49">
        <f>IF($BN22="","",
IFERROR(
    IF($BN22&lt;'[1]시간외시간 기준표'!$B$2,0,
        IF($BN22&gt;LOOKUP(9.9E+307,'[1]시간외시간 기준표'!$B$2:$B$999),
            LOOKUP(9.9E+307,'[1]시간외시간 기준표'!$C$2:$C$999),
            LOOKUP($BN22,'[1]시간외시간 기준표'!$B$2:$B$999,'[1]시간외시간 기준표'!$C$2:$C$999)
        )
    ),0)
)</f>
        <v>52</v>
      </c>
      <c r="BV22" s="50">
        <f>(BQ22+BS22)/209</f>
        <v>31897.926634768741</v>
      </c>
      <c r="BW22" s="51">
        <v>30</v>
      </c>
      <c r="BX22" s="51">
        <v>30</v>
      </c>
      <c r="BY22" s="52">
        <v>80000000</v>
      </c>
      <c r="BZ22" s="52">
        <f>CA22*12</f>
        <v>80000000</v>
      </c>
      <c r="CA22" s="49">
        <f>BY22/12</f>
        <v>6666666.666666667</v>
      </c>
      <c r="CB22" s="49">
        <f>CA22-CD22</f>
        <v>6466666.666666667</v>
      </c>
      <c r="CC22" s="49">
        <v>0</v>
      </c>
      <c r="CD22" s="49">
        <v>200000</v>
      </c>
      <c r="CE22" s="50">
        <v>0</v>
      </c>
      <c r="CF22" s="49">
        <v>0</v>
      </c>
      <c r="CG22" s="50">
        <f>(CB22+CD22)/209</f>
        <v>31897.926634768741</v>
      </c>
      <c r="CH22" s="51">
        <v>30</v>
      </c>
      <c r="CI22" s="51">
        <v>30</v>
      </c>
      <c r="CJ22" s="52">
        <v>80000000</v>
      </c>
      <c r="CK22" s="52">
        <f>CL22*12</f>
        <v>80000000.400000006</v>
      </c>
      <c r="CL22" s="49">
        <f>SUM(CM22:CO22)</f>
        <v>6666666.7000000002</v>
      </c>
      <c r="CM22" s="49">
        <f>ROUNDUP(CJ22/12*209/(209+CQ22*1.5)/CH22*CI22,-1)-CO22</f>
        <v>4654820</v>
      </c>
      <c r="CN22" s="49">
        <f>ROUNDUP(CJ22/12*(CQ22*1.5)/(209+CQ22*1.5)/CH22*CI22,1)</f>
        <v>1811846.7000000002</v>
      </c>
      <c r="CO22" s="50">
        <v>200000</v>
      </c>
      <c r="CP22" s="50">
        <v>209</v>
      </c>
      <c r="CQ22" s="50">
        <f>IF(CJ22&lt;26000000,0,IF(CJ22&lt;26500000,4,IF(CJ22&lt;27000000,7,IF(CJ22&lt;27500000,9,IF(CJ22&lt;28000000,11,IF(CJ22&lt;28500000,15,IF(CJ22&lt;29000000,17,IF(CJ22&lt;29500000,20,IF(CJ22&lt;30000000,23,IF(CJ22&lt;30500000,25,IF(CJ22&lt;31000000,27,IF(CJ22&lt;31500000,29,IF(CJ22&lt;32000000,33,IF(CJ22&lt;32500000,37,IF(CJ22&lt;33000000,39,IF(CJ22&lt;33500000,42,IF(CJ22&lt;34000000,45,IF(CJ22&lt;34500000,48,IF(CJ22&lt;35000000,52,52)))))))))))))))))))</f>
        <v>52</v>
      </c>
      <c r="CR22" s="50">
        <f>(CM22+CO22)/209</f>
        <v>23228.803827751195</v>
      </c>
      <c r="CS22" s="52">
        <v>60000000</v>
      </c>
      <c r="CT22" s="53">
        <f>IFERROR(CS22/12,"")</f>
        <v>5000000</v>
      </c>
      <c r="CU22" s="53">
        <f>IFERROR(CT22-CV22-CW22,"")</f>
        <v>3441114.9825783973</v>
      </c>
      <c r="CV22" s="53">
        <f>IFERROR(CT22*(CY22*1.5)/(209+(CY22*1.5)),"")</f>
        <v>1358885.0174216027</v>
      </c>
      <c r="CW22" s="54">
        <v>200000</v>
      </c>
      <c r="CX22" s="54">
        <v>209</v>
      </c>
      <c r="CY22" s="54">
        <v>52</v>
      </c>
      <c r="CZ22" s="55">
        <f>SUM(CX22:CY22)</f>
        <v>261</v>
      </c>
      <c r="DA22" s="55">
        <f>IFERROR((CU22/209)+(CW22-(9620*209*0.01))/209,"")</f>
        <v>17325.402787456445</v>
      </c>
      <c r="DB22" s="56">
        <f>IFERROR((CU22+CW22)/209,"")</f>
        <v>17421.602787456446</v>
      </c>
      <c r="DC22" s="57">
        <v>2023</v>
      </c>
      <c r="DD22" s="58"/>
      <c r="DE22" s="58"/>
      <c r="DF22" s="57"/>
      <c r="DG22" s="59">
        <f>B22</f>
        <v>210401</v>
      </c>
      <c r="DH22" s="58"/>
      <c r="DI22" s="58"/>
      <c r="DJ22" s="60"/>
      <c r="DK22" s="58"/>
      <c r="DL22" s="61"/>
      <c r="DM22" s="24"/>
    </row>
    <row r="23" spans="1:117" ht="15" customHeight="1">
      <c r="A23" s="25">
        <f>ROW()-2</f>
        <v>21</v>
      </c>
      <c r="B23" s="26">
        <v>210403</v>
      </c>
      <c r="C23" s="62" t="s">
        <v>511</v>
      </c>
      <c r="D23" s="27"/>
      <c r="E23" s="27" t="s">
        <v>239</v>
      </c>
      <c r="F23" s="27" t="s">
        <v>196</v>
      </c>
      <c r="G23" s="27" t="s">
        <v>240</v>
      </c>
      <c r="H23" s="27" t="s">
        <v>241</v>
      </c>
      <c r="I23" s="27" t="s">
        <v>455</v>
      </c>
      <c r="J23" s="27" t="str">
        <f>+VLOOKUP($I23,[1]프로젝트현황!$I:$N,5,0)</f>
        <v>경기도</v>
      </c>
      <c r="K23" s="27" t="str">
        <f>+VLOOKUP($I23,[1]프로젝트현황!$I:$N,6,0)</f>
        <v>성남시</v>
      </c>
      <c r="L23" s="28">
        <v>44306</v>
      </c>
      <c r="M23" s="28">
        <v>44306</v>
      </c>
      <c r="N23" s="28"/>
      <c r="O23" s="29"/>
      <c r="P23" s="30" t="s">
        <v>512</v>
      </c>
      <c r="Q23" s="27" t="s">
        <v>513</v>
      </c>
      <c r="R23" s="31" t="str">
        <f>LEFT(Q23,6)</f>
        <v>971214</v>
      </c>
      <c r="S23" s="31" t="str">
        <f>MID($Q23,3,2)</f>
        <v>12</v>
      </c>
      <c r="T23" s="31" t="str">
        <f>IF(OR(MID($Q23,8,1)="1",MID($Q23,8,1)="3"),"남자",IF(OR(MID($Q23,8,1)="2",MID($Q23,8,1)="4"),"여자",""))</f>
        <v>여자</v>
      </c>
      <c r="U23" s="31">
        <f ca="1">YEAR(TODAY())-IF(OR(MID($Q23,8,1)="1",MID($Q23,8,1)="2"),19&amp;LEFT($Q23,2),IF(OR(MID($Q23,8,1)="3",MID($Q23,8,1)="4"),20&amp;LEFT($Q23,2),""))+1</f>
        <v>30</v>
      </c>
      <c r="V23" s="31" t="s">
        <v>200</v>
      </c>
      <c r="W23" s="31" t="s">
        <v>201</v>
      </c>
      <c r="X23" s="27" t="s">
        <v>514</v>
      </c>
      <c r="Y23" s="27"/>
      <c r="Z23" s="27"/>
      <c r="AA23" s="32"/>
      <c r="AB23" s="31" t="s">
        <v>203</v>
      </c>
      <c r="AC23" s="27" t="s">
        <v>515</v>
      </c>
      <c r="AD23" s="33" t="str">
        <f ca="1">QUOTIENT(SUMPRODUCT(LEFT($AE23:$AF23,FIND("년",$AE23:$AF23)-1)*12+MID($AE23:$AF23,FIND("년",$AE23:$AF23)+1,FIND("개월",$AE23:$AF23)-FIND("년",$AE23:$AF23)-1)),12)&amp;"년"&amp;MOD(SUMPRODUCT(LEFT($AE23:$AF23,FIND("년",$AE23:$AF23)-1)*12+MID($AE23:$AF23,FIND("년",$AE23:$AF23)+1,FIND("개월",$AE23:$AF23)-FIND("년",$AE23:$AF23)-1)),12)&amp;"개월"</f>
        <v>8년7개월</v>
      </c>
      <c r="AE23" s="33" t="s">
        <v>516</v>
      </c>
      <c r="AF23" s="34" t="str">
        <f ca="1">DATEDIF($L23,TODAY(),"y")&amp;"년"&amp;DATEDIF($L23,TODAY(),"ym")&amp;"개월"</f>
        <v>4년9개월</v>
      </c>
      <c r="AG23" s="35" t="s">
        <v>517</v>
      </c>
      <c r="AH23" s="35" t="s">
        <v>518</v>
      </c>
      <c r="AI23" s="30" t="s">
        <v>365</v>
      </c>
      <c r="AJ23" s="32">
        <v>42404</v>
      </c>
      <c r="AK23" s="36">
        <f ca="1">VALUE(LEFT($AD23,FIND("년",$AD23)-1))</f>
        <v>8</v>
      </c>
      <c r="AL23" s="31" t="str">
        <f ca="1">IF($AI23="고졸",IF($AK23&lt;=11,"초급",IF($AK23&lt;=14,"중급",IF($AK23&lt;=17,"고급",IF($AK23&gt;=18,"특급")))))</f>
        <v>초급</v>
      </c>
      <c r="AM23" s="31" t="str">
        <f>IF(ISNUMBER(SEARCH("산업기사",$AT23)),IF($AK23&gt;=13,"특급",IF($AK23&gt;=10,"고급",IF($AK23&gt;=7,"중급","초급"))),IF(ISNUMBER(SEARCH("기사",$AR23)),IF($AK23&gt;=10,"특급",IF($AK23&gt;=7,"고급",IF($AK23&gt;=4,"중급","초급"))),"미해당"))</f>
        <v>미해당</v>
      </c>
      <c r="AN23" s="27"/>
      <c r="AO23" s="32"/>
      <c r="AP23" s="27"/>
      <c r="AQ23" s="32"/>
      <c r="AR23" s="27"/>
      <c r="AS23" s="27"/>
      <c r="AT23" s="37"/>
      <c r="AU23" s="27"/>
      <c r="AV23" s="38"/>
      <c r="AW23" s="39"/>
      <c r="AX23" s="39"/>
      <c r="AY23" s="40" t="s">
        <v>251</v>
      </c>
      <c r="AZ23" s="41" t="s">
        <v>252</v>
      </c>
      <c r="BA23" s="30" t="s">
        <v>230</v>
      </c>
      <c r="BB23" s="30" t="s">
        <v>519</v>
      </c>
      <c r="BC23" s="42" t="s">
        <v>254</v>
      </c>
      <c r="BD23" s="42" t="s">
        <v>520</v>
      </c>
      <c r="BE23" s="43" t="s">
        <v>521</v>
      </c>
      <c r="BF23" s="42" t="s">
        <v>234</v>
      </c>
      <c r="BG23" s="42" t="s">
        <v>295</v>
      </c>
      <c r="BH23" s="35" t="s">
        <v>296</v>
      </c>
      <c r="BI23" s="44" t="s">
        <v>522</v>
      </c>
      <c r="BJ23" s="45" t="str">
        <f>IFERROR(VLOOKUP($BG23,[1]프로젝트현황!Y:Z,2,0),"기타")</f>
        <v>동남권</v>
      </c>
      <c r="BK23" s="46" t="str">
        <f>(IF(BF23="","",BF23&amp;" "))&amp;(IF(BG23="","",BG23&amp;" "))&amp;(IF(BH23="","",BH23&amp;" "))&amp;BI23</f>
        <v>경기도 수원시 팔달구 월드컵로369번길 13, 202호 (우만동, 보은맨션)</v>
      </c>
      <c r="BL23" s="47">
        <v>30</v>
      </c>
      <c r="BM23" s="47">
        <v>30</v>
      </c>
      <c r="BN23" s="48">
        <v>31500000</v>
      </c>
      <c r="BO23" s="48">
        <f>BP23*12</f>
        <v>31500093.599999998</v>
      </c>
      <c r="BP23" s="49">
        <f>SUM(BQ23:BS23)</f>
        <v>2625007.7999999998</v>
      </c>
      <c r="BQ23" s="49">
        <f>ROUNDUP(BN23/12*209/(209+BU23*1.5)/BL23*BM23,-1)-BS23</f>
        <v>1972780</v>
      </c>
      <c r="BR23" s="49">
        <f>ROUNDUP(BN23/12*(BU23*1.5)/(209+BU23*1.5)/BL23*BM23,1)</f>
        <v>452227.8</v>
      </c>
      <c r="BS23" s="49">
        <v>200000</v>
      </c>
      <c r="BT23" s="50">
        <v>209</v>
      </c>
      <c r="BU23" s="49">
        <f>IF($BN23="","",
IFERROR(
    IF($BN23&lt;'[1]시간외시간 기준표'!$B$2,0,
        IF($BN23&gt;LOOKUP(9.9E+307,'[1]시간외시간 기준표'!$B$2:$B$999),
            LOOKUP(9.9E+307,'[1]시간외시간 기준표'!$C$2:$C$999),
            LOOKUP($BN23,'[1]시간외시간 기준표'!$B$2:$B$999,'[1]시간외시간 기준표'!$C$2:$C$999)
        )
    ),0)
)</f>
        <v>29</v>
      </c>
      <c r="BV23" s="50">
        <f>(BQ23+BS23)/209</f>
        <v>10396.076555023923</v>
      </c>
      <c r="BW23" s="51">
        <v>30</v>
      </c>
      <c r="BX23" s="51">
        <v>30</v>
      </c>
      <c r="BY23" s="52">
        <v>31500000</v>
      </c>
      <c r="BZ23" s="52">
        <f>CA23*12</f>
        <v>31500115.200000003</v>
      </c>
      <c r="CA23" s="49">
        <f>SUM(CB23:CD23)</f>
        <v>2625009.6</v>
      </c>
      <c r="CB23" s="49">
        <f>ROUNDUP(BY23/12*209/(209+CF23*1.5)/BW23*BX23,-1)-CD23</f>
        <v>1922350</v>
      </c>
      <c r="CC23" s="49">
        <f>ROUNDUP(BY23/12*(CF23*1.5)/(209+CF23*1.5)/BW23*BX23,1)</f>
        <v>502659.6</v>
      </c>
      <c r="CD23" s="49">
        <v>200000</v>
      </c>
      <c r="CE23" s="50">
        <v>209</v>
      </c>
      <c r="CF23" s="49">
        <f>IF(BY23&lt;26000000,0,IF(BY23&lt;26500000,4,IF(BY23&lt;27000000,7,IF(BY23&lt;27500000,9,IF(BY23&lt;28000000,11,IF(BY23&lt;28500000,15,IF(BY23&lt;29000000,17,IF(BY23&lt;29500000,20,IF(BY23&lt;30000000,23,IF(BY23&lt;30500000,25,IF(BY23&lt;31000000,27,IF(BY23&lt;31500000,29,IF(BY23&lt;32000000,33,IF(BY23&lt;32500000,37,IF(BY23&lt;33000000,39,IF(BY23&lt;33500000,42,IF(BY23&lt;34000000,45,IF(BY23&lt;34500000,48,IF(BY23&lt;35000000,52,52)))))))))))))))))))</f>
        <v>33</v>
      </c>
      <c r="CG23" s="50">
        <f>(CB23+CD23)/209</f>
        <v>10154.784688995216</v>
      </c>
      <c r="CH23" s="51">
        <v>30</v>
      </c>
      <c r="CI23" s="51">
        <v>30</v>
      </c>
      <c r="CJ23" s="52">
        <v>30700000</v>
      </c>
      <c r="CK23" s="52">
        <f>CL23*12</f>
        <v>30700087.200000003</v>
      </c>
      <c r="CL23" s="49">
        <f>SUM(CM23:CO23)</f>
        <v>2558340.6</v>
      </c>
      <c r="CM23" s="49">
        <f>ROUNDUP(CJ23/12*209/(209+CQ23*1.5)/CH23*CI23,-1)-CO23</f>
        <v>1943060</v>
      </c>
      <c r="CN23" s="49">
        <f>ROUNDUP(CJ23/12*(CQ23*1.5)/(209+CQ23*1.5)/CH23*CI23,1)</f>
        <v>415280.6</v>
      </c>
      <c r="CO23" s="50">
        <v>200000</v>
      </c>
      <c r="CP23" s="50">
        <v>209</v>
      </c>
      <c r="CQ23" s="50">
        <f>IF(CJ23&lt;26000000,0,IF(CJ23&lt;26500000,4,IF(CJ23&lt;27000000,7,IF(CJ23&lt;27500000,9,IF(CJ23&lt;28000000,11,IF(CJ23&lt;28500000,15,IF(CJ23&lt;29000000,17,IF(CJ23&lt;29500000,20,IF(CJ23&lt;30000000,23,IF(CJ23&lt;30500000,25,IF(CJ23&lt;31000000,27,IF(CJ23&lt;31500000,29,IF(CJ23&lt;32000000,33,IF(CJ23&lt;32500000,37,IF(CJ23&lt;33000000,39,IF(CJ23&lt;33500000,42,IF(CJ23&lt;34000000,45,IF(CJ23&lt;34500000,48,IF(CJ23&lt;35000000,52,52)))))))))))))))))))</f>
        <v>27</v>
      </c>
      <c r="CR23" s="50">
        <f>(CM23+CO23)/209</f>
        <v>10253.875598086124</v>
      </c>
      <c r="CS23" s="52">
        <v>29500000</v>
      </c>
      <c r="CT23" s="53">
        <f>IFERROR(CS23/12,"")</f>
        <v>2458333.3333333335</v>
      </c>
      <c r="CU23" s="53">
        <f>IFERROR(CT23-CV23-CW23,"")</f>
        <v>1834818.481848185</v>
      </c>
      <c r="CV23" s="53">
        <f>IFERROR(CT23*(CY23*1.5)/(209+(CY23*1.5)),"")</f>
        <v>423514.85148514854</v>
      </c>
      <c r="CW23" s="54">
        <v>200000</v>
      </c>
      <c r="CX23" s="54">
        <v>209</v>
      </c>
      <c r="CY23" s="54">
        <v>29</v>
      </c>
      <c r="CZ23" s="55">
        <f>SUM(CX23:CY23)</f>
        <v>238</v>
      </c>
      <c r="DA23" s="55">
        <f>IFERROR((CU23/209)+(CW23-(9620*209*0.01))/209,"")</f>
        <v>9639.7735973597373</v>
      </c>
      <c r="DB23" s="56">
        <f>IFERROR((CU23+CW23)/209,"")</f>
        <v>9735.9735973597362</v>
      </c>
      <c r="DC23" s="57">
        <v>2023</v>
      </c>
      <c r="DD23" s="58"/>
      <c r="DE23" s="58"/>
      <c r="DF23" s="57"/>
      <c r="DG23" s="59">
        <f>B23</f>
        <v>210403</v>
      </c>
      <c r="DH23" s="58"/>
      <c r="DI23" s="58"/>
      <c r="DJ23" s="60"/>
      <c r="DK23" s="58"/>
      <c r="DL23" s="61"/>
      <c r="DM23" s="24"/>
    </row>
    <row r="24" spans="1:117" ht="15" customHeight="1">
      <c r="A24" s="25">
        <f>ROW()-2</f>
        <v>22</v>
      </c>
      <c r="B24" s="26">
        <v>210503</v>
      </c>
      <c r="C24" s="62" t="s">
        <v>523</v>
      </c>
      <c r="D24" s="27"/>
      <c r="E24" s="27" t="s">
        <v>283</v>
      </c>
      <c r="F24" s="27" t="s">
        <v>196</v>
      </c>
      <c r="G24" s="27" t="s">
        <v>240</v>
      </c>
      <c r="H24" s="27" t="s">
        <v>217</v>
      </c>
      <c r="I24" s="27" t="s">
        <v>432</v>
      </c>
      <c r="J24" s="27" t="str">
        <f>+VLOOKUP($I24,[1]프로젝트현황!$I:$N,5,0)</f>
        <v>서울시</v>
      </c>
      <c r="K24" s="27" t="str">
        <f>+VLOOKUP($I24,[1]프로젝트현황!$I:$N,6,0)</f>
        <v>중구</v>
      </c>
      <c r="L24" s="28">
        <v>44337</v>
      </c>
      <c r="M24" s="28">
        <v>44470</v>
      </c>
      <c r="N24" s="28"/>
      <c r="O24" s="29"/>
      <c r="P24" s="30" t="s">
        <v>524</v>
      </c>
      <c r="Q24" s="27" t="s">
        <v>525</v>
      </c>
      <c r="R24" s="31" t="str">
        <f>LEFT(Q24,6)</f>
        <v>741221</v>
      </c>
      <c r="S24" s="31" t="str">
        <f>MID($Q24,3,2)</f>
        <v>12</v>
      </c>
      <c r="T24" s="31" t="str">
        <f>IF(OR(MID($Q24,8,1)="1",MID($Q24,8,1)="3"),"남자",IF(OR(MID($Q24,8,1)="2",MID($Q24,8,1)="4"),"여자",""))</f>
        <v>남자</v>
      </c>
      <c r="U24" s="31">
        <f ca="1">YEAR(TODAY())-IF(OR(MID($Q24,8,1)="1",MID($Q24,8,1)="2"),19&amp;LEFT($Q24,2),IF(OR(MID($Q24,8,1)="3",MID($Q24,8,1)="4"),20&amp;LEFT($Q24,2),""))+1</f>
        <v>53</v>
      </c>
      <c r="V24" s="31" t="s">
        <v>200</v>
      </c>
      <c r="W24" s="31" t="s">
        <v>201</v>
      </c>
      <c r="X24" s="27" t="s">
        <v>526</v>
      </c>
      <c r="Y24" s="27"/>
      <c r="Z24" s="27" t="s">
        <v>266</v>
      </c>
      <c r="AA24" s="32"/>
      <c r="AB24" s="31" t="s">
        <v>203</v>
      </c>
      <c r="AC24" s="27" t="s">
        <v>527</v>
      </c>
      <c r="AD24" s="33" t="str">
        <f ca="1">QUOTIENT(SUMPRODUCT(LEFT($AE24:$AF24,FIND("년",$AE24:$AF24)-1)*12+MID($AE24:$AF24,FIND("년",$AE24:$AF24)+1,FIND("개월",$AE24:$AF24)-FIND("년",$AE24:$AF24)-1)),12)&amp;"년"&amp;MOD(SUMPRODUCT(LEFT($AE24:$AF24,FIND("년",$AE24:$AF24)-1)*12+MID($AE24:$AF24,FIND("년",$AE24:$AF24)+1,FIND("개월",$AE24:$AF24)-FIND("년",$AE24:$AF24)-1)),12)&amp;"개월"</f>
        <v>20년9개월</v>
      </c>
      <c r="AE24" s="33" t="s">
        <v>528</v>
      </c>
      <c r="AF24" s="34" t="str">
        <f ca="1">DATEDIF($L24,TODAY(),"y")&amp;"년"&amp;DATEDIF($L24,TODAY(),"ym")&amp;"개월"</f>
        <v>4년8개월</v>
      </c>
      <c r="AG24" s="35" t="s">
        <v>529</v>
      </c>
      <c r="AH24" s="35"/>
      <c r="AI24" s="30" t="s">
        <v>365</v>
      </c>
      <c r="AJ24" s="32">
        <v>34013</v>
      </c>
      <c r="AK24" s="36">
        <f ca="1">VALUE(LEFT($AD24,FIND("년",$AD24)-1))</f>
        <v>20</v>
      </c>
      <c r="AL24" s="31" t="str">
        <f ca="1">IF($AI24="고졸",IF($AK24&lt;=11,"초급",IF($AK24&lt;=14,"중급",IF($AK24&lt;=17,"고급",IF($AK24&gt;=18,"특급")))))</f>
        <v>특급</v>
      </c>
      <c r="AM24" s="31" t="str">
        <f>IF(ISNUMBER(SEARCH("산업기사",$AT24)),IF($AK24&gt;=13,"특급",IF($AK24&gt;=10,"고급",IF($AK24&gt;=7,"중급","초급"))),IF(ISNUMBER(SEARCH("기사",$AR24)),IF($AK24&gt;=10,"특급",IF($AK24&gt;=7,"고급",IF($AK24&gt;=4,"중급","초급"))),"미해당"))</f>
        <v>미해당</v>
      </c>
      <c r="AN24" s="27"/>
      <c r="AO24" s="32"/>
      <c r="AP24" s="27"/>
      <c r="AQ24" s="32"/>
      <c r="AR24" s="27"/>
      <c r="AS24" s="27"/>
      <c r="AT24" s="37"/>
      <c r="AU24" s="27"/>
      <c r="AV24" s="38" t="s">
        <v>530</v>
      </c>
      <c r="AW24" s="39" t="s">
        <v>531</v>
      </c>
      <c r="AX24" s="39">
        <v>1991.1</v>
      </c>
      <c r="AY24" s="40" t="s">
        <v>251</v>
      </c>
      <c r="AZ24" s="41" t="s">
        <v>252</v>
      </c>
      <c r="BA24" s="30" t="s">
        <v>230</v>
      </c>
      <c r="BB24" s="30" t="s">
        <v>532</v>
      </c>
      <c r="BC24" s="42" t="s">
        <v>254</v>
      </c>
      <c r="BD24" s="42" t="s">
        <v>533</v>
      </c>
      <c r="BE24" s="43" t="s">
        <v>534</v>
      </c>
      <c r="BF24" s="42" t="s">
        <v>211</v>
      </c>
      <c r="BG24" s="42" t="s">
        <v>535</v>
      </c>
      <c r="BH24" s="35"/>
      <c r="BI24" s="44" t="s">
        <v>536</v>
      </c>
      <c r="BJ24" s="45" t="str">
        <f>IFERROR(VLOOKUP($BG24,[1]프로젝트현황!Y:Z,2,0),"기타")</f>
        <v>서남권</v>
      </c>
      <c r="BK24" s="46" t="str">
        <f>(IF(BF24="","",BF24&amp;" "))&amp;(IF(BG24="","",BG24&amp;" "))&amp;(IF(BH24="","",BH24&amp;" "))&amp;BI24</f>
        <v>서울시 영등포구 도신로 64가길 1 1층</v>
      </c>
      <c r="BL24" s="47">
        <v>30</v>
      </c>
      <c r="BM24" s="47">
        <v>30</v>
      </c>
      <c r="BN24" s="48">
        <v>42000000</v>
      </c>
      <c r="BO24" s="48">
        <f>BP24*12</f>
        <v>42000115.200000003</v>
      </c>
      <c r="BP24" s="49">
        <f>SUM(BQ24:BS24)</f>
        <v>3500009.6</v>
      </c>
      <c r="BQ24" s="49">
        <f>ROUNDUP(BN24/12*209/(209+BU24*1.5)/BL24*BM24,-1)-BS24</f>
        <v>2348790</v>
      </c>
      <c r="BR24" s="49">
        <f>ROUNDUP(BN24/12*(BU24*1.5)/(209+BU24*1.5)/BL24*BM24,1)</f>
        <v>951219.6</v>
      </c>
      <c r="BS24" s="49">
        <v>200000</v>
      </c>
      <c r="BT24" s="50">
        <v>209</v>
      </c>
      <c r="BU24" s="49">
        <f>IF($BN24="","",
IFERROR(
    IF($BN24&lt;'[1]시간외시간 기준표'!$B$2,0,
        IF($BN24&gt;LOOKUP(9.9E+307,'[1]시간외시간 기준표'!$B$2:$B$999),
            LOOKUP(9.9E+307,'[1]시간외시간 기준표'!$C$2:$C$999),
            LOOKUP($BN24,'[1]시간외시간 기준표'!$B$2:$B$999,'[1]시간외시간 기준표'!$C$2:$C$999)
        )
    ),0)
)</f>
        <v>52</v>
      </c>
      <c r="BV24" s="50">
        <f>(BQ24+BS24)/209</f>
        <v>12195.167464114833</v>
      </c>
      <c r="BW24" s="51">
        <v>30</v>
      </c>
      <c r="BX24" s="51">
        <v>30</v>
      </c>
      <c r="BY24" s="52">
        <v>42000000</v>
      </c>
      <c r="BZ24" s="52">
        <f>CA24*12</f>
        <v>42000115.200000003</v>
      </c>
      <c r="CA24" s="49">
        <f>SUM(CB24:CD24)</f>
        <v>3500009.6</v>
      </c>
      <c r="CB24" s="49">
        <f>ROUNDUP(BY24/12*209/(209+CF24*1.5)/BW24*BX24,-1)-CD24</f>
        <v>2348790</v>
      </c>
      <c r="CC24" s="49">
        <f>ROUNDUP(BY24/12*(CF24*1.5)/(209+CF24*1.5)/BW24*BX24,1)</f>
        <v>951219.6</v>
      </c>
      <c r="CD24" s="49">
        <v>200000</v>
      </c>
      <c r="CE24" s="50">
        <v>209</v>
      </c>
      <c r="CF24" s="49">
        <f>IF(BY24&lt;26000000,0,IF(BY24&lt;26500000,4,IF(BY24&lt;27000000,7,IF(BY24&lt;27500000,9,IF(BY24&lt;28000000,11,IF(BY24&lt;28500000,15,IF(BY24&lt;29000000,17,IF(BY24&lt;29500000,20,IF(BY24&lt;30000000,23,IF(BY24&lt;30500000,25,IF(BY24&lt;31000000,27,IF(BY24&lt;31500000,29,IF(BY24&lt;32000000,33,IF(BY24&lt;32500000,37,IF(BY24&lt;33000000,39,IF(BY24&lt;33500000,42,IF(BY24&lt;34000000,45,IF(BY24&lt;34500000,48,IF(BY24&lt;35000000,52,52)))))))))))))))))))</f>
        <v>52</v>
      </c>
      <c r="CG24" s="50">
        <f>(CB24+CD24)/209</f>
        <v>12195.167464114833</v>
      </c>
      <c r="CH24" s="51">
        <v>30</v>
      </c>
      <c r="CI24" s="51">
        <v>30</v>
      </c>
      <c r="CJ24" s="52">
        <v>41200000</v>
      </c>
      <c r="CK24" s="52">
        <f>CL24*12</f>
        <v>41200093.200000003</v>
      </c>
      <c r="CL24" s="49">
        <f>SUM(CM24:CO24)</f>
        <v>3433341.1</v>
      </c>
      <c r="CM24" s="49">
        <f>ROUNDUP(CJ24/12*209/(209+CQ24*1.5)/CH24*CI24,-1)-CO24</f>
        <v>2300240</v>
      </c>
      <c r="CN24" s="49">
        <f>ROUNDUP(CJ24/12*(CQ24*1.5)/(209+CQ24*1.5)/CH24*CI24,1)</f>
        <v>933101.1</v>
      </c>
      <c r="CO24" s="50">
        <v>200000</v>
      </c>
      <c r="CP24" s="50">
        <v>209</v>
      </c>
      <c r="CQ24" s="50">
        <f>IF(CJ24&lt;26000000,0,IF(CJ24&lt;26500000,4,IF(CJ24&lt;27000000,7,IF(CJ24&lt;27500000,9,IF(CJ24&lt;28000000,11,IF(CJ24&lt;28500000,15,IF(CJ24&lt;29000000,17,IF(CJ24&lt;29500000,20,IF(CJ24&lt;30000000,23,IF(CJ24&lt;30500000,25,IF(CJ24&lt;31000000,27,IF(CJ24&lt;31500000,29,IF(CJ24&lt;32000000,33,IF(CJ24&lt;32500000,37,IF(CJ24&lt;33000000,39,IF(CJ24&lt;33500000,42,IF(CJ24&lt;34000000,45,IF(CJ24&lt;34500000,48,IF(CJ24&lt;35000000,52,52)))))))))))))))))))</f>
        <v>52</v>
      </c>
      <c r="CR24" s="50">
        <f>(CM24+CO24)/209</f>
        <v>11962.870813397129</v>
      </c>
      <c r="CS24" s="52">
        <v>40000000</v>
      </c>
      <c r="CT24" s="53">
        <f>IFERROR(CS24/12,"")</f>
        <v>3333333.3333333335</v>
      </c>
      <c r="CU24" s="53">
        <f>IFERROR(CT24-CV24-CW24,"")</f>
        <v>2227409.9883855982</v>
      </c>
      <c r="CV24" s="53">
        <f>IFERROR(CT24*(CY24*1.5)/(209+(CY24*1.5)),"")</f>
        <v>905923.3449477352</v>
      </c>
      <c r="CW24" s="54">
        <v>200000</v>
      </c>
      <c r="CX24" s="54">
        <v>209</v>
      </c>
      <c r="CY24" s="54">
        <v>52</v>
      </c>
      <c r="CZ24" s="55">
        <f>SUM(CX24:CY24)</f>
        <v>261</v>
      </c>
      <c r="DA24" s="55">
        <f>IFERROR((CU24/209)+(CW24-(9620*209*0.01))/209,"")</f>
        <v>11518.201858304299</v>
      </c>
      <c r="DB24" s="56">
        <f>IFERROR((CU24+CW24)/209,"")</f>
        <v>11614.401858304298</v>
      </c>
      <c r="DC24" s="57">
        <v>2023</v>
      </c>
      <c r="DD24" s="58"/>
      <c r="DE24" s="58"/>
      <c r="DF24" s="57"/>
      <c r="DG24" s="59">
        <f>B24</f>
        <v>210503</v>
      </c>
      <c r="DH24" s="58"/>
      <c r="DI24" s="58"/>
      <c r="DJ24" s="60"/>
      <c r="DK24" s="58"/>
      <c r="DL24" s="61"/>
      <c r="DM24" s="24"/>
    </row>
    <row r="25" spans="1:117" ht="15" customHeight="1">
      <c r="A25" s="25">
        <f>ROW()-2</f>
        <v>23</v>
      </c>
      <c r="B25" s="26">
        <v>210504</v>
      </c>
      <c r="C25" s="62" t="s">
        <v>537</v>
      </c>
      <c r="D25" s="27" t="s">
        <v>282</v>
      </c>
      <c r="E25" s="27" t="s">
        <v>239</v>
      </c>
      <c r="F25" s="27" t="s">
        <v>196</v>
      </c>
      <c r="G25" s="27" t="s">
        <v>240</v>
      </c>
      <c r="H25" s="27" t="s">
        <v>241</v>
      </c>
      <c r="I25" s="27" t="s">
        <v>538</v>
      </c>
      <c r="J25" s="27" t="str">
        <f>+VLOOKUP($I25,[1]프로젝트현황!$I:$N,5,0)</f>
        <v>서울시</v>
      </c>
      <c r="K25" s="27" t="str">
        <f>+VLOOKUP($I25,[1]프로젝트현황!$I:$N,6,0)</f>
        <v>금천구</v>
      </c>
      <c r="L25" s="28">
        <v>44347</v>
      </c>
      <c r="M25" s="28">
        <v>44347</v>
      </c>
      <c r="N25" s="28"/>
      <c r="O25" s="29"/>
      <c r="P25" s="30" t="s">
        <v>539</v>
      </c>
      <c r="Q25" s="27" t="s">
        <v>540</v>
      </c>
      <c r="R25" s="31" t="str">
        <f>LEFT(Q25,6)</f>
        <v>970415</v>
      </c>
      <c r="S25" s="31" t="str">
        <f>MID($Q25,3,2)</f>
        <v>04</v>
      </c>
      <c r="T25" s="31" t="str">
        <f>IF(OR(MID($Q25,8,1)="1",MID($Q25,8,1)="3"),"남자",IF(OR(MID($Q25,8,1)="2",MID($Q25,8,1)="4"),"여자",""))</f>
        <v>남자</v>
      </c>
      <c r="U25" s="31">
        <f ca="1">YEAR(TODAY())-IF(OR(MID($Q25,8,1)="1",MID($Q25,8,1)="2"),19&amp;LEFT($Q25,2),IF(OR(MID($Q25,8,1)="3",MID($Q25,8,1)="4"),20&amp;LEFT($Q25,2),""))+1</f>
        <v>30</v>
      </c>
      <c r="V25" s="31" t="s">
        <v>200</v>
      </c>
      <c r="W25" s="31" t="s">
        <v>201</v>
      </c>
      <c r="X25" s="27" t="s">
        <v>541</v>
      </c>
      <c r="Y25" s="27"/>
      <c r="Z25" s="27" t="s">
        <v>266</v>
      </c>
      <c r="AA25" s="32"/>
      <c r="AB25" s="31" t="s">
        <v>203</v>
      </c>
      <c r="AC25" s="27" t="s">
        <v>542</v>
      </c>
      <c r="AD25" s="33" t="str">
        <f ca="1">QUOTIENT(SUMPRODUCT(LEFT($AE25:$AF25,FIND("년",$AE25:$AF25)-1)*12+MID($AE25:$AF25,FIND("년",$AE25:$AF25)+1,FIND("개월",$AE25:$AF25)-FIND("년",$AE25:$AF25)-1)),12)&amp;"년"&amp;MOD(SUMPRODUCT(LEFT($AE25:$AF25,FIND("년",$AE25:$AF25)-1)*12+MID($AE25:$AF25,FIND("년",$AE25:$AF25)+1,FIND("개월",$AE25:$AF25)-FIND("년",$AE25:$AF25)-1)),12)&amp;"개월"</f>
        <v>4년8개월</v>
      </c>
      <c r="AE25" s="33" t="s">
        <v>543</v>
      </c>
      <c r="AF25" s="34" t="str">
        <f ca="1">DATEDIF($L25,TODAY(),"y")&amp;"년"&amp;DATEDIF($L25,TODAY(),"ym")&amp;"개월"</f>
        <v>4년8개월</v>
      </c>
      <c r="AG25" s="35" t="s">
        <v>544</v>
      </c>
      <c r="AH25" s="35" t="s">
        <v>545</v>
      </c>
      <c r="AI25" s="30" t="s">
        <v>205</v>
      </c>
      <c r="AJ25" s="32">
        <v>44243</v>
      </c>
      <c r="AK25" s="36">
        <f ca="1">VALUE(LEFT($AD25,FIND("년",$AD25)-1))</f>
        <v>4</v>
      </c>
      <c r="AL25" s="31" t="str">
        <f ca="1">IF($AI25="전문학사",IF($AK25&lt;=8,"초급",IF($AK25&lt;12,"중급",IF($AK25&lt;15,"고급",IF($AK25&gt;=15,"특급")))))</f>
        <v>초급</v>
      </c>
      <c r="AM25" s="31" t="str">
        <f>IF(ISNUMBER(SEARCH("산업기사",$AT25)),IF($AK25&gt;=13,"특급",IF($AK25&gt;=10,"고급",IF($AK25&gt;=7,"중급","초급"))),IF(ISNUMBER(SEARCH("기사",$AR25)),IF($AK25&gt;=10,"특급",IF($AK25&gt;=7,"고급",IF($AK25&gt;=4,"중급","초급"))),"미해당"))</f>
        <v>미해당</v>
      </c>
      <c r="AN25" s="27"/>
      <c r="AO25" s="32"/>
      <c r="AP25" s="27"/>
      <c r="AQ25" s="32"/>
      <c r="AR25" s="27"/>
      <c r="AS25" s="27"/>
      <c r="AT25" s="37"/>
      <c r="AU25" s="27"/>
      <c r="AV25" s="38"/>
      <c r="AW25" s="39"/>
      <c r="AX25" s="39"/>
      <c r="AY25" s="40" t="s">
        <v>251</v>
      </c>
      <c r="AZ25" s="41" t="s">
        <v>252</v>
      </c>
      <c r="BA25" s="30" t="s">
        <v>230</v>
      </c>
      <c r="BB25" s="30" t="s">
        <v>546</v>
      </c>
      <c r="BC25" s="42" t="s">
        <v>254</v>
      </c>
      <c r="BD25" s="42" t="s">
        <v>547</v>
      </c>
      <c r="BE25" s="43" t="s">
        <v>548</v>
      </c>
      <c r="BF25" s="42" t="s">
        <v>211</v>
      </c>
      <c r="BG25" s="42" t="s">
        <v>371</v>
      </c>
      <c r="BH25" s="35"/>
      <c r="BI25" s="44" t="s">
        <v>549</v>
      </c>
      <c r="BJ25" s="45" t="str">
        <f>IFERROR(VLOOKUP($BG25,[1]프로젝트현황!Y:Z,2,0),"기타")</f>
        <v>서남권</v>
      </c>
      <c r="BK25" s="46" t="str">
        <f>(IF(BF25="","",BF25&amp;" "))&amp;(IF(BG25="","",BG25&amp;" "))&amp;(IF(BH25="","",BH25&amp;" "))&amp;BI25</f>
        <v>서울시 관악구 남부순환로 1430 신림푸르지오 114동 704호</v>
      </c>
      <c r="BL25" s="47">
        <v>30</v>
      </c>
      <c r="BM25" s="47">
        <v>30</v>
      </c>
      <c r="BN25" s="48">
        <v>34000000</v>
      </c>
      <c r="BO25" s="48">
        <f>BP25*12</f>
        <v>34000082.400000006</v>
      </c>
      <c r="BP25" s="49">
        <f>SUM(BQ25:BS25)</f>
        <v>2833340.2</v>
      </c>
      <c r="BQ25" s="49">
        <f>ROUNDUP(BN25/12*209/(209+BU25*1.5)/BL25*BM25,-1)-BS25</f>
        <v>1965150</v>
      </c>
      <c r="BR25" s="49">
        <f>ROUNDUP(BN25/12*(BU25*1.5)/(209+BU25*1.5)/BL25*BM25,1)</f>
        <v>668190.19999999995</v>
      </c>
      <c r="BS25" s="49">
        <v>200000</v>
      </c>
      <c r="BT25" s="50">
        <v>209</v>
      </c>
      <c r="BU25" s="49">
        <f>IF($BN25="","",
IFERROR(
    IF($BN25&lt;'[1]시간외시간 기준표'!$B$2,0,
        IF($BN25&gt;LOOKUP(9.9E+307,'[1]시간외시간 기준표'!$B$2:$B$999),
            LOOKUP(9.9E+307,'[1]시간외시간 기준표'!$C$2:$C$999),
            LOOKUP($BN25,'[1]시간외시간 기준표'!$B$2:$B$999,'[1]시간외시간 기준표'!$C$2:$C$999)
        )
    ),0)
)</f>
        <v>43</v>
      </c>
      <c r="BV25" s="50">
        <f>(BQ25+BS25)/209</f>
        <v>10359.56937799043</v>
      </c>
      <c r="BW25" s="51">
        <v>30</v>
      </c>
      <c r="BX25" s="51">
        <v>30</v>
      </c>
      <c r="BY25" s="52">
        <v>34000000</v>
      </c>
      <c r="BZ25" s="52">
        <f>CA25*12</f>
        <v>34000064.400000006</v>
      </c>
      <c r="CA25" s="49">
        <f>SUM(CB25:CD25)</f>
        <v>2833338.7</v>
      </c>
      <c r="CB25" s="49">
        <f>ROUNDUP(BY25/12*209/(209+CF25*1.5)/BW25*BX25,-1)-CD25</f>
        <v>1907360</v>
      </c>
      <c r="CC25" s="49">
        <f>ROUNDUP(BY25/12*(CF25*1.5)/(209+CF25*1.5)/BW25*BX25,1)</f>
        <v>725978.7</v>
      </c>
      <c r="CD25" s="49">
        <v>200000</v>
      </c>
      <c r="CE25" s="50">
        <v>209</v>
      </c>
      <c r="CF25" s="49">
        <f>IF(BY25&lt;26000000,0,IF(BY25&lt;26500000,4,IF(BY25&lt;27000000,7,IF(BY25&lt;27500000,9,IF(BY25&lt;28000000,11,IF(BY25&lt;28500000,15,IF(BY25&lt;29000000,17,IF(BY25&lt;29500000,20,IF(BY25&lt;30000000,23,IF(BY25&lt;30500000,25,IF(BY25&lt;31000000,27,IF(BY25&lt;31500000,29,IF(BY25&lt;32000000,33,IF(BY25&lt;32500000,37,IF(BY25&lt;33000000,39,IF(BY25&lt;33500000,42,IF(BY25&lt;34000000,45,IF(BY25&lt;34500000,48,IF(BY25&lt;35000000,52,52)))))))))))))))))))</f>
        <v>48</v>
      </c>
      <c r="CG25" s="50">
        <f>(CB25+CD25)/209</f>
        <v>10083.062200956938</v>
      </c>
      <c r="CH25" s="51">
        <v>30</v>
      </c>
      <c r="CI25" s="51">
        <v>30</v>
      </c>
      <c r="CJ25" s="52">
        <v>32000000</v>
      </c>
      <c r="CK25" s="52">
        <f>CL25*12</f>
        <v>32000116.799999997</v>
      </c>
      <c r="CL25" s="49">
        <f>SUM(CM25:CO25)</f>
        <v>2666676.4</v>
      </c>
      <c r="CM25" s="49">
        <f>ROUNDUP(CJ25/12*209/(209+CQ25*1.5)/CH25*CI25,-1)-CO25</f>
        <v>1907130</v>
      </c>
      <c r="CN25" s="49">
        <f>ROUNDUP(CJ25/12*(CQ25*1.5)/(209+CQ25*1.5)/CH25*CI25,1)</f>
        <v>559546.4</v>
      </c>
      <c r="CO25" s="50">
        <v>200000</v>
      </c>
      <c r="CP25" s="50">
        <v>209</v>
      </c>
      <c r="CQ25" s="50">
        <f>IF(CJ25&lt;26000000,0,IF(CJ25&lt;26500000,4,IF(CJ25&lt;27000000,7,IF(CJ25&lt;27500000,9,IF(CJ25&lt;28000000,11,IF(CJ25&lt;28500000,15,IF(CJ25&lt;29000000,17,IF(CJ25&lt;29500000,20,IF(CJ25&lt;30000000,23,IF(CJ25&lt;30500000,25,IF(CJ25&lt;31000000,27,IF(CJ25&lt;31500000,29,IF(CJ25&lt;32000000,33,IF(CJ25&lt;32500000,37,IF(CJ25&lt;33000000,39,IF(CJ25&lt;33500000,42,IF(CJ25&lt;34000000,45,IF(CJ25&lt;34500000,48,IF(CJ25&lt;35000000,52,52)))))))))))))))))))</f>
        <v>37</v>
      </c>
      <c r="CR25" s="50">
        <f>(CM25+CO25)/209</f>
        <v>10081.961722488039</v>
      </c>
      <c r="CS25" s="52">
        <v>28500000</v>
      </c>
      <c r="CT25" s="53">
        <f>IFERROR(CS25/12,"")</f>
        <v>2375000</v>
      </c>
      <c r="CU25" s="53">
        <f>IFERROR(CT25-CV25-CW25,"")</f>
        <v>1838501.0266940452</v>
      </c>
      <c r="CV25" s="53">
        <f>IFERROR(CT25*(CY25*1.5)/(209+(CY25*1.5)),"")</f>
        <v>336498.97330595483</v>
      </c>
      <c r="CW25" s="54">
        <v>200000</v>
      </c>
      <c r="CX25" s="54">
        <v>209</v>
      </c>
      <c r="CY25" s="54">
        <v>23</v>
      </c>
      <c r="CZ25" s="55">
        <f>SUM(CX25:CY25)</f>
        <v>232</v>
      </c>
      <c r="DA25" s="55">
        <f>IFERROR((CU25/209)+(CW25-(9620*209*0.01))/209,"")</f>
        <v>9657.3934291581099</v>
      </c>
      <c r="DB25" s="56">
        <f>IFERROR((CU25+CW25)/209,"")</f>
        <v>9753.5934291581107</v>
      </c>
      <c r="DC25" s="57">
        <v>2023</v>
      </c>
      <c r="DD25" s="58"/>
      <c r="DE25" s="58"/>
      <c r="DF25" s="57"/>
      <c r="DG25" s="59">
        <f>B25</f>
        <v>210504</v>
      </c>
      <c r="DH25" s="58"/>
      <c r="DI25" s="58"/>
      <c r="DJ25" s="60"/>
      <c r="DK25" s="58"/>
      <c r="DL25" s="61"/>
      <c r="DM25" s="24"/>
    </row>
    <row r="26" spans="1:117" ht="15" customHeight="1">
      <c r="A26" s="25">
        <f>ROW()-2</f>
        <v>24</v>
      </c>
      <c r="B26" s="26">
        <v>210703</v>
      </c>
      <c r="C26" s="62" t="s">
        <v>550</v>
      </c>
      <c r="D26" s="27"/>
      <c r="E26" s="27" t="s">
        <v>239</v>
      </c>
      <c r="F26" s="27" t="s">
        <v>196</v>
      </c>
      <c r="G26" s="27" t="s">
        <v>216</v>
      </c>
      <c r="H26" s="27" t="s">
        <v>198</v>
      </c>
      <c r="I26" s="27" t="s">
        <v>551</v>
      </c>
      <c r="J26" s="27" t="str">
        <f>+VLOOKUP($I26,[1]프로젝트현황!$I:$N,5,0)</f>
        <v>서울시</v>
      </c>
      <c r="K26" s="27" t="str">
        <f>+VLOOKUP($I26,[1]프로젝트현황!$I:$N,6,0)</f>
        <v>강남구</v>
      </c>
      <c r="L26" s="28">
        <v>44378</v>
      </c>
      <c r="M26" s="28">
        <v>44378</v>
      </c>
      <c r="N26" s="28"/>
      <c r="O26" s="29"/>
      <c r="P26" s="30" t="s">
        <v>552</v>
      </c>
      <c r="Q26" s="27" t="s">
        <v>553</v>
      </c>
      <c r="R26" s="31" t="str">
        <f>LEFT(Q26,6)</f>
        <v>920917</v>
      </c>
      <c r="S26" s="31" t="str">
        <f>MID($Q26,3,2)</f>
        <v>09</v>
      </c>
      <c r="T26" s="31" t="str">
        <f>IF(OR(MID($Q26,8,1)="1",MID($Q26,8,1)="3"),"남자",IF(OR(MID($Q26,8,1)="2",MID($Q26,8,1)="4"),"여자",""))</f>
        <v>여자</v>
      </c>
      <c r="U26" s="31">
        <f ca="1">YEAR(TODAY())-IF(OR(MID($Q26,8,1)="1",MID($Q26,8,1)="2"),19&amp;LEFT($Q26,2),IF(OR(MID($Q26,8,1)="3",MID($Q26,8,1)="4"),20&amp;LEFT($Q26,2),""))+1</f>
        <v>35</v>
      </c>
      <c r="V26" s="31" t="s">
        <v>200</v>
      </c>
      <c r="W26" s="31" t="s">
        <v>201</v>
      </c>
      <c r="X26" s="27" t="s">
        <v>554</v>
      </c>
      <c r="Y26" s="27"/>
      <c r="Z26" s="27" t="s">
        <v>222</v>
      </c>
      <c r="AA26" s="32">
        <v>45072</v>
      </c>
      <c r="AB26" s="31" t="s">
        <v>203</v>
      </c>
      <c r="AC26" s="27" t="s">
        <v>555</v>
      </c>
      <c r="AD26" s="33" t="str">
        <f ca="1">QUOTIENT(SUMPRODUCT(LEFT($AE26:$AF26,FIND("년",$AE26:$AF26)-1)*12+MID($AE26:$AF26,FIND("년",$AE26:$AF26)+1,FIND("개월",$AE26:$AF26)-FIND("년",$AE26:$AF26)-1)),12)&amp;"년"&amp;MOD(SUMPRODUCT(LEFT($AE26:$AF26,FIND("년",$AE26:$AF26)-1)*12+MID($AE26:$AF26,FIND("년",$AE26:$AF26)+1,FIND("개월",$AE26:$AF26)-FIND("년",$AE26:$AF26)-1)),12)&amp;"개월"</f>
        <v>4년7개월</v>
      </c>
      <c r="AE26" s="33" t="s">
        <v>543</v>
      </c>
      <c r="AF26" s="34" t="str">
        <f ca="1">DATEDIF($L26,TODAY(),"y")&amp;"년"&amp;DATEDIF($L26,TODAY(),"ym")&amp;"개월"</f>
        <v>4년7개월</v>
      </c>
      <c r="AG26" s="35" t="s">
        <v>556</v>
      </c>
      <c r="AH26" s="35" t="s">
        <v>557</v>
      </c>
      <c r="AI26" s="30" t="s">
        <v>270</v>
      </c>
      <c r="AJ26" s="32">
        <v>42429</v>
      </c>
      <c r="AK26" s="36">
        <f ca="1">VALUE(LEFT($AD26,FIND("년",$AD26)-1))</f>
        <v>4</v>
      </c>
      <c r="AL26" s="31" t="str">
        <f ca="1">IF($AI26="학사",IF($AK26&lt;=5,"초급",IF($AK26&lt;9,"중급",IF($AK26&lt;12,"고급",IF($AK26&gt;=12,"특급")))))</f>
        <v>초급</v>
      </c>
      <c r="AM26" s="31" t="str">
        <f>IF(ISNUMBER(SEARCH("산업기사",$AT26)),IF($AK26&gt;=13,"특급",IF($AK26&gt;=10,"고급",IF($AK26&gt;=7,"중급","초급"))),IF(ISNUMBER(SEARCH("기사",$AR26)),IF($AK26&gt;=10,"특급",IF($AK26&gt;=7,"고급",IF($AK26&gt;=4,"중급","초급"))),"미해당"))</f>
        <v>미해당</v>
      </c>
      <c r="AN26" s="27"/>
      <c r="AO26" s="32"/>
      <c r="AP26" s="27"/>
      <c r="AQ26" s="32"/>
      <c r="AR26" s="27"/>
      <c r="AS26" s="27"/>
      <c r="AT26" s="37"/>
      <c r="AU26" s="27"/>
      <c r="AV26" s="38"/>
      <c r="AW26" s="39"/>
      <c r="AX26" s="39"/>
      <c r="AY26" s="40" t="s">
        <v>558</v>
      </c>
      <c r="AZ26" s="41" t="s">
        <v>559</v>
      </c>
      <c r="BA26" s="30" t="s">
        <v>230</v>
      </c>
      <c r="BB26" s="30" t="s">
        <v>560</v>
      </c>
      <c r="BC26" s="42" t="s">
        <v>507</v>
      </c>
      <c r="BD26" s="42" t="s">
        <v>561</v>
      </c>
      <c r="BE26" s="43" t="s">
        <v>562</v>
      </c>
      <c r="BF26" s="42" t="s">
        <v>211</v>
      </c>
      <c r="BG26" s="42" t="s">
        <v>535</v>
      </c>
      <c r="BH26" s="35"/>
      <c r="BI26" s="44" t="s">
        <v>563</v>
      </c>
      <c r="BJ26" s="45" t="str">
        <f>IFERROR(VLOOKUP($BG26,[1]프로젝트현황!Y:Z,2,0),"기타")</f>
        <v>서남권</v>
      </c>
      <c r="BK26" s="46" t="str">
        <f>(IF(BF26="","",BF26&amp;" "))&amp;(IF(BG26="","",BG26&amp;" "))&amp;(IF(BH26="","",BH26&amp;" "))&amp;BI26</f>
        <v>서울시 영등포구 양평로30길 38, 103-1301</v>
      </c>
      <c r="BL26" s="47">
        <v>30</v>
      </c>
      <c r="BM26" s="47">
        <v>30</v>
      </c>
      <c r="BN26" s="48">
        <v>34500000</v>
      </c>
      <c r="BO26" s="48">
        <f>BP26*12</f>
        <v>34500043.200000003</v>
      </c>
      <c r="BP26" s="49">
        <f>SUM(BQ26:BS26)</f>
        <v>2875003.6</v>
      </c>
      <c r="BQ26" s="49">
        <f>ROUNDUP(BN26/12*209/(209+BU26*1.5)/BL26*BM26,-1)-BS26</f>
        <v>1973150</v>
      </c>
      <c r="BR26" s="49">
        <f>ROUNDUP(BN26/12*(BU26*1.5)/(209+BU26*1.5)/BL26*BM26,1)</f>
        <v>701853.6</v>
      </c>
      <c r="BS26" s="49">
        <v>200000</v>
      </c>
      <c r="BT26" s="50">
        <v>209</v>
      </c>
      <c r="BU26" s="49">
        <f>IF($BN26="","",
IFERROR(
    IF($BN26&lt;'[1]시간외시간 기준표'!$B$2,0,
        IF($BN26&gt;LOOKUP(9.9E+307,'[1]시간외시간 기준표'!$B$2:$B$999),
            LOOKUP(9.9E+307,'[1]시간외시간 기준표'!$C$2:$C$999),
            LOOKUP($BN26,'[1]시간외시간 기준표'!$B$2:$B$999,'[1]시간외시간 기준표'!$C$2:$C$999)
        )
    ),0)
)</f>
        <v>45</v>
      </c>
      <c r="BV26" s="50">
        <f>(BQ26+BS26)/209</f>
        <v>10397.846889952154</v>
      </c>
      <c r="BW26" s="51">
        <v>30</v>
      </c>
      <c r="BX26" s="51">
        <v>30</v>
      </c>
      <c r="BY26" s="52">
        <v>34500000</v>
      </c>
      <c r="BZ26" s="52">
        <f>CA26*12</f>
        <v>34500106.799999997</v>
      </c>
      <c r="CA26" s="49">
        <f>SUM(CB26:CD26)</f>
        <v>2875008.9</v>
      </c>
      <c r="CB26" s="49">
        <f>ROUNDUP(BY26/12*209/(209+CF26*1.5)/BW26*BX26,-1)-CD26</f>
        <v>1893650</v>
      </c>
      <c r="CC26" s="49">
        <f>ROUNDUP(BY26/12*(CF26*1.5)/(209+CF26*1.5)/BW26*BX26,1)</f>
        <v>781358.9</v>
      </c>
      <c r="CD26" s="49">
        <v>200000</v>
      </c>
      <c r="CE26" s="50">
        <v>209</v>
      </c>
      <c r="CF26" s="49">
        <f>IF(BY26&lt;26000000,0,IF(BY26&lt;26500000,4,IF(BY26&lt;27000000,7,IF(BY26&lt;27500000,9,IF(BY26&lt;28000000,11,IF(BY26&lt;28500000,15,IF(BY26&lt;29000000,17,IF(BY26&lt;29500000,20,IF(BY26&lt;30000000,23,IF(BY26&lt;30500000,25,IF(BY26&lt;31000000,27,IF(BY26&lt;31500000,29,IF(BY26&lt;32000000,33,IF(BY26&lt;32500000,37,IF(BY26&lt;33000000,39,IF(BY26&lt;33500000,42,IF(BY26&lt;34000000,45,IF(BY26&lt;34500000,48,IF(BY26&lt;35000000,52,52)))))))))))))))))))</f>
        <v>52</v>
      </c>
      <c r="CG26" s="50">
        <f>(CB26+CD26)/209</f>
        <v>10017.464114832535</v>
      </c>
      <c r="CH26" s="51">
        <v>30</v>
      </c>
      <c r="CI26" s="51">
        <v>30</v>
      </c>
      <c r="CJ26" s="52">
        <v>33700000</v>
      </c>
      <c r="CK26" s="52">
        <f>CL26*12</f>
        <v>33700064.400000006</v>
      </c>
      <c r="CL26" s="49">
        <f>SUM(CM26:CO26)</f>
        <v>2808338.7</v>
      </c>
      <c r="CM26" s="49">
        <f>ROUNDUP(CJ26/12*209/(209+CQ26*1.5)/CH26*CI26,-1)-CO26</f>
        <v>1922760</v>
      </c>
      <c r="CN26" s="49">
        <f>ROUNDUP(CJ26/12*(CQ26*1.5)/(209+CQ26*1.5)/CH26*CI26,1)</f>
        <v>685578.7</v>
      </c>
      <c r="CO26" s="50">
        <v>200000</v>
      </c>
      <c r="CP26" s="50">
        <v>209</v>
      </c>
      <c r="CQ26" s="50">
        <f>IF(CJ26&lt;26000000,0,IF(CJ26&lt;26500000,4,IF(CJ26&lt;27000000,7,IF(CJ26&lt;27500000,9,IF(CJ26&lt;28000000,11,IF(CJ26&lt;28500000,15,IF(CJ26&lt;29000000,17,IF(CJ26&lt;29500000,20,IF(CJ26&lt;30000000,23,IF(CJ26&lt;30500000,25,IF(CJ26&lt;31000000,27,IF(CJ26&lt;31500000,29,IF(CJ26&lt;32000000,33,IF(CJ26&lt;32500000,37,IF(CJ26&lt;33000000,39,IF(CJ26&lt;33500000,42,IF(CJ26&lt;34000000,45,IF(CJ26&lt;34500000,48,IF(CJ26&lt;35000000,52,52)))))))))))))))))))</f>
        <v>45</v>
      </c>
      <c r="CR26" s="50">
        <f>(CM26+CO26)/209</f>
        <v>10156.746411483253</v>
      </c>
      <c r="CS26" s="52">
        <v>32500000</v>
      </c>
      <c r="CT26" s="53">
        <f>IFERROR(CS26/12,"")</f>
        <v>2708333.3333333335</v>
      </c>
      <c r="CU26" s="53">
        <f>IFERROR(CT26-CV26-CW26,"")</f>
        <v>1836121.103117506</v>
      </c>
      <c r="CV26" s="53">
        <f>IFERROR(CT26*(CY26*1.5)/(209+(CY26*1.5)),"")</f>
        <v>672212.23021582735</v>
      </c>
      <c r="CW26" s="54">
        <v>200000</v>
      </c>
      <c r="CX26" s="54">
        <v>209</v>
      </c>
      <c r="CY26" s="54">
        <v>46</v>
      </c>
      <c r="CZ26" s="55">
        <f>SUM(CX26:CY26)</f>
        <v>255</v>
      </c>
      <c r="DA26" s="55">
        <f>IFERROR((CU26/209)+(CW26-(9620*209*0.01))/209,"")</f>
        <v>9646.0062350119915</v>
      </c>
      <c r="DB26" s="56">
        <f>IFERROR((CU26+CW26)/209,"")</f>
        <v>9742.2062350119904</v>
      </c>
      <c r="DC26" s="57">
        <v>2023</v>
      </c>
      <c r="DD26" s="58"/>
      <c r="DE26" s="58"/>
      <c r="DF26" s="57"/>
      <c r="DG26" s="59">
        <f>B26</f>
        <v>210703</v>
      </c>
      <c r="DH26" s="58"/>
      <c r="DI26" s="58"/>
      <c r="DJ26" s="60"/>
      <c r="DK26" s="58"/>
      <c r="DL26" s="61"/>
      <c r="DM26" s="24"/>
    </row>
    <row r="27" spans="1:117" ht="15" customHeight="1">
      <c r="A27" s="25">
        <f>ROW()-2</f>
        <v>25</v>
      </c>
      <c r="B27" s="26">
        <v>210901</v>
      </c>
      <c r="C27" s="27" t="s">
        <v>564</v>
      </c>
      <c r="D27" s="27"/>
      <c r="E27" s="27" t="s">
        <v>239</v>
      </c>
      <c r="F27" s="27" t="s">
        <v>196</v>
      </c>
      <c r="G27" s="27" t="s">
        <v>240</v>
      </c>
      <c r="H27" s="27" t="s">
        <v>260</v>
      </c>
      <c r="I27" s="27" t="s">
        <v>565</v>
      </c>
      <c r="J27" s="27" t="str">
        <f>+VLOOKUP($I27,[1]프로젝트현황!$I:$N,5,0)</f>
        <v>서울시</v>
      </c>
      <c r="K27" s="27" t="str">
        <f>+VLOOKUP($I27,[1]프로젝트현황!$I:$N,6,0)</f>
        <v>구로구</v>
      </c>
      <c r="L27" s="28">
        <v>44466</v>
      </c>
      <c r="M27" s="28">
        <v>44466</v>
      </c>
      <c r="N27" s="28"/>
      <c r="O27" s="29"/>
      <c r="P27" s="30" t="s">
        <v>566</v>
      </c>
      <c r="Q27" s="27" t="s">
        <v>567</v>
      </c>
      <c r="R27" s="31" t="str">
        <f>LEFT(Q27,6)</f>
        <v>880915</v>
      </c>
      <c r="S27" s="31" t="str">
        <f>MID($Q27,3,2)</f>
        <v>09</v>
      </c>
      <c r="T27" s="31" t="str">
        <f>IF(OR(MID($Q27,8,1)="1",MID($Q27,8,1)="3"),"남자",IF(OR(MID($Q27,8,1)="2",MID($Q27,8,1)="4"),"여자",""))</f>
        <v>남자</v>
      </c>
      <c r="U27" s="31">
        <f ca="1">YEAR(TODAY())-IF(OR(MID($Q27,8,1)="1",MID($Q27,8,1)="2"),19&amp;LEFT($Q27,2),IF(OR(MID($Q27,8,1)="3",MID($Q27,8,1)="4"),20&amp;LEFT($Q27,2),""))+1</f>
        <v>39</v>
      </c>
      <c r="V27" s="31" t="s">
        <v>200</v>
      </c>
      <c r="W27" s="31" t="s">
        <v>201</v>
      </c>
      <c r="X27" s="27" t="s">
        <v>568</v>
      </c>
      <c r="Y27" s="27"/>
      <c r="Z27" s="27"/>
      <c r="AA27" s="32"/>
      <c r="AB27" s="31" t="s">
        <v>203</v>
      </c>
      <c r="AC27" s="27" t="s">
        <v>569</v>
      </c>
      <c r="AD27" s="33" t="str">
        <f ca="1">QUOTIENT(SUMPRODUCT(LEFT($AE27:$AF27,FIND("년",$AE27:$AF27)-1)*12+MID($AE27:$AF27,FIND("년",$AE27:$AF27)+1,FIND("개월",$AE27:$AF27)-FIND("년",$AE27:$AF27)-1)),12)&amp;"년"&amp;MOD(SUMPRODUCT(LEFT($AE27:$AF27,FIND("년",$AE27:$AF27)-1)*12+MID($AE27:$AF27,FIND("년",$AE27:$AF27)+1,FIND("개월",$AE27:$AF27)-FIND("년",$AE27:$AF27)-1)),12)&amp;"개월"</f>
        <v>8년9개월</v>
      </c>
      <c r="AE27" s="33" t="s">
        <v>570</v>
      </c>
      <c r="AF27" s="34" t="str">
        <f ca="1">DATEDIF($L27,TODAY(),"y")&amp;"년"&amp;DATEDIF($L27,TODAY(),"ym")&amp;"개월"</f>
        <v>4년4개월</v>
      </c>
      <c r="AG27" s="35" t="s">
        <v>571</v>
      </c>
      <c r="AH27" s="35"/>
      <c r="AI27" s="30" t="s">
        <v>365</v>
      </c>
      <c r="AJ27" s="32">
        <v>39127</v>
      </c>
      <c r="AK27" s="36">
        <f ca="1">VALUE(LEFT($AD27,FIND("년",$AD27)-1))</f>
        <v>8</v>
      </c>
      <c r="AL27" s="31" t="str">
        <f ca="1">IF($AI27="고졸",IF($AK27&lt;=11,"초급",IF($AK27&lt;=14,"중급",IF($AK27&lt;=17,"고급",IF($AK27&gt;=18,"특급")))))</f>
        <v>초급</v>
      </c>
      <c r="AM27" s="31" t="str">
        <f>IF(ISNUMBER(SEARCH("산업기사",$AT27)),IF($AK27&gt;=13,"특급",IF($AK27&gt;=10,"고급",IF($AK27&gt;=7,"중급","초급"))),IF(ISNUMBER(SEARCH("기사",$AR27)),IF($AK27&gt;=10,"특급",IF($AK27&gt;=7,"고급",IF($AK27&gt;=4,"중급","초급"))),"미해당"))</f>
        <v>미해당</v>
      </c>
      <c r="AN27" s="27"/>
      <c r="AO27" s="32"/>
      <c r="AP27" s="27" t="s">
        <v>227</v>
      </c>
      <c r="AQ27" s="32">
        <v>43301</v>
      </c>
      <c r="AR27" s="27"/>
      <c r="AS27" s="27"/>
      <c r="AT27" s="37"/>
      <c r="AU27" s="27"/>
      <c r="AV27" s="38"/>
      <c r="AW27" s="39" t="s">
        <v>572</v>
      </c>
      <c r="AX27" s="39" t="s">
        <v>573</v>
      </c>
      <c r="AY27" s="40" t="s">
        <v>251</v>
      </c>
      <c r="AZ27" s="41" t="s">
        <v>252</v>
      </c>
      <c r="BA27" s="30" t="s">
        <v>230</v>
      </c>
      <c r="BB27" s="30" t="s">
        <v>574</v>
      </c>
      <c r="BC27" s="42" t="s">
        <v>575</v>
      </c>
      <c r="BD27" s="42" t="s">
        <v>576</v>
      </c>
      <c r="BE27" s="43" t="s">
        <v>577</v>
      </c>
      <c r="BF27" s="42" t="s">
        <v>578</v>
      </c>
      <c r="BG27" s="42" t="s">
        <v>579</v>
      </c>
      <c r="BH27" s="35"/>
      <c r="BI27" s="44" t="s">
        <v>580</v>
      </c>
      <c r="BJ27" s="45" t="str">
        <f>IFERROR(VLOOKUP($BG27,[1]프로젝트현황!Y:Z,2,0),"기타")</f>
        <v>서남권</v>
      </c>
      <c r="BK27" s="46" t="str">
        <f>(IF(BF27="","",BF27&amp;" "))&amp;(IF(BG27="","",BG27&amp;" "))&amp;(IF(BH27="","",BH27&amp;" "))&amp;BI27</f>
        <v>인천시 부평구 경원대로 1269, 117동 503호 (신곡동, 현대아파트)</v>
      </c>
      <c r="BL27" s="47">
        <v>30</v>
      </c>
      <c r="BM27" s="47">
        <v>30</v>
      </c>
      <c r="BN27" s="48">
        <v>32400000</v>
      </c>
      <c r="BO27" s="48">
        <f>BP27*12</f>
        <v>32400061.200000003</v>
      </c>
      <c r="BP27" s="49">
        <f>SUM(BQ27:BS27)</f>
        <v>2700005.1</v>
      </c>
      <c r="BQ27" s="49">
        <f>ROUNDUP(BN27/12*209/(209+BU27*1.5)/BL27*BM27,-1)-BS27</f>
        <v>1957940</v>
      </c>
      <c r="BR27" s="49">
        <f>ROUNDUP(BN27/12*(BU27*1.5)/(209+BU27*1.5)/BL27*BM27,1)</f>
        <v>542065.1</v>
      </c>
      <c r="BS27" s="49">
        <v>200000</v>
      </c>
      <c r="BT27" s="50">
        <v>209</v>
      </c>
      <c r="BU27" s="49">
        <f>IF($BN27="","",
IFERROR(
    IF($BN27&lt;'[1]시간외시간 기준표'!$B$2,0,
        IF($BN27&gt;LOOKUP(9.9E+307,'[1]시간외시간 기준표'!$B$2:$B$999),
            LOOKUP(9.9E+307,'[1]시간외시간 기준표'!$C$2:$C$999),
            LOOKUP($BN27,'[1]시간외시간 기준표'!$B$2:$B$999,'[1]시간외시간 기준표'!$C$2:$C$999)
        )
    ),0)
)</f>
        <v>35</v>
      </c>
      <c r="BV27" s="50">
        <f>(BQ27+BS27)/209</f>
        <v>10325.071770334927</v>
      </c>
      <c r="BW27" s="51">
        <v>30</v>
      </c>
      <c r="BX27" s="51">
        <v>30</v>
      </c>
      <c r="BY27" s="52">
        <v>32400000</v>
      </c>
      <c r="BZ27" s="52">
        <f>CA27*12</f>
        <v>32400008.400000002</v>
      </c>
      <c r="CA27" s="49">
        <f>SUM(CB27:CD27)</f>
        <v>2700000.7</v>
      </c>
      <c r="CB27" s="49">
        <f>ROUNDUP(BY27/12*209/(209+CF27*1.5)/BW27*BX27,-1)-CD27</f>
        <v>1933460</v>
      </c>
      <c r="CC27" s="49">
        <f>ROUNDUP(BY27/12*(CF27*1.5)/(209+CF27*1.5)/BW27*BX27,1)</f>
        <v>566540.69999999995</v>
      </c>
      <c r="CD27" s="49">
        <v>200000</v>
      </c>
      <c r="CE27" s="50">
        <v>209</v>
      </c>
      <c r="CF27" s="49">
        <f>IF(BY27&lt;26000000,0,IF(BY27&lt;26500000,4,IF(BY27&lt;27000000,7,IF(BY27&lt;27500000,9,IF(BY27&lt;28000000,11,IF(BY27&lt;28500000,15,IF(BY27&lt;29000000,17,IF(BY27&lt;29500000,20,IF(BY27&lt;30000000,23,IF(BY27&lt;30500000,25,IF(BY27&lt;31000000,27,IF(BY27&lt;31500000,29,IF(BY27&lt;32000000,33,IF(BY27&lt;32500000,37,IF(BY27&lt;33000000,39,IF(BY27&lt;33500000,42,IF(BY27&lt;34000000,45,IF(BY27&lt;34500000,48,IF(BY27&lt;35000000,52,52)))))))))))))))))))</f>
        <v>37</v>
      </c>
      <c r="CG27" s="50">
        <f>(CB27+CD27)/209</f>
        <v>10207.942583732058</v>
      </c>
      <c r="CH27" s="51">
        <v>30</v>
      </c>
      <c r="CI27" s="51">
        <v>30</v>
      </c>
      <c r="CJ27" s="52">
        <v>31600000</v>
      </c>
      <c r="CK27" s="52">
        <f>CL27*12</f>
        <v>31600024.799999997</v>
      </c>
      <c r="CL27" s="49">
        <f>SUM(CM27:CO27)</f>
        <v>2633335.4</v>
      </c>
      <c r="CM27" s="49">
        <f>ROUNDUP(CJ27/12*209/(209+CQ27*1.5)/CH27*CI27,-1)-CO27</f>
        <v>1929080</v>
      </c>
      <c r="CN27" s="49">
        <f>ROUNDUP(CJ27/12*(CQ27*1.5)/(209+CQ27*1.5)/CH27*CI27,1)</f>
        <v>504255.39999999997</v>
      </c>
      <c r="CO27" s="50">
        <v>200000</v>
      </c>
      <c r="CP27" s="50">
        <v>209</v>
      </c>
      <c r="CQ27" s="50">
        <f>IF(CJ27&lt;26000000,0,IF(CJ27&lt;26500000,4,IF(CJ27&lt;27000000,7,IF(CJ27&lt;27500000,9,IF(CJ27&lt;28000000,11,IF(CJ27&lt;28500000,15,IF(CJ27&lt;29000000,17,IF(CJ27&lt;29500000,20,IF(CJ27&lt;30000000,23,IF(CJ27&lt;30500000,25,IF(CJ27&lt;31000000,27,IF(CJ27&lt;31500000,29,IF(CJ27&lt;32000000,33,IF(CJ27&lt;32500000,37,IF(CJ27&lt;33000000,39,IF(CJ27&lt;33500000,42,IF(CJ27&lt;34000000,45,IF(CJ27&lt;34500000,48,IF(CJ27&lt;35000000,52,52)))))))))))))))))))</f>
        <v>33</v>
      </c>
      <c r="CR27" s="50">
        <f>(CM27+CO27)/209</f>
        <v>10186.985645933015</v>
      </c>
      <c r="CS27" s="52">
        <v>31000000</v>
      </c>
      <c r="CT27" s="53">
        <f>IFERROR(CS27/12,"")</f>
        <v>2583333.3333333335</v>
      </c>
      <c r="CU27" s="53">
        <f>IFERROR(CT27-CV27-CW27,"")</f>
        <v>1841272.8418399496</v>
      </c>
      <c r="CV27" s="53">
        <f>IFERROR(CT27*(CY27*1.5)/(209+(CY27*1.5)),"")</f>
        <v>542060.49149338377</v>
      </c>
      <c r="CW27" s="54">
        <v>200000</v>
      </c>
      <c r="CX27" s="54">
        <v>209</v>
      </c>
      <c r="CY27" s="54">
        <v>37</v>
      </c>
      <c r="CZ27" s="55">
        <f>SUM(CX27:CY27)</f>
        <v>246</v>
      </c>
      <c r="DA27" s="55">
        <f>IFERROR((CU27/209)+(CW27-(9620*209*0.01))/209,"")</f>
        <v>9670.6557025834918</v>
      </c>
      <c r="DB27" s="56">
        <f>IFERROR((CU27+CW27)/209,"")</f>
        <v>9766.8557025834907</v>
      </c>
      <c r="DC27" s="57">
        <v>2023</v>
      </c>
      <c r="DD27" s="58"/>
      <c r="DE27" s="58"/>
      <c r="DF27" s="57"/>
      <c r="DG27" s="59">
        <f>B27</f>
        <v>210901</v>
      </c>
      <c r="DH27" s="58"/>
      <c r="DI27" s="58"/>
      <c r="DJ27" s="60"/>
      <c r="DK27" s="58"/>
      <c r="DL27" s="61"/>
      <c r="DM27" s="24"/>
    </row>
    <row r="28" spans="1:117" ht="15" customHeight="1">
      <c r="A28" s="25">
        <f>ROW()-2</f>
        <v>26</v>
      </c>
      <c r="B28" s="26">
        <v>220103</v>
      </c>
      <c r="C28" s="27" t="s">
        <v>581</v>
      </c>
      <c r="D28" s="27"/>
      <c r="E28" s="27" t="s">
        <v>239</v>
      </c>
      <c r="F28" s="27" t="s">
        <v>196</v>
      </c>
      <c r="G28" s="27" t="s">
        <v>240</v>
      </c>
      <c r="H28" s="27" t="s">
        <v>217</v>
      </c>
      <c r="I28" s="27" t="s">
        <v>359</v>
      </c>
      <c r="J28" s="27" t="str">
        <f>+VLOOKUP($I28,[1]프로젝트현황!$I:$N,5,0)</f>
        <v>서울시</v>
      </c>
      <c r="K28" s="27" t="str">
        <f>+VLOOKUP($I28,[1]프로젝트현황!$I:$N,6,0)</f>
        <v>금천구</v>
      </c>
      <c r="L28" s="28">
        <v>44578</v>
      </c>
      <c r="M28" s="28">
        <v>44578</v>
      </c>
      <c r="N28" s="28"/>
      <c r="O28" s="29"/>
      <c r="P28" s="30" t="s">
        <v>582</v>
      </c>
      <c r="Q28" s="27" t="s">
        <v>583</v>
      </c>
      <c r="R28" s="31" t="str">
        <f>LEFT(Q28,6)</f>
        <v>950519</v>
      </c>
      <c r="S28" s="31" t="str">
        <f>MID($Q28,3,2)</f>
        <v>05</v>
      </c>
      <c r="T28" s="31" t="str">
        <f>IF(OR(MID($Q28,8,1)="1",MID($Q28,8,1)="3"),"남자",IF(OR(MID($Q28,8,1)="2",MID($Q28,8,1)="4"),"여자",""))</f>
        <v>여자</v>
      </c>
      <c r="U28" s="31">
        <f ca="1">YEAR(TODAY())-IF(OR(MID($Q28,8,1)="1",MID($Q28,8,1)="2"),19&amp;LEFT($Q28,2),IF(OR(MID($Q28,8,1)="3",MID($Q28,8,1)="4"),20&amp;LEFT($Q28,2),""))+1</f>
        <v>32</v>
      </c>
      <c r="V28" s="31" t="s">
        <v>200</v>
      </c>
      <c r="W28" s="31" t="s">
        <v>201</v>
      </c>
      <c r="X28" s="27" t="s">
        <v>584</v>
      </c>
      <c r="Y28" s="27"/>
      <c r="Z28" s="27"/>
      <c r="AA28" s="32"/>
      <c r="AB28" s="31" t="s">
        <v>203</v>
      </c>
      <c r="AC28" s="27" t="s">
        <v>585</v>
      </c>
      <c r="AD28" s="33" t="str">
        <f ca="1">QUOTIENT(SUMPRODUCT(LEFT($AE28:$AF28,FIND("년",$AE28:$AF28)-1)*12+MID($AE28:$AF28,FIND("년",$AE28:$AF28)+1,FIND("개월",$AE28:$AF28)-FIND("년",$AE28:$AF28)-1)),12)&amp;"년"&amp;MOD(SUMPRODUCT(LEFT($AE28:$AF28,FIND("년",$AE28:$AF28)-1)*12+MID($AE28:$AF28,FIND("년",$AE28:$AF28)+1,FIND("개월",$AE28:$AF28)-FIND("년",$AE28:$AF28)-1)),12)&amp;"개월"</f>
        <v>5년4개월</v>
      </c>
      <c r="AE28" s="33" t="s">
        <v>586</v>
      </c>
      <c r="AF28" s="34" t="str">
        <f ca="1">DATEDIF($L28,TODAY(),"y")&amp;"년"&amp;DATEDIF($L28,TODAY(),"ym")&amp;"개월"</f>
        <v>4년0개월</v>
      </c>
      <c r="AG28" s="35" t="s">
        <v>587</v>
      </c>
      <c r="AH28" s="35" t="s">
        <v>588</v>
      </c>
      <c r="AI28" s="30" t="s">
        <v>270</v>
      </c>
      <c r="AJ28" s="32">
        <v>43882</v>
      </c>
      <c r="AK28" s="36">
        <f ca="1">VALUE(LEFT($AD28,FIND("년",$AD28)-1))</f>
        <v>5</v>
      </c>
      <c r="AL28" s="31" t="str">
        <f ca="1">IF($AI28="학사",IF($AK28&lt;=5,"초급",IF($AK28&lt;9,"중급",IF($AK28&lt;12,"고급",IF($AK28&gt;=12,"특급")))))</f>
        <v>초급</v>
      </c>
      <c r="AM28" s="31" t="str">
        <f ca="1">IF(ISNUMBER(SEARCH("산업기사",$AT28)),IF($AK28&gt;=13,"특급",IF($AK28&gt;=10,"고급",IF($AK28&gt;=7,"중급","초급"))),IF(ISNUMBER(SEARCH("기사",$AR28)),IF($AK28&gt;=10,"특급",IF($AK28&gt;=7,"고급",IF($AK28&gt;=4,"중급","초급"))),"미해당"))</f>
        <v>중급</v>
      </c>
      <c r="AN28" s="27"/>
      <c r="AO28" s="32"/>
      <c r="AP28" s="27" t="s">
        <v>137</v>
      </c>
      <c r="AQ28" s="32">
        <v>44665</v>
      </c>
      <c r="AR28" s="27" t="s">
        <v>139</v>
      </c>
      <c r="AS28" s="27">
        <v>43791</v>
      </c>
      <c r="AT28" s="37"/>
      <c r="AU28" s="27"/>
      <c r="AV28" s="38"/>
      <c r="AW28" s="39" t="s">
        <v>589</v>
      </c>
      <c r="AX28" s="39" t="s">
        <v>590</v>
      </c>
      <c r="AY28" s="40" t="s">
        <v>251</v>
      </c>
      <c r="AZ28" s="41" t="s">
        <v>252</v>
      </c>
      <c r="BA28" s="30" t="s">
        <v>230</v>
      </c>
      <c r="BB28" s="30" t="s">
        <v>591</v>
      </c>
      <c r="BC28" s="42" t="s">
        <v>254</v>
      </c>
      <c r="BD28" s="42" t="s">
        <v>592</v>
      </c>
      <c r="BE28" s="43" t="s">
        <v>593</v>
      </c>
      <c r="BF28" s="42" t="s">
        <v>234</v>
      </c>
      <c r="BG28" s="42" t="s">
        <v>594</v>
      </c>
      <c r="BH28" s="35"/>
      <c r="BI28" s="44" t="s">
        <v>595</v>
      </c>
      <c r="BJ28" s="45" t="str">
        <f>IFERROR(VLOOKUP($BG28,[1]프로젝트현황!Y:Z,2,0),"기타")</f>
        <v>서남권</v>
      </c>
      <c r="BK28" s="46" t="str">
        <f>(IF(BF28="","",BF28&amp;" "))&amp;(IF(BG28="","",BG28&amp;" "))&amp;(IF(BH28="","",BH28&amp;" "))&amp;BI28</f>
        <v>경기도 화성시 병점노을1로 14, 101동 703호</v>
      </c>
      <c r="BL28" s="47">
        <v>30</v>
      </c>
      <c r="BM28" s="47">
        <v>30</v>
      </c>
      <c r="BN28" s="48">
        <v>33300000</v>
      </c>
      <c r="BO28" s="48">
        <f>BP28*12</f>
        <v>33300110.400000002</v>
      </c>
      <c r="BP28" s="49">
        <f>SUM(BQ28:BS28)</f>
        <v>2775009.2</v>
      </c>
      <c r="BQ28" s="49">
        <f>ROUNDUP(BN28/12*209/(209+BU28*1.5)/BL28*BM28,-1)-BS28</f>
        <v>1968140</v>
      </c>
      <c r="BR28" s="49">
        <f>ROUNDUP(BN28/12*(BU28*1.5)/(209+BU28*1.5)/BL28*BM28,1)</f>
        <v>606869.19999999995</v>
      </c>
      <c r="BS28" s="49">
        <v>200000</v>
      </c>
      <c r="BT28" s="50">
        <v>209</v>
      </c>
      <c r="BU28" s="49">
        <f>IF($BN28="","",
IFERROR(
    IF($BN28&lt;'[1]시간외시간 기준표'!$B$2,0,
        IF($BN28&gt;LOOKUP(9.9E+307,'[1]시간외시간 기준표'!$B$2:$B$999),
            LOOKUP(9.9E+307,'[1]시간외시간 기준표'!$C$2:$C$999),
            LOOKUP($BN28,'[1]시간외시간 기준표'!$B$2:$B$999,'[1]시간외시간 기준표'!$C$2:$C$999)
        )
    ),0)
)</f>
        <v>39</v>
      </c>
      <c r="BV28" s="50">
        <f>(BQ28+BS28)/209</f>
        <v>10373.875598086124</v>
      </c>
      <c r="BW28" s="51">
        <v>30</v>
      </c>
      <c r="BX28" s="51">
        <v>30</v>
      </c>
      <c r="BY28" s="52">
        <v>33300000</v>
      </c>
      <c r="BZ28" s="52">
        <f>CA28*12</f>
        <v>33300108</v>
      </c>
      <c r="CA28" s="49">
        <f>SUM(CB28:CD28)</f>
        <v>2775009</v>
      </c>
      <c r="CB28" s="49">
        <f>ROUNDUP(BY28/12*209/(209+CF28*1.5)/BW28*BX28,-1)-CD28</f>
        <v>1932270</v>
      </c>
      <c r="CC28" s="49">
        <f>ROUNDUP(BY28/12*(CF28*1.5)/(209+CF28*1.5)/BW28*BX28,1)</f>
        <v>642739</v>
      </c>
      <c r="CD28" s="49">
        <v>200000</v>
      </c>
      <c r="CE28" s="50">
        <v>209</v>
      </c>
      <c r="CF28" s="49">
        <f>IF(BY28&lt;26000000,0,IF(BY28&lt;26500000,4,IF(BY28&lt;27000000,7,IF(BY28&lt;27500000,9,IF(BY28&lt;28000000,11,IF(BY28&lt;28500000,15,IF(BY28&lt;29000000,17,IF(BY28&lt;29500000,20,IF(BY28&lt;30000000,23,IF(BY28&lt;30500000,25,IF(BY28&lt;31000000,27,IF(BY28&lt;31500000,29,IF(BY28&lt;32000000,33,IF(BY28&lt;32500000,37,IF(BY28&lt;33000000,39,IF(BY28&lt;33500000,42,IF(BY28&lt;34000000,45,IF(BY28&lt;34500000,48,IF(BY28&lt;35000000,52,52)))))))))))))))))))</f>
        <v>42</v>
      </c>
      <c r="CG28" s="50">
        <f>(CB28+CD28)/209</f>
        <v>10202.248803827752</v>
      </c>
      <c r="CH28" s="51">
        <v>30</v>
      </c>
      <c r="CI28" s="51">
        <v>30</v>
      </c>
      <c r="CJ28" s="52">
        <v>31800000</v>
      </c>
      <c r="CK28" s="52">
        <f>CL28*12</f>
        <v>31800082.799999997</v>
      </c>
      <c r="CL28" s="49">
        <f>SUM(CM28:CO28)</f>
        <v>2650006.9</v>
      </c>
      <c r="CM28" s="49">
        <f>ROUNDUP(CJ28/12*209/(209+CQ28*1.5)/CH28*CI28,-1)-CO28</f>
        <v>1942560</v>
      </c>
      <c r="CN28" s="49">
        <f>ROUNDUP(CJ28/12*(CQ28*1.5)/(209+CQ28*1.5)/CH28*CI28,1)</f>
        <v>507446.89999999997</v>
      </c>
      <c r="CO28" s="50">
        <v>200000</v>
      </c>
      <c r="CP28" s="50">
        <v>209</v>
      </c>
      <c r="CQ28" s="50">
        <f>IF(CJ28&lt;26000000,0,IF(CJ28&lt;26500000,4,IF(CJ28&lt;27000000,7,IF(CJ28&lt;27500000,9,IF(CJ28&lt;28000000,11,IF(CJ28&lt;28500000,15,IF(CJ28&lt;29000000,17,IF(CJ28&lt;29500000,20,IF(CJ28&lt;30000000,23,IF(CJ28&lt;30500000,25,IF(CJ28&lt;31000000,27,IF(CJ28&lt;31500000,29,IF(CJ28&lt;32000000,33,IF(CJ28&lt;32500000,37,IF(CJ28&lt;33000000,39,IF(CJ28&lt;33500000,42,IF(CJ28&lt;34000000,45,IF(CJ28&lt;34500000,48,IF(CJ28&lt;35000000,52,52)))))))))))))))))))</f>
        <v>33</v>
      </c>
      <c r="CR28" s="50">
        <f>(CM28+CO28)/209</f>
        <v>10251.483253588516</v>
      </c>
      <c r="CS28" s="52">
        <v>30000000</v>
      </c>
      <c r="CT28" s="53">
        <f>IFERROR(CS28/12,"")</f>
        <v>2500000</v>
      </c>
      <c r="CU28" s="53">
        <f>IFERROR(CT28-CV28-CW28,"")</f>
        <v>1833073.9299610895</v>
      </c>
      <c r="CV28" s="53">
        <f>IFERROR(CT28*(CY28*1.5)/(209+(CY28*1.5)),"")</f>
        <v>466926.07003891049</v>
      </c>
      <c r="CW28" s="54">
        <v>200000</v>
      </c>
      <c r="CX28" s="54">
        <v>209</v>
      </c>
      <c r="CY28" s="54">
        <v>32</v>
      </c>
      <c r="CZ28" s="55">
        <f>SUM(CX28:CY28)</f>
        <v>241</v>
      </c>
      <c r="DA28" s="55">
        <f>IFERROR((CU28/209)+(CW28-(9620*209*0.01))/209,"")</f>
        <v>9631.4264591439678</v>
      </c>
      <c r="DB28" s="56">
        <f>IFERROR((CU28+CW28)/209,"")</f>
        <v>9727.6264591439685</v>
      </c>
      <c r="DC28" s="57">
        <v>2023</v>
      </c>
      <c r="DD28" s="58"/>
      <c r="DE28" s="58"/>
      <c r="DF28" s="57"/>
      <c r="DG28" s="59">
        <f>B28</f>
        <v>220103</v>
      </c>
      <c r="DH28" s="58"/>
      <c r="DI28" s="58"/>
      <c r="DJ28" s="60"/>
      <c r="DK28" s="58"/>
      <c r="DL28" s="61"/>
      <c r="DM28" s="24"/>
    </row>
    <row r="29" spans="1:117" ht="15" customHeight="1">
      <c r="A29" s="25">
        <f>ROW()-2</f>
        <v>27</v>
      </c>
      <c r="B29" s="26">
        <v>220104</v>
      </c>
      <c r="C29" s="27" t="s">
        <v>596</v>
      </c>
      <c r="D29" s="27"/>
      <c r="E29" s="27" t="s">
        <v>239</v>
      </c>
      <c r="F29" s="27" t="s">
        <v>196</v>
      </c>
      <c r="G29" s="27" t="s">
        <v>240</v>
      </c>
      <c r="H29" s="27" t="s">
        <v>217</v>
      </c>
      <c r="I29" s="27" t="s">
        <v>479</v>
      </c>
      <c r="J29" s="27" t="str">
        <f>+VLOOKUP($I29,[1]프로젝트현황!$I:$N,5,0)</f>
        <v>경기도</v>
      </c>
      <c r="K29" s="27" t="str">
        <f>+VLOOKUP($I29,[1]프로젝트현황!$I:$N,6,0)</f>
        <v>성남시</v>
      </c>
      <c r="L29" s="28">
        <v>44578</v>
      </c>
      <c r="M29" s="28">
        <v>44578</v>
      </c>
      <c r="N29" s="28"/>
      <c r="O29" s="29"/>
      <c r="P29" s="30" t="s">
        <v>597</v>
      </c>
      <c r="Q29" s="27" t="s">
        <v>598</v>
      </c>
      <c r="R29" s="31" t="str">
        <f>LEFT(Q29,6)</f>
        <v>820319</v>
      </c>
      <c r="S29" s="31" t="str">
        <f>MID($Q29,3,2)</f>
        <v>03</v>
      </c>
      <c r="T29" s="31" t="str">
        <f>IF(OR(MID($Q29,8,1)="1",MID($Q29,8,1)="3"),"남자",IF(OR(MID($Q29,8,1)="2",MID($Q29,8,1)="4"),"여자",""))</f>
        <v>여자</v>
      </c>
      <c r="U29" s="31">
        <f ca="1">YEAR(TODAY())-IF(OR(MID($Q29,8,1)="1",MID($Q29,8,1)="2"),19&amp;LEFT($Q29,2),IF(OR(MID($Q29,8,1)="3",MID($Q29,8,1)="4"),20&amp;LEFT($Q29,2),""))+1</f>
        <v>45</v>
      </c>
      <c r="V29" s="31" t="s">
        <v>200</v>
      </c>
      <c r="W29" s="31" t="s">
        <v>201</v>
      </c>
      <c r="X29" s="27" t="s">
        <v>599</v>
      </c>
      <c r="Y29" s="27"/>
      <c r="Z29" s="27"/>
      <c r="AA29" s="32"/>
      <c r="AB29" s="31" t="s">
        <v>203</v>
      </c>
      <c r="AC29" s="27"/>
      <c r="AD29" s="33" t="str">
        <f ca="1">QUOTIENT(SUMPRODUCT(LEFT($AE29:$AF29,FIND("년",$AE29:$AF29)-1)*12+MID($AE29:$AF29,FIND("년",$AE29:$AF29)+1,FIND("개월",$AE29:$AF29)-FIND("년",$AE29:$AF29)-1)),12)&amp;"년"&amp;MOD(SUMPRODUCT(LEFT($AE29:$AF29,FIND("년",$AE29:$AF29)-1)*12+MID($AE29:$AF29,FIND("년",$AE29:$AF29)+1,FIND("개월",$AE29:$AF29)-FIND("년",$AE29:$AF29)-1)),12)&amp;"개월"</f>
        <v>7년6개월</v>
      </c>
      <c r="AE29" s="33" t="s">
        <v>600</v>
      </c>
      <c r="AF29" s="34" t="str">
        <f ca="1">DATEDIF($L29,TODAY(),"y")&amp;"년"&amp;DATEDIF($L29,TODAY(),"ym")&amp;"개월"</f>
        <v>4년0개월</v>
      </c>
      <c r="AG29" s="35" t="s">
        <v>601</v>
      </c>
      <c r="AH29" s="35" t="s">
        <v>602</v>
      </c>
      <c r="AI29" s="30" t="s">
        <v>270</v>
      </c>
      <c r="AJ29" s="32">
        <v>39135</v>
      </c>
      <c r="AK29" s="36">
        <f ca="1">VALUE(LEFT($AD29,FIND("년",$AD29)-1))</f>
        <v>7</v>
      </c>
      <c r="AL29" s="31" t="str">
        <f ca="1">IF($AI29="학사",IF($AK29&lt;=5,"초급",IF($AK29&lt;9,"중급",IF($AK29&lt;12,"고급",IF($AK29&gt;=12,"특급")))))</f>
        <v>중급</v>
      </c>
      <c r="AM29" s="31" t="str">
        <f>IF(ISNUMBER(SEARCH("산업기사",$AT29)),IF($AK29&gt;=13,"특급",IF($AK29&gt;=10,"고급",IF($AK29&gt;=7,"중급","초급"))),IF(ISNUMBER(SEARCH("기사",$AR29)),IF($AK29&gt;=10,"특급",IF($AK29&gt;=7,"고급",IF($AK29&gt;=4,"중급","초급"))),"미해당"))</f>
        <v>미해당</v>
      </c>
      <c r="AN29" s="27"/>
      <c r="AO29" s="32"/>
      <c r="AP29" s="27" t="s">
        <v>227</v>
      </c>
      <c r="AQ29" s="32">
        <v>44443</v>
      </c>
      <c r="AR29" s="27"/>
      <c r="AS29" s="27"/>
      <c r="AT29" s="37"/>
      <c r="AU29" s="27"/>
      <c r="AV29" s="38" t="s">
        <v>603</v>
      </c>
      <c r="AW29" s="39" t="s">
        <v>604</v>
      </c>
      <c r="AX29" s="39" t="s">
        <v>605</v>
      </c>
      <c r="AY29" s="40" t="s">
        <v>251</v>
      </c>
      <c r="AZ29" s="41" t="s">
        <v>252</v>
      </c>
      <c r="BA29" s="30" t="s">
        <v>230</v>
      </c>
      <c r="BB29" s="30" t="s">
        <v>606</v>
      </c>
      <c r="BC29" s="42" t="s">
        <v>607</v>
      </c>
      <c r="BD29" s="42" t="s">
        <v>608</v>
      </c>
      <c r="BE29" s="43" t="s">
        <v>609</v>
      </c>
      <c r="BF29" s="42" t="s">
        <v>211</v>
      </c>
      <c r="BG29" s="42" t="s">
        <v>610</v>
      </c>
      <c r="BH29" s="35"/>
      <c r="BI29" s="44" t="s">
        <v>611</v>
      </c>
      <c r="BJ29" s="45" t="str">
        <f>IFERROR(VLOOKUP($BG29,[1]프로젝트현황!Y:Z,2,0),"기타")</f>
        <v>동북권</v>
      </c>
      <c r="BK29" s="46" t="str">
        <f>(IF(BF29="","",BF29&amp;" "))&amp;(IF(BG29="","",BG29&amp;" "))&amp;(IF(BH29="","",BH29&amp;" "))&amp;BI29</f>
        <v>서울시 성동구 마조로7길 15(행당동)</v>
      </c>
      <c r="BL29" s="47">
        <v>30</v>
      </c>
      <c r="BM29" s="47">
        <v>30</v>
      </c>
      <c r="BN29" s="48">
        <v>33700000</v>
      </c>
      <c r="BO29" s="48">
        <f>BP29*12</f>
        <v>33700003.200000003</v>
      </c>
      <c r="BP29" s="49">
        <f>SUM(BQ29:BS29)</f>
        <v>2808333.6</v>
      </c>
      <c r="BQ29" s="49">
        <f>ROUNDUP(BN29/12*209/(209+BU29*1.5)/BL29*BM29,-1)-BS29</f>
        <v>1969840</v>
      </c>
      <c r="BR29" s="49">
        <f>ROUNDUP(BN29/12*(BU29*1.5)/(209+BU29*1.5)/BL29*BM29,1)</f>
        <v>638493.6</v>
      </c>
      <c r="BS29" s="49">
        <v>200000</v>
      </c>
      <c r="BT29" s="50">
        <v>209</v>
      </c>
      <c r="BU29" s="49">
        <f>IF($BN29="","",
IFERROR(
    IF($BN29&lt;'[1]시간외시간 기준표'!$B$2,0,
        IF($BN29&gt;LOOKUP(9.9E+307,'[1]시간외시간 기준표'!$B$2:$B$999),
            LOOKUP(9.9E+307,'[1]시간외시간 기준표'!$C$2:$C$999),
            LOOKUP($BN29,'[1]시간외시간 기준표'!$B$2:$B$999,'[1]시간외시간 기준표'!$C$2:$C$999)
        )
    ),0)
)</f>
        <v>41</v>
      </c>
      <c r="BV29" s="50">
        <f>(BQ29+BS29)/209</f>
        <v>10382.009569377991</v>
      </c>
      <c r="BW29" s="51">
        <v>30</v>
      </c>
      <c r="BX29" s="51">
        <v>30</v>
      </c>
      <c r="BY29" s="52">
        <v>33700000</v>
      </c>
      <c r="BZ29" s="52">
        <f>CA29*12</f>
        <v>33700064.400000006</v>
      </c>
      <c r="CA29" s="49">
        <f>SUM(CB29:CD29)</f>
        <v>2808338.7</v>
      </c>
      <c r="CB29" s="49">
        <f>ROUNDUP(BY29/12*209/(209+CF29*1.5)/BW29*BX29,-1)-CD29</f>
        <v>1922760</v>
      </c>
      <c r="CC29" s="49">
        <f>ROUNDUP(BY29/12*(CF29*1.5)/(209+CF29*1.5)/BW29*BX29,1)</f>
        <v>685578.7</v>
      </c>
      <c r="CD29" s="49">
        <v>200000</v>
      </c>
      <c r="CE29" s="50">
        <v>209</v>
      </c>
      <c r="CF29" s="49">
        <f>IF(BY29&lt;26000000,0,IF(BY29&lt;26500000,4,IF(BY29&lt;27000000,7,IF(BY29&lt;27500000,9,IF(BY29&lt;28000000,11,IF(BY29&lt;28500000,15,IF(BY29&lt;29000000,17,IF(BY29&lt;29500000,20,IF(BY29&lt;30000000,23,IF(BY29&lt;30500000,25,IF(BY29&lt;31000000,27,IF(BY29&lt;31500000,29,IF(BY29&lt;32000000,33,IF(BY29&lt;32500000,37,IF(BY29&lt;33000000,39,IF(BY29&lt;33500000,42,IF(BY29&lt;34000000,45,IF(BY29&lt;34500000,48,IF(BY29&lt;35000000,52,52)))))))))))))))))))</f>
        <v>45</v>
      </c>
      <c r="CG29" s="50">
        <f>(CB29+CD29)/209</f>
        <v>10156.746411483253</v>
      </c>
      <c r="CH29" s="51">
        <v>30</v>
      </c>
      <c r="CI29" s="51">
        <v>30</v>
      </c>
      <c r="CJ29" s="52">
        <v>32200000</v>
      </c>
      <c r="CK29" s="52">
        <f>CL29*12</f>
        <v>32200002</v>
      </c>
      <c r="CL29" s="49">
        <f>SUM(CM29:CO29)</f>
        <v>2683333.5</v>
      </c>
      <c r="CM29" s="49">
        <f>ROUNDUP(CJ29/12*209/(209+CQ29*1.5)/CH29*CI29,-1)-CO29</f>
        <v>1920290</v>
      </c>
      <c r="CN29" s="49">
        <f>ROUNDUP(CJ29/12*(CQ29*1.5)/(209+CQ29*1.5)/CH29*CI29,1)</f>
        <v>563043.5</v>
      </c>
      <c r="CO29" s="50">
        <v>200000</v>
      </c>
      <c r="CP29" s="50">
        <v>209</v>
      </c>
      <c r="CQ29" s="50">
        <f>IF(CJ29&lt;26000000,0,IF(CJ29&lt;26500000,4,IF(CJ29&lt;27000000,7,IF(CJ29&lt;27500000,9,IF(CJ29&lt;28000000,11,IF(CJ29&lt;28500000,15,IF(CJ29&lt;29000000,17,IF(CJ29&lt;29500000,20,IF(CJ29&lt;30000000,23,IF(CJ29&lt;30500000,25,IF(CJ29&lt;31000000,27,IF(CJ29&lt;31500000,29,IF(CJ29&lt;32000000,33,IF(CJ29&lt;32500000,37,IF(CJ29&lt;33000000,39,IF(CJ29&lt;33500000,42,IF(CJ29&lt;34000000,45,IF(CJ29&lt;34500000,48,IF(CJ29&lt;35000000,52,52)))))))))))))))))))</f>
        <v>37</v>
      </c>
      <c r="CR29" s="50">
        <f>(CM29+CO29)/209</f>
        <v>10144.928229665073</v>
      </c>
      <c r="CS29" s="52">
        <v>31000000</v>
      </c>
      <c r="CT29" s="53">
        <f>IFERROR(CS29/12,"")</f>
        <v>2583333.3333333335</v>
      </c>
      <c r="CU29" s="53">
        <f>IFERROR(CT29-CV29-CW29,"")</f>
        <v>1841272.8418399496</v>
      </c>
      <c r="CV29" s="53">
        <f>IFERROR(CT29*(CY29*1.5)/(209+(CY29*1.5)),"")</f>
        <v>542060.49149338377</v>
      </c>
      <c r="CW29" s="54">
        <v>200000</v>
      </c>
      <c r="CX29" s="54">
        <v>209</v>
      </c>
      <c r="CY29" s="54">
        <v>37</v>
      </c>
      <c r="CZ29" s="55">
        <f>SUM(CX29:CY29)</f>
        <v>246</v>
      </c>
      <c r="DA29" s="55">
        <f>IFERROR((CU29/209)+(CW29-(9620*209*0.01))/209,"")</f>
        <v>9670.6557025834918</v>
      </c>
      <c r="DB29" s="56">
        <f>IFERROR((CU29+CW29)/209,"")</f>
        <v>9766.8557025834907</v>
      </c>
      <c r="DC29" s="57">
        <v>2023</v>
      </c>
      <c r="DD29" s="58"/>
      <c r="DE29" s="58"/>
      <c r="DF29" s="57"/>
      <c r="DG29" s="59">
        <f>B29</f>
        <v>220104</v>
      </c>
      <c r="DH29" s="58"/>
      <c r="DI29" s="58"/>
      <c r="DJ29" s="60"/>
      <c r="DK29" s="58"/>
      <c r="DL29" s="61"/>
      <c r="DM29" s="24"/>
    </row>
    <row r="30" spans="1:117" ht="15" customHeight="1">
      <c r="A30" s="25">
        <f>ROW()-2</f>
        <v>28</v>
      </c>
      <c r="B30" s="26">
        <v>220404</v>
      </c>
      <c r="C30" s="27" t="s">
        <v>612</v>
      </c>
      <c r="D30" s="27"/>
      <c r="E30" s="27" t="s">
        <v>613</v>
      </c>
      <c r="F30" s="27" t="s">
        <v>196</v>
      </c>
      <c r="G30" s="27" t="s">
        <v>240</v>
      </c>
      <c r="H30" s="27" t="s">
        <v>260</v>
      </c>
      <c r="I30" s="27" t="s">
        <v>316</v>
      </c>
      <c r="J30" s="27" t="str">
        <f>+VLOOKUP($I30,[1]프로젝트현황!$I:$N,5,0)</f>
        <v>경기도</v>
      </c>
      <c r="K30" s="27" t="str">
        <f>+VLOOKUP($I30,[1]프로젝트현황!$I:$N,6,0)</f>
        <v>성남시</v>
      </c>
      <c r="L30" s="28">
        <v>44669</v>
      </c>
      <c r="M30" s="28">
        <v>44669</v>
      </c>
      <c r="N30" s="28"/>
      <c r="O30" s="29"/>
      <c r="P30" s="30" t="s">
        <v>614</v>
      </c>
      <c r="Q30" s="27" t="s">
        <v>615</v>
      </c>
      <c r="R30" s="31" t="str">
        <f>LEFT(Q30,6)</f>
        <v>951109</v>
      </c>
      <c r="S30" s="31" t="str">
        <f>MID($Q30,3,2)</f>
        <v>11</v>
      </c>
      <c r="T30" s="31" t="str">
        <f>IF(OR(MID($Q30,8,1)="1",MID($Q30,8,1)="3"),"남자",IF(OR(MID($Q30,8,1)="2",MID($Q30,8,1)="4"),"여자",""))</f>
        <v>남자</v>
      </c>
      <c r="U30" s="31">
        <f ca="1">YEAR(TODAY())-IF(OR(MID($Q30,8,1)="1",MID($Q30,8,1)="2"),19&amp;LEFT($Q30,2),IF(OR(MID($Q30,8,1)="3",MID($Q30,8,1)="4"),20&amp;LEFT($Q30,2),""))+1</f>
        <v>32</v>
      </c>
      <c r="V30" s="31" t="s">
        <v>200</v>
      </c>
      <c r="W30" s="31" t="s">
        <v>201</v>
      </c>
      <c r="X30" s="27" t="s">
        <v>616</v>
      </c>
      <c r="Y30" s="27"/>
      <c r="Z30" s="27"/>
      <c r="AA30" s="32"/>
      <c r="AB30" s="31" t="s">
        <v>203</v>
      </c>
      <c r="AC30" s="27" t="s">
        <v>617</v>
      </c>
      <c r="AD30" s="33" t="str">
        <f ca="1">QUOTIENT(SUMPRODUCT(LEFT($AE30:$AF30,FIND("년",$AE30:$AF30)-1)*12+MID($AE30:$AF30,FIND("년",$AE30:$AF30)+1,FIND("개월",$AE30:$AF30)-FIND("년",$AE30:$AF30)-1)),12)&amp;"년"&amp;MOD(SUMPRODUCT(LEFT($AE30:$AF30,FIND("년",$AE30:$AF30)-1)*12+MID($AE30:$AF30,FIND("년",$AE30:$AF30)+1,FIND("개월",$AE30:$AF30)-FIND("년",$AE30:$AF30)-1)),12)&amp;"개월"</f>
        <v>3년9개월</v>
      </c>
      <c r="AE30" s="33" t="s">
        <v>543</v>
      </c>
      <c r="AF30" s="34" t="str">
        <f ca="1">DATEDIF($L30,TODAY(),"y")&amp;"년"&amp;DATEDIF($L30,TODAY(),"ym")&amp;"개월"</f>
        <v>3년9개월</v>
      </c>
      <c r="AG30" s="35" t="s">
        <v>618</v>
      </c>
      <c r="AH30" s="35" t="s">
        <v>619</v>
      </c>
      <c r="AI30" s="30" t="s">
        <v>205</v>
      </c>
      <c r="AJ30" s="32">
        <v>43872</v>
      </c>
      <c r="AK30" s="36">
        <f ca="1">VALUE(LEFT($AD30,FIND("년",$AD30)-1))</f>
        <v>3</v>
      </c>
      <c r="AL30" s="31" t="str">
        <f ca="1">IF($AI30="전문학사",IF($AK30&lt;=8,"초급",IF($AK30&lt;12,"중급",IF($AK30&lt;15,"고급",IF($AK30&gt;=15,"특급")))))</f>
        <v>초급</v>
      </c>
      <c r="AM30" s="31" t="str">
        <f>IF(ISNUMBER(SEARCH("산업기사",$AT30)),IF($AK30&gt;=13,"특급",IF($AK30&gt;=10,"고급",IF($AK30&gt;=7,"중급","초급"))),IF(ISNUMBER(SEARCH("기사",$AR30)),IF($AK30&gt;=10,"특급",IF($AK30&gt;=7,"고급",IF($AK30&gt;=4,"중급","초급"))),"미해당"))</f>
        <v>미해당</v>
      </c>
      <c r="AN30" s="27"/>
      <c r="AO30" s="32"/>
      <c r="AP30" s="27"/>
      <c r="AQ30" s="32"/>
      <c r="AR30" s="27"/>
      <c r="AS30" s="27"/>
      <c r="AT30" s="37"/>
      <c r="AU30" s="27"/>
      <c r="AV30" s="38"/>
      <c r="AW30" s="39"/>
      <c r="AX30" s="39"/>
      <c r="AY30" s="40" t="s">
        <v>251</v>
      </c>
      <c r="AZ30" s="41" t="s">
        <v>252</v>
      </c>
      <c r="BA30" s="30" t="s">
        <v>230</v>
      </c>
      <c r="BB30" s="30" t="s">
        <v>620</v>
      </c>
      <c r="BC30" s="42" t="s">
        <v>254</v>
      </c>
      <c r="BD30" s="42" t="s">
        <v>621</v>
      </c>
      <c r="BE30" s="43" t="s">
        <v>622</v>
      </c>
      <c r="BF30" s="42" t="s">
        <v>211</v>
      </c>
      <c r="BG30" s="42" t="s">
        <v>623</v>
      </c>
      <c r="BH30" s="35"/>
      <c r="BI30" s="44" t="s">
        <v>624</v>
      </c>
      <c r="BJ30" s="45" t="str">
        <f>IFERROR(VLOOKUP($BG30,[1]프로젝트현황!Y:Z,2,0),"기타")</f>
        <v>동북권</v>
      </c>
      <c r="BK30" s="46" t="str">
        <f>(IF(BF30="","",BF30&amp;" "))&amp;(IF(BG30="","",BG30&amp;" "))&amp;(IF(BH30="","",BH30&amp;" "))&amp;BI30</f>
        <v>서울시 강북구  삼양로27길 19, 215동 401호 (미아동,삼성래미안트리베라아파트)</v>
      </c>
      <c r="BL30" s="47">
        <v>30</v>
      </c>
      <c r="BM30" s="47">
        <v>30</v>
      </c>
      <c r="BN30" s="48">
        <v>29500000</v>
      </c>
      <c r="BO30" s="48">
        <f>BP30*12</f>
        <v>29500080</v>
      </c>
      <c r="BP30" s="49">
        <f>SUM(BQ30:BS30)</f>
        <v>2458340</v>
      </c>
      <c r="BQ30" s="49">
        <f>ROUNDUP(BN30/12*209/(209+BU30*1.5)/BL30*BM30,-1)-BS30</f>
        <v>1977090</v>
      </c>
      <c r="BR30" s="49">
        <f>ROUNDUP(BN30/12*(BU30*1.5)/(209+BU30*1.5)/BL30*BM30,1)</f>
        <v>281250</v>
      </c>
      <c r="BS30" s="49">
        <v>200000</v>
      </c>
      <c r="BT30" s="50">
        <v>209</v>
      </c>
      <c r="BU30" s="49">
        <f>IF($BN30="","",
IFERROR(
    IF($BN30&lt;'[1]시간외시간 기준표'!$B$2,0,
        IF($BN30&gt;LOOKUP(9.9E+307,'[1]시간외시간 기준표'!$B$2:$B$999),
            LOOKUP(9.9E+307,'[1]시간외시간 기준표'!$C$2:$C$999),
            LOOKUP($BN30,'[1]시간외시간 기준표'!$B$2:$B$999,'[1]시간외시간 기준표'!$C$2:$C$999)
        )
    ),0)
)</f>
        <v>18</v>
      </c>
      <c r="BV30" s="50">
        <f>(BQ30+BS30)/209</f>
        <v>10416.698564593302</v>
      </c>
      <c r="BW30" s="51">
        <v>30</v>
      </c>
      <c r="BX30" s="51">
        <v>30</v>
      </c>
      <c r="BY30" s="52">
        <v>29500000</v>
      </c>
      <c r="BZ30" s="52">
        <f>CA30*12</f>
        <v>29500032</v>
      </c>
      <c r="CA30" s="49">
        <f>SUM(CB30:CD30)</f>
        <v>2458336</v>
      </c>
      <c r="CB30" s="49">
        <f>ROUNDUP(BY30/12*209/(209+CF30*1.5)/BW30*BX30,-1)-CD30</f>
        <v>1910030</v>
      </c>
      <c r="CC30" s="49">
        <f>ROUNDUP(BY30/12*(CF30*1.5)/(209+CF30*1.5)/BW30*BX30,1)</f>
        <v>348306</v>
      </c>
      <c r="CD30" s="49">
        <v>200000</v>
      </c>
      <c r="CE30" s="50">
        <v>209</v>
      </c>
      <c r="CF30" s="49">
        <f>IF(BY30&lt;26000000,0,IF(BY30&lt;26500000,4,IF(BY30&lt;27000000,7,IF(BY30&lt;27500000,9,IF(BY30&lt;28000000,11,IF(BY30&lt;28500000,15,IF(BY30&lt;29000000,17,IF(BY30&lt;29500000,20,IF(BY30&lt;30000000,23,IF(BY30&lt;30500000,25,IF(BY30&lt;31000000,27,IF(BY30&lt;31500000,29,IF(BY30&lt;32000000,33,IF(BY30&lt;32500000,37,IF(BY30&lt;33000000,39,IF(BY30&lt;33500000,42,IF(BY30&lt;34000000,45,IF(BY30&lt;34500000,48,IF(BY30&lt;35000000,52,52)))))))))))))))))))</f>
        <v>23</v>
      </c>
      <c r="CG30" s="50">
        <f>(CB30+CD30)/209</f>
        <v>10095.837320574163</v>
      </c>
      <c r="CH30" s="51">
        <v>30</v>
      </c>
      <c r="CI30" s="51">
        <v>30</v>
      </c>
      <c r="CJ30" s="52">
        <v>28700000</v>
      </c>
      <c r="CK30" s="52">
        <f>CL30*12</f>
        <v>28700096.400000002</v>
      </c>
      <c r="CL30" s="49">
        <f>SUM(CM30:CO30)</f>
        <v>2391674.7000000002</v>
      </c>
      <c r="CM30" s="49">
        <f>ROUNDUP(CJ30/12*209/(209+CQ30*1.5)/CH30*CI30,-1)-CO30</f>
        <v>1931600</v>
      </c>
      <c r="CN30" s="49">
        <f>ROUNDUP(CJ30/12*(CQ30*1.5)/(209+CQ30*1.5)/CH30*CI30,1)</f>
        <v>260074.7</v>
      </c>
      <c r="CO30" s="50">
        <v>200000</v>
      </c>
      <c r="CP30" s="50">
        <v>209</v>
      </c>
      <c r="CQ30" s="50">
        <f>IF(CJ30&lt;26000000,0,IF(CJ30&lt;26500000,4,IF(CJ30&lt;27000000,7,IF(CJ30&lt;27500000,9,IF(CJ30&lt;28000000,11,IF(CJ30&lt;28500000,15,IF(CJ30&lt;29000000,17,IF(CJ30&lt;29500000,20,IF(CJ30&lt;30000000,23,IF(CJ30&lt;30500000,25,IF(CJ30&lt;31000000,27,IF(CJ30&lt;31500000,29,IF(CJ30&lt;32000000,33,IF(CJ30&lt;32500000,37,IF(CJ30&lt;33000000,39,IF(CJ30&lt;33500000,42,IF(CJ30&lt;34000000,45,IF(CJ30&lt;34500000,48,IF(CJ30&lt;35000000,52,52)))))))))))))))))))</f>
        <v>17</v>
      </c>
      <c r="CR30" s="50">
        <f>(CM30+CO30)/209</f>
        <v>10199.043062200957</v>
      </c>
      <c r="CS30" s="52">
        <v>27500000</v>
      </c>
      <c r="CT30" s="53">
        <f>IFERROR(CS30/12,"")</f>
        <v>2291666.6666666665</v>
      </c>
      <c r="CU30" s="53">
        <f>IFERROR(CT30-CV30-CW30,"")</f>
        <v>1842466.2402274341</v>
      </c>
      <c r="CV30" s="53">
        <f>IFERROR(CT30*(CY30*1.5)/(209+(CY30*1.5)),"")</f>
        <v>249200.42643923237</v>
      </c>
      <c r="CW30" s="54">
        <v>200000</v>
      </c>
      <c r="CX30" s="54">
        <v>209</v>
      </c>
      <c r="CY30" s="54">
        <v>17</v>
      </c>
      <c r="CZ30" s="55">
        <f>SUM(CX30:CY30)</f>
        <v>226</v>
      </c>
      <c r="DA30" s="55">
        <f>IFERROR((CU30/209)+(CW30-(9620*209*0.01))/209,"")</f>
        <v>9676.3657427149956</v>
      </c>
      <c r="DB30" s="56">
        <f>IFERROR((CU30+CW30)/209,"")</f>
        <v>9772.5657427149963</v>
      </c>
      <c r="DC30" s="57">
        <v>2023</v>
      </c>
      <c r="DD30" s="58"/>
      <c r="DE30" s="58"/>
      <c r="DF30" s="57"/>
      <c r="DG30" s="59">
        <f>B30</f>
        <v>220404</v>
      </c>
      <c r="DH30" s="58"/>
      <c r="DI30" s="58"/>
      <c r="DJ30" s="60"/>
      <c r="DK30" s="58"/>
      <c r="DL30" s="61"/>
      <c r="DM30" s="24"/>
    </row>
    <row r="31" spans="1:117" ht="15" customHeight="1">
      <c r="A31" s="25">
        <f>ROW()-2</f>
        <v>29</v>
      </c>
      <c r="B31" s="26">
        <v>220501</v>
      </c>
      <c r="C31" s="27" t="s">
        <v>625</v>
      </c>
      <c r="D31" s="27"/>
      <c r="E31" s="27" t="s">
        <v>239</v>
      </c>
      <c r="F31" s="27" t="s">
        <v>196</v>
      </c>
      <c r="G31" s="27" t="s">
        <v>493</v>
      </c>
      <c r="H31" s="27" t="s">
        <v>494</v>
      </c>
      <c r="I31" s="27" t="s">
        <v>494</v>
      </c>
      <c r="J31" s="27" t="str">
        <f>+VLOOKUP($I31,[1]프로젝트현황!$I:$N,5,0)</f>
        <v>서울시</v>
      </c>
      <c r="K31" s="27" t="str">
        <f>+VLOOKUP($I31,[1]프로젝트현황!$I:$N,6,0)</f>
        <v>강남구</v>
      </c>
      <c r="L31" s="28">
        <v>44683</v>
      </c>
      <c r="M31" s="28">
        <v>44683</v>
      </c>
      <c r="N31" s="28"/>
      <c r="O31" s="29"/>
      <c r="P31" s="30" t="s">
        <v>626</v>
      </c>
      <c r="Q31" s="27" t="s">
        <v>627</v>
      </c>
      <c r="R31" s="31" t="str">
        <f>LEFT(Q31,6)</f>
        <v>000206</v>
      </c>
      <c r="S31" s="31" t="str">
        <f>MID($Q31,3,2)</f>
        <v>02</v>
      </c>
      <c r="T31" s="31" t="str">
        <f>IF(OR(MID($Q31,8,1)="1",MID($Q31,8,1)="3"),"남자",IF(OR(MID($Q31,8,1)="2",MID($Q31,8,1)="4"),"여자",""))</f>
        <v>남자</v>
      </c>
      <c r="U31" s="31">
        <f ca="1">YEAR(TODAY())-IF(OR(MID($Q31,8,1)="1",MID($Q31,8,1)="2"),19&amp;LEFT($Q31,2),IF(OR(MID($Q31,8,1)="3",MID($Q31,8,1)="4"),20&amp;LEFT($Q31,2),""))+1</f>
        <v>27</v>
      </c>
      <c r="V31" s="31" t="s">
        <v>200</v>
      </c>
      <c r="W31" s="31" t="s">
        <v>201</v>
      </c>
      <c r="X31" s="27" t="s">
        <v>628</v>
      </c>
      <c r="Y31" s="27"/>
      <c r="Z31" s="27"/>
      <c r="AA31" s="32"/>
      <c r="AB31" s="31" t="s">
        <v>203</v>
      </c>
      <c r="AC31" s="27" t="s">
        <v>629</v>
      </c>
      <c r="AD31" s="33" t="str">
        <f ca="1">QUOTIENT(SUMPRODUCT(LEFT($AE31:$AF31,FIND("년",$AE31:$AF31)-1)*12+MID($AE31:$AF31,FIND("년",$AE31:$AF31)+1,FIND("개월",$AE31:$AF31)-FIND("년",$AE31:$AF31)-1)),12)&amp;"년"&amp;MOD(SUMPRODUCT(LEFT($AE31:$AF31,FIND("년",$AE31:$AF31)-1)*12+MID($AE31:$AF31,FIND("년",$AE31:$AF31)+1,FIND("개월",$AE31:$AF31)-FIND("년",$AE31:$AF31)-1)),12)&amp;"개월"</f>
        <v>3년9개월</v>
      </c>
      <c r="AE31" s="33" t="s">
        <v>543</v>
      </c>
      <c r="AF31" s="34" t="str">
        <f ca="1">DATEDIF($L31,TODAY(),"y")&amp;"년"&amp;DATEDIF($L31,TODAY(),"ym")&amp;"개월"</f>
        <v>3년9개월</v>
      </c>
      <c r="AG31" s="35" t="s">
        <v>630</v>
      </c>
      <c r="AH31" s="35" t="s">
        <v>631</v>
      </c>
      <c r="AI31" s="30" t="s">
        <v>270</v>
      </c>
      <c r="AJ31" s="32">
        <v>44622</v>
      </c>
      <c r="AK31" s="36">
        <f ca="1">VALUE(LEFT($AD31,FIND("년",$AD31)-1))</f>
        <v>3</v>
      </c>
      <c r="AL31" s="31" t="str">
        <f ca="1">IF($AI31="학사",IF($AK31&lt;=5,"초급",IF($AK31&lt;9,"중급",IF($AK31&lt;12,"고급",IF($AK31&gt;=12,"특급")))))</f>
        <v>초급</v>
      </c>
      <c r="AM31" s="31" t="str">
        <f>IF(ISNUMBER(SEARCH("산업기사",$AT31)),IF($AK31&gt;=13,"특급",IF($AK31&gt;=10,"고급",IF($AK31&gt;=7,"중급","초급"))),IF(ISNUMBER(SEARCH("기사",$AR31)),IF($AK31&gt;=10,"특급",IF($AK31&gt;=7,"고급",IF($AK31&gt;=4,"중급","초급"))),"미해당"))</f>
        <v>미해당</v>
      </c>
      <c r="AN31" s="27"/>
      <c r="AO31" s="32"/>
      <c r="AP31" s="27"/>
      <c r="AQ31" s="32"/>
      <c r="AR31" s="27"/>
      <c r="AS31" s="32"/>
      <c r="AT31" s="37"/>
      <c r="AU31" s="27"/>
      <c r="AV31" s="38" t="s">
        <v>632</v>
      </c>
      <c r="AW31" s="39" t="s">
        <v>531</v>
      </c>
      <c r="AX31" s="39" t="s">
        <v>633</v>
      </c>
      <c r="AY31" s="40" t="s">
        <v>251</v>
      </c>
      <c r="AZ31" s="41" t="s">
        <v>252</v>
      </c>
      <c r="BA31" s="30" t="s">
        <v>230</v>
      </c>
      <c r="BB31" s="30" t="s">
        <v>634</v>
      </c>
      <c r="BC31" s="42" t="s">
        <v>254</v>
      </c>
      <c r="BD31" s="42" t="s">
        <v>635</v>
      </c>
      <c r="BE31" s="43" t="s">
        <v>636</v>
      </c>
      <c r="BF31" s="42" t="s">
        <v>211</v>
      </c>
      <c r="BG31" s="42" t="s">
        <v>371</v>
      </c>
      <c r="BH31" s="35"/>
      <c r="BI31" s="44" t="s">
        <v>637</v>
      </c>
      <c r="BJ31" s="45" t="str">
        <f>IFERROR(VLOOKUP($BG31,[1]프로젝트현황!Y:Z,2,0),"기타")</f>
        <v>서남권</v>
      </c>
      <c r="BK31" s="46" t="str">
        <f>(IF(BF31="","",BF31&amp;" "))&amp;(IF(BG31="","",BG31&amp;" "))&amp;(IF(BH31="","",BH31&amp;" "))&amp;BI31</f>
        <v>서울시 관악구 남부순환로 1527 (신림동) 502호</v>
      </c>
      <c r="BL31" s="47">
        <v>30</v>
      </c>
      <c r="BM31" s="47">
        <v>30</v>
      </c>
      <c r="BN31" s="48">
        <v>31800000</v>
      </c>
      <c r="BO31" s="48">
        <f>BP31*12</f>
        <v>31800116.400000002</v>
      </c>
      <c r="BP31" s="49">
        <f>SUM(BQ31:BS31)</f>
        <v>2650009.7000000002</v>
      </c>
      <c r="BQ31" s="49">
        <f>ROUNDUP(BN31/12*209/(209+BU31*1.5)/BL31*BM31,-1)-BS31</f>
        <v>1967720</v>
      </c>
      <c r="BR31" s="49">
        <f>ROUNDUP(BN31/12*(BU31*1.5)/(209+BU31*1.5)/BL31*BM31,1)</f>
        <v>482289.69999999995</v>
      </c>
      <c r="BS31" s="49">
        <v>200000</v>
      </c>
      <c r="BT31" s="50">
        <v>209</v>
      </c>
      <c r="BU31" s="49">
        <f>IF($BN31="","",
IFERROR(
    IF($BN31&lt;'[1]시간외시간 기준표'!$B$2,0,
        IF($BN31&gt;LOOKUP(9.9E+307,'[1]시간외시간 기준표'!$B$2:$B$999),
            LOOKUP(9.9E+307,'[1]시간외시간 기준표'!$C$2:$C$999),
            LOOKUP($BN31,'[1]시간외시간 기준표'!$B$2:$B$999,'[1]시간외시간 기준표'!$C$2:$C$999)
        )
    ),0)
)</f>
        <v>31</v>
      </c>
      <c r="BV31" s="50">
        <f>(BQ31+BS31)/209</f>
        <v>10371.866028708135</v>
      </c>
      <c r="BW31" s="51">
        <v>30</v>
      </c>
      <c r="BX31" s="51">
        <v>30</v>
      </c>
      <c r="BY31" s="52">
        <v>31800000</v>
      </c>
      <c r="BZ31" s="52">
        <f>CA31*12</f>
        <v>31800082.799999997</v>
      </c>
      <c r="CA31" s="49">
        <f>SUM(CB31:CD31)</f>
        <v>2650006.9</v>
      </c>
      <c r="CB31" s="49">
        <f>ROUNDUP(BY31/12*209/(209+CF31*1.5)/BW31*BX31,-1)-CD31</f>
        <v>1942560</v>
      </c>
      <c r="CC31" s="49">
        <f>ROUNDUP(BY31/12*(CF31*1.5)/(209+CF31*1.5)/BW31*BX31,1)</f>
        <v>507446.89999999997</v>
      </c>
      <c r="CD31" s="49">
        <v>200000</v>
      </c>
      <c r="CE31" s="50">
        <v>209</v>
      </c>
      <c r="CF31" s="49">
        <f>IF(BY31&lt;26000000,0,IF(BY31&lt;26500000,4,IF(BY31&lt;27000000,7,IF(BY31&lt;27500000,9,IF(BY31&lt;28000000,11,IF(BY31&lt;28500000,15,IF(BY31&lt;29000000,17,IF(BY31&lt;29500000,20,IF(BY31&lt;30000000,23,IF(BY31&lt;30500000,25,IF(BY31&lt;31000000,27,IF(BY31&lt;31500000,29,IF(BY31&lt;32000000,33,IF(BY31&lt;32500000,37,IF(BY31&lt;33000000,39,IF(BY31&lt;33500000,42,IF(BY31&lt;34000000,45,IF(BY31&lt;34500000,48,IF(BY31&lt;35000000,52,52)))))))))))))))))))</f>
        <v>33</v>
      </c>
      <c r="CG31" s="50">
        <f>(CB31+CD31)/209</f>
        <v>10251.483253588516</v>
      </c>
      <c r="CH31" s="51">
        <v>30</v>
      </c>
      <c r="CI31" s="51">
        <v>30</v>
      </c>
      <c r="CJ31" s="52">
        <v>31000000</v>
      </c>
      <c r="CK31" s="52">
        <f>CL31*12</f>
        <v>31000075.200000003</v>
      </c>
      <c r="CL31" s="49">
        <f>SUM(CM31:CO31)</f>
        <v>2583339.6</v>
      </c>
      <c r="CM31" s="49">
        <f>ROUNDUP(CJ31/12*209/(209+CQ31*1.5)/CH31*CI31,-1)-CO31</f>
        <v>1938290</v>
      </c>
      <c r="CN31" s="49">
        <f>ROUNDUP(CJ31/12*(CQ31*1.5)/(209+CQ31*1.5)/CH31*CI31,1)</f>
        <v>445049.59999999998</v>
      </c>
      <c r="CO31" s="50">
        <v>200000</v>
      </c>
      <c r="CP31" s="50">
        <v>209</v>
      </c>
      <c r="CQ31" s="50">
        <f>IF(CJ31&lt;26000000,0,IF(CJ31&lt;26500000,4,IF(CJ31&lt;27000000,7,IF(CJ31&lt;27500000,9,IF(CJ31&lt;28000000,11,IF(CJ31&lt;28500000,15,IF(CJ31&lt;29000000,17,IF(CJ31&lt;29500000,20,IF(CJ31&lt;30000000,23,IF(CJ31&lt;30500000,25,IF(CJ31&lt;31000000,27,IF(CJ31&lt;31500000,29,IF(CJ31&lt;32000000,33,IF(CJ31&lt;32500000,37,IF(CJ31&lt;33000000,39,IF(CJ31&lt;33500000,42,IF(CJ31&lt;34000000,45,IF(CJ31&lt;34500000,48,IF(CJ31&lt;35000000,52,52)))))))))))))))))))</f>
        <v>29</v>
      </c>
      <c r="CR31" s="50">
        <f>(CM31+CO31)/209</f>
        <v>10231.052631578947</v>
      </c>
      <c r="CS31" s="52">
        <v>28000000</v>
      </c>
      <c r="CT31" s="53">
        <f>IFERROR(CS31/12,"")</f>
        <v>2333333.3333333335</v>
      </c>
      <c r="CU31" s="53">
        <f>IFERROR(CT31-CV31-CW31,"")</f>
        <v>1840446.3040446306</v>
      </c>
      <c r="CV31" s="53">
        <f>IFERROR(CT31*(CY31*1.5)/(209+(CY31*1.5)),"")</f>
        <v>292887.02928870294</v>
      </c>
      <c r="CW31" s="54">
        <v>200000</v>
      </c>
      <c r="CX31" s="54">
        <v>209</v>
      </c>
      <c r="CY31" s="54">
        <v>20</v>
      </c>
      <c r="CZ31" s="55">
        <f>SUM(CX31:CY31)</f>
        <v>229</v>
      </c>
      <c r="DA31" s="55">
        <f>IFERROR((CU31/209)+(CW31-(9620*209*0.01))/209,"")</f>
        <v>9666.7009762900998</v>
      </c>
      <c r="DB31" s="56">
        <f>IFERROR((CU31+CW31)/209,"")</f>
        <v>9762.9009762900987</v>
      </c>
      <c r="DC31" s="57">
        <v>2023</v>
      </c>
      <c r="DD31" s="58"/>
      <c r="DE31" s="58"/>
      <c r="DF31" s="57"/>
      <c r="DG31" s="59">
        <f>B31</f>
        <v>220501</v>
      </c>
      <c r="DH31" s="58"/>
      <c r="DI31" s="58"/>
      <c r="DJ31" s="60"/>
      <c r="DK31" s="58"/>
      <c r="DL31" s="61"/>
      <c r="DM31" s="24"/>
    </row>
    <row r="32" spans="1:117" ht="15" customHeight="1">
      <c r="A32" s="25">
        <f>ROW()-2</f>
        <v>30</v>
      </c>
      <c r="B32" s="26">
        <v>220602</v>
      </c>
      <c r="C32" s="27" t="s">
        <v>638</v>
      </c>
      <c r="D32" s="27"/>
      <c r="E32" s="27" t="s">
        <v>613</v>
      </c>
      <c r="F32" s="27" t="s">
        <v>196</v>
      </c>
      <c r="G32" s="27" t="s">
        <v>240</v>
      </c>
      <c r="H32" s="27" t="s">
        <v>217</v>
      </c>
      <c r="I32" s="27" t="s">
        <v>479</v>
      </c>
      <c r="J32" s="27" t="str">
        <f>+VLOOKUP($I32,[1]프로젝트현황!$I:$N,5,0)</f>
        <v>경기도</v>
      </c>
      <c r="K32" s="27" t="str">
        <f>+VLOOKUP($I32,[1]프로젝트현황!$I:$N,6,0)</f>
        <v>성남시</v>
      </c>
      <c r="L32" s="28">
        <v>44719</v>
      </c>
      <c r="M32" s="28">
        <v>44719</v>
      </c>
      <c r="N32" s="28"/>
      <c r="O32" s="29"/>
      <c r="P32" s="30" t="s">
        <v>639</v>
      </c>
      <c r="Q32" s="27" t="s">
        <v>640</v>
      </c>
      <c r="R32" s="31" t="str">
        <f>LEFT(Q32,6)</f>
        <v>920626</v>
      </c>
      <c r="S32" s="31" t="str">
        <f>MID($Q32,3,2)</f>
        <v>06</v>
      </c>
      <c r="T32" s="31" t="str">
        <f>IF(OR(MID($Q32,8,1)="1",MID($Q32,8,1)="3"),"남자",IF(OR(MID($Q32,8,1)="2",MID($Q32,8,1)="4"),"여자",""))</f>
        <v>남자</v>
      </c>
      <c r="U32" s="31">
        <f ca="1">YEAR(TODAY())-IF(OR(MID($Q32,8,1)="1",MID($Q32,8,1)="2"),19&amp;LEFT($Q32,2),IF(OR(MID($Q32,8,1)="3",MID($Q32,8,1)="4"),20&amp;LEFT($Q32,2),""))+1</f>
        <v>35</v>
      </c>
      <c r="V32" s="31" t="s">
        <v>200</v>
      </c>
      <c r="W32" s="31" t="s">
        <v>201</v>
      </c>
      <c r="X32" s="27" t="s">
        <v>641</v>
      </c>
      <c r="Y32" s="27"/>
      <c r="Z32" s="27" t="s">
        <v>266</v>
      </c>
      <c r="AA32" s="32"/>
      <c r="AB32" s="31" t="s">
        <v>203</v>
      </c>
      <c r="AC32" s="27" t="s">
        <v>642</v>
      </c>
      <c r="AD32" s="33" t="str">
        <f ca="1">QUOTIENT(SUMPRODUCT(LEFT($AE32:$AF32,FIND("년",$AE32:$AF32)-1)*12+MID($AE32:$AF32,FIND("년",$AE32:$AF32)+1,FIND("개월",$AE32:$AF32)-FIND("년",$AE32:$AF32)-1)),12)&amp;"년"&amp;MOD(SUMPRODUCT(LEFT($AE32:$AF32,FIND("년",$AE32:$AF32)-1)*12+MID($AE32:$AF32,FIND("년",$AE32:$AF32)+1,FIND("개월",$AE32:$AF32)-FIND("년",$AE32:$AF32)-1)),12)&amp;"개월"</f>
        <v>3년8개월</v>
      </c>
      <c r="AE32" s="33" t="s">
        <v>543</v>
      </c>
      <c r="AF32" s="34" t="str">
        <f ca="1">DATEDIF($L32,TODAY(),"y")&amp;"년"&amp;DATEDIF($L32,TODAY(),"ym")&amp;"개월"</f>
        <v>3년8개월</v>
      </c>
      <c r="AG32" s="35" t="s">
        <v>643</v>
      </c>
      <c r="AH32" s="35" t="s">
        <v>644</v>
      </c>
      <c r="AI32" s="30" t="s">
        <v>365</v>
      </c>
      <c r="AJ32" s="32">
        <v>40583</v>
      </c>
      <c r="AK32" s="36">
        <f ca="1">VALUE(LEFT($AD32,FIND("년",$AD32)-1))</f>
        <v>3</v>
      </c>
      <c r="AL32" s="31" t="str">
        <f ca="1">IF($AI32="고졸",IF($AK32&lt;=11,"초급",IF($AK32&lt;=14,"중급",IF($AK32&lt;=17,"고급",IF($AK32&gt;=18,"특급")))))</f>
        <v>초급</v>
      </c>
      <c r="AM32" s="31" t="str">
        <f>IF(ISNUMBER(SEARCH("산업기사",$AT32)),IF($AK32&gt;=13,"특급",IF($AK32&gt;=10,"고급",IF($AK32&gt;=7,"중급","초급"))),IF(ISNUMBER(SEARCH("기사",$AR32)),IF($AK32&gt;=10,"특급",IF($AK32&gt;=7,"고급",IF($AK32&gt;=4,"중급","초급"))),"미해당"))</f>
        <v>미해당</v>
      </c>
      <c r="AN32" s="27"/>
      <c r="AO32" s="32"/>
      <c r="AP32" s="27" t="s">
        <v>137</v>
      </c>
      <c r="AQ32" s="32">
        <v>44728</v>
      </c>
      <c r="AR32" s="27"/>
      <c r="AS32" s="27"/>
      <c r="AT32" s="37"/>
      <c r="AU32" s="27"/>
      <c r="AV32" s="38"/>
      <c r="AW32" s="39" t="s">
        <v>645</v>
      </c>
      <c r="AX32" s="39" t="s">
        <v>646</v>
      </c>
      <c r="AY32" s="40" t="s">
        <v>251</v>
      </c>
      <c r="AZ32" s="41" t="s">
        <v>252</v>
      </c>
      <c r="BA32" s="30" t="s">
        <v>230</v>
      </c>
      <c r="BB32" s="30" t="s">
        <v>647</v>
      </c>
      <c r="BC32" s="42" t="s">
        <v>254</v>
      </c>
      <c r="BD32" s="42" t="s">
        <v>648</v>
      </c>
      <c r="BE32" s="43" t="s">
        <v>649</v>
      </c>
      <c r="BF32" s="42" t="s">
        <v>211</v>
      </c>
      <c r="BG32" s="42" t="s">
        <v>650</v>
      </c>
      <c r="BH32" s="35"/>
      <c r="BI32" s="44" t="s">
        <v>651</v>
      </c>
      <c r="BJ32" s="45" t="str">
        <f>IFERROR(VLOOKUP($BG32,[1]프로젝트현황!Y:Z,2,0),"기타")</f>
        <v>동북권</v>
      </c>
      <c r="BK32" s="46" t="str">
        <f>(IF(BF32="","",BF32&amp;" "))&amp;(IF(BG32="","",BG32&amp;" "))&amp;(IF(BH32="","",BH32&amp;" "))&amp;BI32</f>
        <v>서울시 광진구 뚝섬로45길 40 (자양동)</v>
      </c>
      <c r="BL32" s="47">
        <v>30</v>
      </c>
      <c r="BM32" s="47">
        <v>30</v>
      </c>
      <c r="BN32" s="48">
        <v>27900000</v>
      </c>
      <c r="BO32" s="48">
        <f>BP32*12</f>
        <v>27900024</v>
      </c>
      <c r="BP32" s="49">
        <f>SUM(BQ32:BS32)</f>
        <v>2325002</v>
      </c>
      <c r="BQ32" s="49">
        <f>ROUNDUP(BN32/12*209/(209+BU32*1.5)/BL32*BM32,-1)-BS32</f>
        <v>1969310</v>
      </c>
      <c r="BR32" s="49">
        <f>ROUNDUP(BN32/12*(BU32*1.5)/(209+BU32*1.5)/BL32*BM32,1)</f>
        <v>155692</v>
      </c>
      <c r="BS32" s="49">
        <v>200000</v>
      </c>
      <c r="BT32" s="50">
        <v>209</v>
      </c>
      <c r="BU32" s="49">
        <f>IF($BN32="","",
IFERROR(
    IF($BN32&lt;'[1]시간외시간 기준표'!$B$2,0,
        IF($BN32&gt;LOOKUP(9.9E+307,'[1]시간외시간 기준표'!$B$2:$B$999),
            LOOKUP(9.9E+307,'[1]시간외시간 기준표'!$C$2:$C$999),
            LOOKUP($BN32,'[1]시간외시간 기준표'!$B$2:$B$999,'[1]시간외시간 기준표'!$C$2:$C$999)
        )
    ),0)
)</f>
        <v>10</v>
      </c>
      <c r="BV32" s="50">
        <f>(BQ32+BS32)/209</f>
        <v>10379.473684210527</v>
      </c>
      <c r="BW32" s="51">
        <v>30</v>
      </c>
      <c r="BX32" s="51">
        <v>30</v>
      </c>
      <c r="BY32" s="52">
        <v>27900000</v>
      </c>
      <c r="BZ32" s="52">
        <f>CA32*12</f>
        <v>27900024</v>
      </c>
      <c r="CA32" s="49">
        <f>SUM(CB32:CD32)</f>
        <v>2325002</v>
      </c>
      <c r="CB32" s="49">
        <f>ROUNDUP(BY32/12*209/(209+CF32*1.5)/BW32*BX32,-1)-CD32</f>
        <v>1954880</v>
      </c>
      <c r="CC32" s="49">
        <f>ROUNDUP(BY32/12*(CF32*1.5)/(209+CF32*1.5)/BW32*BX32,1)</f>
        <v>170122</v>
      </c>
      <c r="CD32" s="49">
        <v>200000</v>
      </c>
      <c r="CE32" s="50">
        <v>209</v>
      </c>
      <c r="CF32" s="49">
        <f>IF(BY32&lt;26000000,0,IF(BY32&lt;26500000,4,IF(BY32&lt;27000000,7,IF(BY32&lt;27500000,9,IF(BY32&lt;28000000,11,IF(BY32&lt;28500000,15,IF(BY32&lt;29000000,17,IF(BY32&lt;29500000,20,IF(BY32&lt;30000000,23,IF(BY32&lt;30500000,25,IF(BY32&lt;31000000,27,IF(BY32&lt;31500000,29,IF(BY32&lt;32000000,33,IF(BY32&lt;32500000,37,IF(BY32&lt;33000000,39,IF(BY32&lt;33500000,42,IF(BY32&lt;34000000,45,IF(BY32&lt;34500000,48,IF(BY32&lt;35000000,52,52)))))))))))))))))))</f>
        <v>11</v>
      </c>
      <c r="CG32" s="50">
        <f>(CB32+CD32)/209</f>
        <v>10310.43062200957</v>
      </c>
      <c r="CH32" s="51">
        <v>30</v>
      </c>
      <c r="CI32" s="51">
        <v>30</v>
      </c>
      <c r="CJ32" s="52">
        <v>27100000</v>
      </c>
      <c r="CK32" s="52">
        <f>CL32*12</f>
        <v>27100110</v>
      </c>
      <c r="CL32" s="49">
        <f>SUM(CM32:CO32)</f>
        <v>2258342.5</v>
      </c>
      <c r="CM32" s="49">
        <f>ROUNDUP(CJ32/12*209/(209+CQ32*1.5)/CH32*CI32,-1)-CO32</f>
        <v>1921320</v>
      </c>
      <c r="CN32" s="49">
        <f>ROUNDUP(CJ32/12*(CQ32*1.5)/(209+CQ32*1.5)/CH32*CI32,1)</f>
        <v>137022.5</v>
      </c>
      <c r="CO32" s="50">
        <v>200000</v>
      </c>
      <c r="CP32" s="50">
        <v>209</v>
      </c>
      <c r="CQ32" s="50">
        <f>IF(CJ32&lt;26000000,0,IF(CJ32&lt;26500000,4,IF(CJ32&lt;27000000,7,IF(CJ32&lt;27500000,9,IF(CJ32&lt;28000000,11,IF(CJ32&lt;28500000,15,IF(CJ32&lt;29000000,17,IF(CJ32&lt;29500000,20,IF(CJ32&lt;30000000,23,IF(CJ32&lt;30500000,25,IF(CJ32&lt;31000000,27,IF(CJ32&lt;31500000,29,IF(CJ32&lt;32000000,33,IF(CJ32&lt;32500000,37,IF(CJ32&lt;33000000,39,IF(CJ32&lt;33500000,42,IF(CJ32&lt;34000000,45,IF(CJ32&lt;34500000,48,IF(CJ32&lt;35000000,52,52)))))))))))))))))))</f>
        <v>9</v>
      </c>
      <c r="CR32" s="50">
        <f>(CM32+CO32)/209</f>
        <v>10149.856459330143</v>
      </c>
      <c r="CS32" s="52">
        <v>26500000</v>
      </c>
      <c r="CT32" s="53">
        <f>IFERROR(CS32/12,"")</f>
        <v>2208333.3333333335</v>
      </c>
      <c r="CU32" s="53">
        <f>IFERROR(CT32-CV32-CW32,"")</f>
        <v>1833223.2011747432</v>
      </c>
      <c r="CV32" s="53">
        <f>IFERROR(CT32*(CY32*1.5)/(209+(CY32*1.5)),"")</f>
        <v>175110.13215859031</v>
      </c>
      <c r="CW32" s="54">
        <v>200000</v>
      </c>
      <c r="CX32" s="54">
        <v>209</v>
      </c>
      <c r="CY32" s="54">
        <v>12</v>
      </c>
      <c r="CZ32" s="55">
        <f>SUM(CX32:CY32)</f>
        <v>221</v>
      </c>
      <c r="DA32" s="55">
        <f>IFERROR((CU32/209)+(CW32-(9620*209*0.01))/209,"")</f>
        <v>9632.1406754772397</v>
      </c>
      <c r="DB32" s="56">
        <f>IFERROR((CU32+CW32)/209,"")</f>
        <v>9728.3406754772404</v>
      </c>
      <c r="DC32" s="57">
        <v>2023</v>
      </c>
      <c r="DD32" s="58"/>
      <c r="DE32" s="58"/>
      <c r="DF32" s="57"/>
      <c r="DG32" s="59">
        <f>B32</f>
        <v>220602</v>
      </c>
      <c r="DH32" s="58"/>
      <c r="DI32" s="58"/>
      <c r="DJ32" s="60"/>
      <c r="DK32" s="58"/>
      <c r="DL32" s="61"/>
      <c r="DM32" s="24"/>
    </row>
    <row r="33" spans="1:117" ht="15" customHeight="1">
      <c r="A33" s="25">
        <f>ROW()-2</f>
        <v>31</v>
      </c>
      <c r="B33" s="26">
        <v>220604</v>
      </c>
      <c r="C33" s="27" t="s">
        <v>652</v>
      </c>
      <c r="D33" s="27"/>
      <c r="E33" s="27" t="s">
        <v>239</v>
      </c>
      <c r="F33" s="27" t="s">
        <v>196</v>
      </c>
      <c r="G33" s="27" t="s">
        <v>240</v>
      </c>
      <c r="H33" s="27" t="s">
        <v>241</v>
      </c>
      <c r="I33" s="27" t="s">
        <v>653</v>
      </c>
      <c r="J33" s="27" t="str">
        <f>+VLOOKUP($I33,[1]프로젝트현황!$I:$N,5,0)</f>
        <v>서울시</v>
      </c>
      <c r="K33" s="27" t="str">
        <f>+VLOOKUP($I33,[1]프로젝트현황!$I:$N,6,0)</f>
        <v>강남구</v>
      </c>
      <c r="L33" s="28">
        <v>44732</v>
      </c>
      <c r="M33" s="28">
        <v>44732</v>
      </c>
      <c r="N33" s="28"/>
      <c r="O33" s="29"/>
      <c r="P33" s="30" t="s">
        <v>654</v>
      </c>
      <c r="Q33" s="27" t="s">
        <v>655</v>
      </c>
      <c r="R33" s="31" t="str">
        <f>LEFT(Q33,6)</f>
        <v>010420</v>
      </c>
      <c r="S33" s="31" t="str">
        <f>MID($Q33,3,2)</f>
        <v>04</v>
      </c>
      <c r="T33" s="31" t="str">
        <f>IF(OR(MID($Q33,8,1)="1",MID($Q33,8,1)="3"),"남자",IF(OR(MID($Q33,8,1)="2",MID($Q33,8,1)="4"),"여자",""))</f>
        <v>여자</v>
      </c>
      <c r="U33" s="31">
        <f ca="1">YEAR(TODAY())-IF(OR(MID($Q33,8,1)="1",MID($Q33,8,1)="2"),19&amp;LEFT($Q33,2),IF(OR(MID($Q33,8,1)="3",MID($Q33,8,1)="4"),20&amp;LEFT($Q33,2),""))+1</f>
        <v>26</v>
      </c>
      <c r="V33" s="31" t="s">
        <v>200</v>
      </c>
      <c r="W33" s="31" t="s">
        <v>201</v>
      </c>
      <c r="X33" s="27" t="s">
        <v>656</v>
      </c>
      <c r="Y33" s="27"/>
      <c r="Z33" s="27" t="s">
        <v>266</v>
      </c>
      <c r="AA33" s="32"/>
      <c r="AB33" s="31" t="s">
        <v>203</v>
      </c>
      <c r="AC33" s="27" t="s">
        <v>657</v>
      </c>
      <c r="AD33" s="33" t="str">
        <f ca="1">QUOTIENT(SUMPRODUCT(LEFT($AE33:$AF33,FIND("년",$AE33:$AF33)-1)*12+MID($AE33:$AF33,FIND("년",$AE33:$AF33)+1,FIND("개월",$AE33:$AF33)-FIND("년",$AE33:$AF33)-1)),12)&amp;"년"&amp;MOD(SUMPRODUCT(LEFT($AE33:$AF33,FIND("년",$AE33:$AF33)-1)*12+MID($AE33:$AF33,FIND("년",$AE33:$AF33)+1,FIND("개월",$AE33:$AF33)-FIND("년",$AE33:$AF33)-1)),12)&amp;"개월"</f>
        <v>4년7개월</v>
      </c>
      <c r="AE33" s="33" t="s">
        <v>436</v>
      </c>
      <c r="AF33" s="34" t="str">
        <f ca="1">DATEDIF($L33,TODAY(),"y")&amp;"년"&amp;DATEDIF($L33,TODAY(),"ym")&amp;"개월"</f>
        <v>3년7개월</v>
      </c>
      <c r="AG33" s="35" t="s">
        <v>544</v>
      </c>
      <c r="AH33" s="35" t="s">
        <v>658</v>
      </c>
      <c r="AI33" s="30" t="s">
        <v>205</v>
      </c>
      <c r="AJ33" s="32">
        <v>44607</v>
      </c>
      <c r="AK33" s="36">
        <f ca="1">VALUE(LEFT($AD33,FIND("년",$AD33)-1))</f>
        <v>4</v>
      </c>
      <c r="AL33" s="31" t="str">
        <f ca="1">IF($AI33="전문학사",IF($AK33&lt;=8,"초급",IF($AK33&lt;12,"중급",IF($AK33&lt;15,"고급",IF($AK33&gt;=15,"특급")))))</f>
        <v>초급</v>
      </c>
      <c r="AM33" s="31" t="str">
        <f>IF(ISNUMBER(SEARCH("산업기사",$AT33)),IF($AK33&gt;=13,"특급",IF($AK33&gt;=10,"고급",IF($AK33&gt;=7,"중급","초급"))),IF(ISNUMBER(SEARCH("기사",$AR33)),IF($AK33&gt;=10,"특급",IF($AK33&gt;=7,"고급",IF($AK33&gt;=4,"중급","초급"))),"미해당"))</f>
        <v>미해당</v>
      </c>
      <c r="AN33" s="27"/>
      <c r="AO33" s="32"/>
      <c r="AP33" s="27"/>
      <c r="AQ33" s="32"/>
      <c r="AR33" s="27"/>
      <c r="AS33" s="27"/>
      <c r="AT33" s="37"/>
      <c r="AU33" s="27"/>
      <c r="AV33" s="38"/>
      <c r="AW33" s="39"/>
      <c r="AX33" s="39"/>
      <c r="AY33" s="40" t="s">
        <v>251</v>
      </c>
      <c r="AZ33" s="41" t="s">
        <v>252</v>
      </c>
      <c r="BA33" s="30" t="s">
        <v>230</v>
      </c>
      <c r="BB33" s="30" t="s">
        <v>659</v>
      </c>
      <c r="BC33" s="42" t="s">
        <v>254</v>
      </c>
      <c r="BD33" s="42" t="s">
        <v>660</v>
      </c>
      <c r="BE33" s="43" t="s">
        <v>661</v>
      </c>
      <c r="BF33" s="42" t="s">
        <v>234</v>
      </c>
      <c r="BG33" s="42" t="s">
        <v>662</v>
      </c>
      <c r="BH33" s="35"/>
      <c r="BI33" s="44" t="s">
        <v>663</v>
      </c>
      <c r="BJ33" s="45" t="str">
        <f>IFERROR(VLOOKUP($BG33,[1]프로젝트현황!Y:Z,2,0),"기타")</f>
        <v>서남권</v>
      </c>
      <c r="BK33" s="46" t="str">
        <f>(IF(BF33="","",BF33&amp;" "))&amp;(IF(BG33="","",BG33&amp;" "))&amp;(IF(BH33="","",BH33&amp;" "))&amp;BI33</f>
        <v>경기도 광명시 광명로927번길 6-10, 302호(광명동, 보륭빌라)</v>
      </c>
      <c r="BL33" s="47">
        <v>30</v>
      </c>
      <c r="BM33" s="47">
        <v>30</v>
      </c>
      <c r="BN33" s="48">
        <v>29500000</v>
      </c>
      <c r="BO33" s="48">
        <f>BP33*12</f>
        <v>29500080</v>
      </c>
      <c r="BP33" s="49">
        <f>SUM(BQ33:BS33)</f>
        <v>2458340</v>
      </c>
      <c r="BQ33" s="49">
        <f>ROUNDUP(BN33/12*209/(209+BU33*1.5)/BL33*BM33,-1)-BS33</f>
        <v>1977090</v>
      </c>
      <c r="BR33" s="49">
        <f>ROUNDUP(BN33/12*(BU33*1.5)/(209+BU33*1.5)/BL33*BM33,1)</f>
        <v>281250</v>
      </c>
      <c r="BS33" s="49">
        <v>200000</v>
      </c>
      <c r="BT33" s="50">
        <v>209</v>
      </c>
      <c r="BU33" s="49">
        <f>IF($BN33="","",
IFERROR(
    IF($BN33&lt;'[1]시간외시간 기준표'!$B$2,0,
        IF($BN33&gt;LOOKUP(9.9E+307,'[1]시간외시간 기준표'!$B$2:$B$999),
            LOOKUP(9.9E+307,'[1]시간외시간 기준표'!$C$2:$C$999),
            LOOKUP($BN33,'[1]시간외시간 기준표'!$B$2:$B$999,'[1]시간외시간 기준표'!$C$2:$C$999)
        )
    ),0)
)</f>
        <v>18</v>
      </c>
      <c r="BV33" s="50">
        <f>(BQ33+BS33)/209</f>
        <v>10416.698564593302</v>
      </c>
      <c r="BW33" s="51">
        <v>30</v>
      </c>
      <c r="BX33" s="51">
        <v>30</v>
      </c>
      <c r="BY33" s="52">
        <v>29500000</v>
      </c>
      <c r="BZ33" s="52">
        <f>CA33*12</f>
        <v>29500032</v>
      </c>
      <c r="CA33" s="49">
        <f>SUM(CB33:CD33)</f>
        <v>2458336</v>
      </c>
      <c r="CB33" s="49">
        <f>ROUNDUP(BY33/12*209/(209+CF33*1.5)/BW33*BX33,-1)-CD33</f>
        <v>1910030</v>
      </c>
      <c r="CC33" s="49">
        <f>ROUNDUP(BY33/12*(CF33*1.5)/(209+CF33*1.5)/BW33*BX33,1)</f>
        <v>348306</v>
      </c>
      <c r="CD33" s="49">
        <v>200000</v>
      </c>
      <c r="CE33" s="50">
        <v>209</v>
      </c>
      <c r="CF33" s="49">
        <f>IF(BY33&lt;26000000,0,IF(BY33&lt;26500000,4,IF(BY33&lt;27000000,7,IF(BY33&lt;27500000,9,IF(BY33&lt;28000000,11,IF(BY33&lt;28500000,15,IF(BY33&lt;29000000,17,IF(BY33&lt;29500000,20,IF(BY33&lt;30000000,23,IF(BY33&lt;30500000,25,IF(BY33&lt;31000000,27,IF(BY33&lt;31500000,29,IF(BY33&lt;32000000,33,IF(BY33&lt;32500000,37,IF(BY33&lt;33000000,39,IF(BY33&lt;33500000,42,IF(BY33&lt;34000000,45,IF(BY33&lt;34500000,48,IF(BY33&lt;35000000,52,52)))))))))))))))))))</f>
        <v>23</v>
      </c>
      <c r="CG33" s="50">
        <f>(CB33+CD33)/209</f>
        <v>10095.837320574163</v>
      </c>
      <c r="CH33" s="51">
        <v>30</v>
      </c>
      <c r="CI33" s="51">
        <v>30</v>
      </c>
      <c r="CJ33" s="52">
        <v>28700000</v>
      </c>
      <c r="CK33" s="52">
        <f>CL33*12</f>
        <v>28700096.400000002</v>
      </c>
      <c r="CL33" s="49">
        <f>SUM(CM33:CO33)</f>
        <v>2391674.7000000002</v>
      </c>
      <c r="CM33" s="49">
        <f>ROUNDUP(CJ33/12*209/(209+CQ33*1.5)/CH33*CI33,-1)-CO33</f>
        <v>1931600</v>
      </c>
      <c r="CN33" s="49">
        <f>ROUNDUP(CJ33/12*(CQ33*1.5)/(209+CQ33*1.5)/CH33*CI33,1)</f>
        <v>260074.7</v>
      </c>
      <c r="CO33" s="50">
        <v>200000</v>
      </c>
      <c r="CP33" s="50">
        <v>209</v>
      </c>
      <c r="CQ33" s="50">
        <f>IF(CJ33&lt;26000000,0,IF(CJ33&lt;26500000,4,IF(CJ33&lt;27000000,7,IF(CJ33&lt;27500000,9,IF(CJ33&lt;28000000,11,IF(CJ33&lt;28500000,15,IF(CJ33&lt;29000000,17,IF(CJ33&lt;29500000,20,IF(CJ33&lt;30000000,23,IF(CJ33&lt;30500000,25,IF(CJ33&lt;31000000,27,IF(CJ33&lt;31500000,29,IF(CJ33&lt;32000000,33,IF(CJ33&lt;32500000,37,IF(CJ33&lt;33000000,39,IF(CJ33&lt;33500000,42,IF(CJ33&lt;34000000,45,IF(CJ33&lt;34500000,48,IF(CJ33&lt;35000000,52,52)))))))))))))))))))</f>
        <v>17</v>
      </c>
      <c r="CR33" s="50">
        <f>(CM33+CO33)/209</f>
        <v>10199.043062200957</v>
      </c>
      <c r="CS33" s="52">
        <v>27500000</v>
      </c>
      <c r="CT33" s="53">
        <f>IFERROR(CS33/12,"")</f>
        <v>2291666.6666666665</v>
      </c>
      <c r="CU33" s="53">
        <f>IFERROR(CT33-CV33-CW33,"")</f>
        <v>1842466.2402274341</v>
      </c>
      <c r="CV33" s="53">
        <f>IFERROR(CT33*(CY33*1.5)/(209+(CY33*1.5)),"")</f>
        <v>249200.42643923237</v>
      </c>
      <c r="CW33" s="54">
        <v>200000</v>
      </c>
      <c r="CX33" s="54">
        <v>209</v>
      </c>
      <c r="CY33" s="54">
        <v>17</v>
      </c>
      <c r="CZ33" s="55">
        <f>SUM(CX33:CY33)</f>
        <v>226</v>
      </c>
      <c r="DA33" s="55">
        <f>IFERROR((CU33/209)+(CW33-(9620*209*0.01))/209,"")</f>
        <v>9676.3657427149956</v>
      </c>
      <c r="DB33" s="56">
        <f>IFERROR((CU33+CW33)/209,"")</f>
        <v>9772.5657427149963</v>
      </c>
      <c r="DC33" s="57">
        <v>2023</v>
      </c>
      <c r="DD33" s="58"/>
      <c r="DE33" s="58"/>
      <c r="DF33" s="57"/>
      <c r="DG33" s="59">
        <f>B33</f>
        <v>220604</v>
      </c>
      <c r="DH33" s="58"/>
      <c r="DI33" s="58"/>
      <c r="DJ33" s="60"/>
      <c r="DK33" s="58"/>
      <c r="DL33" s="61"/>
      <c r="DM33" s="24"/>
    </row>
    <row r="34" spans="1:117" ht="15" customHeight="1">
      <c r="A34" s="25">
        <f>ROW()-2</f>
        <v>32</v>
      </c>
      <c r="B34" s="26">
        <v>220702</v>
      </c>
      <c r="C34" s="27" t="s">
        <v>664</v>
      </c>
      <c r="D34" s="27"/>
      <c r="E34" s="27" t="s">
        <v>613</v>
      </c>
      <c r="F34" s="27" t="s">
        <v>196</v>
      </c>
      <c r="G34" s="27" t="s">
        <v>240</v>
      </c>
      <c r="H34" s="27" t="s">
        <v>260</v>
      </c>
      <c r="I34" s="27" t="s">
        <v>565</v>
      </c>
      <c r="J34" s="27" t="str">
        <f>+VLOOKUP($I34,[1]프로젝트현황!$I:$N,5,0)</f>
        <v>서울시</v>
      </c>
      <c r="K34" s="27" t="str">
        <f>+VLOOKUP($I34,[1]프로젝트현황!$I:$N,6,0)</f>
        <v>구로구</v>
      </c>
      <c r="L34" s="28">
        <v>44746</v>
      </c>
      <c r="M34" s="28">
        <v>44774</v>
      </c>
      <c r="N34" s="28"/>
      <c r="O34" s="29"/>
      <c r="P34" s="30" t="s">
        <v>665</v>
      </c>
      <c r="Q34" s="27" t="s">
        <v>666</v>
      </c>
      <c r="R34" s="31" t="str">
        <f>LEFT(Q34,6)</f>
        <v>990317</v>
      </c>
      <c r="S34" s="31" t="str">
        <f>MID($Q34,3,2)</f>
        <v>03</v>
      </c>
      <c r="T34" s="31" t="str">
        <f>IF(OR(MID($Q34,8,1)="1",MID($Q34,8,1)="3"),"남자",IF(OR(MID($Q34,8,1)="2",MID($Q34,8,1)="4"),"여자",""))</f>
        <v>남자</v>
      </c>
      <c r="U34" s="31">
        <f ca="1">YEAR(TODAY())-IF(OR(MID($Q34,8,1)="1",MID($Q34,8,1)="2"),19&amp;LEFT($Q34,2),IF(OR(MID($Q34,8,1)="3",MID($Q34,8,1)="4"),20&amp;LEFT($Q34,2),""))+1</f>
        <v>28</v>
      </c>
      <c r="V34" s="31" t="s">
        <v>200</v>
      </c>
      <c r="W34" s="31" t="s">
        <v>201</v>
      </c>
      <c r="X34" s="27" t="s">
        <v>667</v>
      </c>
      <c r="Y34" s="27"/>
      <c r="Z34" s="27"/>
      <c r="AA34" s="32"/>
      <c r="AB34" s="31" t="s">
        <v>203</v>
      </c>
      <c r="AC34" s="27" t="s">
        <v>668</v>
      </c>
      <c r="AD34" s="33" t="str">
        <f ca="1">QUOTIENT(SUMPRODUCT(LEFT($AE34:$AF34,FIND("년",$AE34:$AF34)-1)*12+MID($AE34:$AF34,FIND("년",$AE34:$AF34)+1,FIND("개월",$AE34:$AF34)-FIND("년",$AE34:$AF34)-1)),12)&amp;"년"&amp;MOD(SUMPRODUCT(LEFT($AE34:$AF34,FIND("년",$AE34:$AF34)-1)*12+MID($AE34:$AF34,FIND("년",$AE34:$AF34)+1,FIND("개월",$AE34:$AF34)-FIND("년",$AE34:$AF34)-1)),12)&amp;"개월"</f>
        <v>3년7개월</v>
      </c>
      <c r="AE34" s="33" t="s">
        <v>543</v>
      </c>
      <c r="AF34" s="34" t="str">
        <f ca="1">DATEDIF($L34,TODAY(),"y")&amp;"년"&amp;DATEDIF($L34,TODAY(),"ym")&amp;"개월"</f>
        <v>3년7개월</v>
      </c>
      <c r="AG34" s="35" t="s">
        <v>447</v>
      </c>
      <c r="AH34" s="35" t="s">
        <v>448</v>
      </c>
      <c r="AI34" s="30" t="s">
        <v>205</v>
      </c>
      <c r="AJ34" s="32">
        <v>44967</v>
      </c>
      <c r="AK34" s="36">
        <f ca="1">VALUE(LEFT($AD34,FIND("년",$AD34)-1))</f>
        <v>3</v>
      </c>
      <c r="AL34" s="31" t="str">
        <f ca="1">IF($AI34="전문학사",IF($AK34&lt;=8,"초급",IF($AK34&lt;12,"중급",IF($AK34&lt;15,"고급",IF($AK34&gt;=15,"특급")))))</f>
        <v>초급</v>
      </c>
      <c r="AM34" s="31" t="str">
        <f>IF(ISNUMBER(SEARCH("산업기사",$AT34)),IF($AK34&gt;=13,"특급",IF($AK34&gt;=10,"고급",IF($AK34&gt;=7,"중급","초급"))),IF(ISNUMBER(SEARCH("기사",$AR34)),IF($AK34&gt;=10,"특급",IF($AK34&gt;=7,"고급",IF($AK34&gt;=4,"중급","초급"))),"미해당"))</f>
        <v>미해당</v>
      </c>
      <c r="AN34" s="27"/>
      <c r="AO34" s="32"/>
      <c r="AP34" s="27" t="s">
        <v>137</v>
      </c>
      <c r="AQ34" s="32">
        <v>45267</v>
      </c>
      <c r="AR34" s="27"/>
      <c r="AS34" s="27"/>
      <c r="AT34" s="37"/>
      <c r="AU34" s="27"/>
      <c r="AV34" s="38"/>
      <c r="AW34" s="39"/>
      <c r="AX34" s="39"/>
      <c r="AY34" s="40" t="s">
        <v>251</v>
      </c>
      <c r="AZ34" s="41" t="s">
        <v>252</v>
      </c>
      <c r="BA34" s="30" t="s">
        <v>230</v>
      </c>
      <c r="BB34" s="30" t="s">
        <v>669</v>
      </c>
      <c r="BC34" s="42" t="s">
        <v>254</v>
      </c>
      <c r="BD34" s="42" t="s">
        <v>670</v>
      </c>
      <c r="BE34" s="43" t="s">
        <v>671</v>
      </c>
      <c r="BF34" s="42" t="s">
        <v>234</v>
      </c>
      <c r="BG34" s="42" t="s">
        <v>672</v>
      </c>
      <c r="BH34" s="35"/>
      <c r="BI34" s="44" t="s">
        <v>673</v>
      </c>
      <c r="BJ34" s="45" t="str">
        <f>IFERROR(VLOOKUP($BG34,[1]프로젝트현황!Y:Z,2,0),"기타")</f>
        <v>서남권</v>
      </c>
      <c r="BK34" s="46" t="str">
        <f>(IF(BF34="","",BF34&amp;" "))&amp;(IF(BG34="","",BG34&amp;" "))&amp;(IF(BH34="","",BH34&amp;" "))&amp;BI34</f>
        <v>경기도 김포시 전원로 28, 110동 1302호 (운양동,전원마을)</v>
      </c>
      <c r="BL34" s="47">
        <v>30</v>
      </c>
      <c r="BM34" s="47">
        <v>30</v>
      </c>
      <c r="BN34" s="48">
        <v>29000000</v>
      </c>
      <c r="BO34" s="48">
        <f>BP34*12</f>
        <v>29000005.200000003</v>
      </c>
      <c r="BP34" s="49">
        <f>SUM(BQ34:BS34)</f>
        <v>2416667.1</v>
      </c>
      <c r="BQ34" s="49">
        <f>ROUNDUP(BN34/12*209/(209+BU34*1.5)/BL34*BM34,-1)-BS34</f>
        <v>1967740</v>
      </c>
      <c r="BR34" s="49">
        <f>ROUNDUP(BN34/12*(BU34*1.5)/(209+BU34*1.5)/BL34*BM34,1)</f>
        <v>248927.1</v>
      </c>
      <c r="BS34" s="49">
        <v>200000</v>
      </c>
      <c r="BT34" s="50">
        <v>209</v>
      </c>
      <c r="BU34" s="49">
        <f>IF($BN34="","",
IFERROR(
    IF($BN34&lt;'[1]시간외시간 기준표'!$B$2,0,
        IF($BN34&gt;LOOKUP(9.9E+307,'[1]시간외시간 기준표'!$B$2:$B$999),
            LOOKUP(9.9E+307,'[1]시간외시간 기준표'!$C$2:$C$999),
            LOOKUP($BN34,'[1]시간외시간 기준표'!$B$2:$B$999,'[1]시간외시간 기준표'!$C$2:$C$999)
        )
    ),0)
)</f>
        <v>16</v>
      </c>
      <c r="BV34" s="50">
        <f>(BQ34+BS34)/209</f>
        <v>10371.961722488039</v>
      </c>
      <c r="BW34" s="51">
        <v>30</v>
      </c>
      <c r="BX34" s="51">
        <v>30</v>
      </c>
      <c r="BY34" s="52">
        <v>29000000</v>
      </c>
      <c r="BZ34" s="52">
        <f>CA34*12</f>
        <v>29000007.599999998</v>
      </c>
      <c r="CA34" s="49">
        <f>SUM(CB34:CD34)</f>
        <v>2416667.2999999998</v>
      </c>
      <c r="CB34" s="49">
        <f>ROUNDUP(BY34/12*209/(209+CF34*1.5)/BW34*BX34,-1)-CD34</f>
        <v>1913320</v>
      </c>
      <c r="CC34" s="49">
        <f>ROUNDUP(BY34/12*(CF34*1.5)/(209+CF34*1.5)/BW34*BX34,1)</f>
        <v>303347.3</v>
      </c>
      <c r="CD34" s="49">
        <v>200000</v>
      </c>
      <c r="CE34" s="50">
        <v>209</v>
      </c>
      <c r="CF34" s="49">
        <f>IF(BY34&lt;26000000,0,IF(BY34&lt;26500000,4,IF(BY34&lt;27000000,7,IF(BY34&lt;27500000,9,IF(BY34&lt;28000000,11,IF(BY34&lt;28500000,15,IF(BY34&lt;29000000,17,IF(BY34&lt;29500000,20,IF(BY34&lt;30000000,23,IF(BY34&lt;30500000,25,IF(BY34&lt;31000000,27,IF(BY34&lt;31500000,29,IF(BY34&lt;32000000,33,IF(BY34&lt;32500000,37,IF(BY34&lt;33000000,39,IF(BY34&lt;33500000,42,IF(BY34&lt;34000000,45,IF(BY34&lt;34500000,48,IF(BY34&lt;35000000,52,52)))))))))))))))))))</f>
        <v>20</v>
      </c>
      <c r="CG34" s="50">
        <f>(CB34+CD34)/209</f>
        <v>10111.578947368422</v>
      </c>
      <c r="CH34" s="51">
        <v>30</v>
      </c>
      <c r="CI34" s="51">
        <v>30</v>
      </c>
      <c r="CJ34" s="52">
        <v>28200000</v>
      </c>
      <c r="CK34" s="52">
        <f>CL34*12</f>
        <v>28200021.599999998</v>
      </c>
      <c r="CL34" s="49">
        <f>SUM(CM34:CO34)</f>
        <v>2350001.7999999998</v>
      </c>
      <c r="CM34" s="49">
        <f>ROUNDUP(CJ34/12*209/(209+CQ34*1.5)/CH34*CI34,-1)-CO34</f>
        <v>1921600</v>
      </c>
      <c r="CN34" s="49">
        <f>ROUNDUP(CJ34/12*(CQ34*1.5)/(209+CQ34*1.5)/CH34*CI34,1)</f>
        <v>228401.80000000002</v>
      </c>
      <c r="CO34" s="50">
        <v>200000</v>
      </c>
      <c r="CP34" s="50">
        <v>209</v>
      </c>
      <c r="CQ34" s="50">
        <f>IF(CJ34&lt;26000000,0,IF(CJ34&lt;26500000,4,IF(CJ34&lt;27000000,7,IF(CJ34&lt;27500000,9,IF(CJ34&lt;28000000,11,IF(CJ34&lt;28500000,15,IF(CJ34&lt;29000000,17,IF(CJ34&lt;29500000,20,IF(CJ34&lt;30000000,23,IF(CJ34&lt;30500000,25,IF(CJ34&lt;31000000,27,IF(CJ34&lt;31500000,29,IF(CJ34&lt;32000000,33,IF(CJ34&lt;32500000,37,IF(CJ34&lt;33000000,39,IF(CJ34&lt;33500000,42,IF(CJ34&lt;34000000,45,IF(CJ34&lt;34500000,48,IF(CJ34&lt;35000000,52,52)))))))))))))))))))</f>
        <v>15</v>
      </c>
      <c r="CR34" s="50">
        <f>(CM34+CO34)/209</f>
        <v>10151.196172248803</v>
      </c>
      <c r="CS34" s="52">
        <v>27000000</v>
      </c>
      <c r="CT34" s="53">
        <f>IFERROR(CS34/12,"")</f>
        <v>2250000</v>
      </c>
      <c r="CU34" s="53">
        <f>IFERROR(CT34-CV34-CW34,"")</f>
        <v>1831317.494600432</v>
      </c>
      <c r="CV34" s="53">
        <f>IFERROR(CT34*(CY34*1.5)/(209+(CY34*1.5)),"")</f>
        <v>218682.50539956804</v>
      </c>
      <c r="CW34" s="54">
        <v>200000</v>
      </c>
      <c r="CX34" s="54">
        <v>209</v>
      </c>
      <c r="CY34" s="54">
        <v>15</v>
      </c>
      <c r="CZ34" s="55">
        <f>SUM(CX34:CY34)</f>
        <v>224</v>
      </c>
      <c r="DA34" s="55">
        <f>IFERROR((CU34/209)+(CW34-(9620*209*0.01))/209,"")</f>
        <v>9623.0224622030255</v>
      </c>
      <c r="DB34" s="56">
        <f>IFERROR((CU34+CW34)/209,"")</f>
        <v>9719.2224622030244</v>
      </c>
      <c r="DC34" s="57">
        <v>2023</v>
      </c>
      <c r="DD34" s="58"/>
      <c r="DE34" s="58"/>
      <c r="DF34" s="57"/>
      <c r="DG34" s="59">
        <f>B34</f>
        <v>220702</v>
      </c>
      <c r="DH34" s="58"/>
      <c r="DI34" s="58"/>
      <c r="DJ34" s="60"/>
      <c r="DK34" s="58"/>
      <c r="DL34" s="61"/>
      <c r="DM34" s="24"/>
    </row>
    <row r="35" spans="1:117" ht="15" customHeight="1">
      <c r="A35" s="25">
        <f>ROW()-2</f>
        <v>33</v>
      </c>
      <c r="B35" s="26">
        <v>220703</v>
      </c>
      <c r="C35" s="27" t="s">
        <v>674</v>
      </c>
      <c r="D35" s="27"/>
      <c r="E35" s="27" t="s">
        <v>613</v>
      </c>
      <c r="F35" s="27" t="s">
        <v>196</v>
      </c>
      <c r="G35" s="27" t="s">
        <v>240</v>
      </c>
      <c r="H35" s="27" t="s">
        <v>241</v>
      </c>
      <c r="I35" s="27" t="s">
        <v>675</v>
      </c>
      <c r="J35" s="27" t="str">
        <f>+VLOOKUP($I35,[1]프로젝트현황!$I:$N,5,0)</f>
        <v>경기도</v>
      </c>
      <c r="K35" s="27" t="str">
        <f>+VLOOKUP($I35,[1]프로젝트현황!$I:$N,6,0)</f>
        <v>성남시</v>
      </c>
      <c r="L35" s="28">
        <v>44746</v>
      </c>
      <c r="M35" s="28">
        <v>44774</v>
      </c>
      <c r="N35" s="28"/>
      <c r="O35" s="29"/>
      <c r="P35" s="30" t="s">
        <v>676</v>
      </c>
      <c r="Q35" s="27" t="s">
        <v>677</v>
      </c>
      <c r="R35" s="31" t="str">
        <f>LEFT(Q35,6)</f>
        <v>990724</v>
      </c>
      <c r="S35" s="31" t="str">
        <f>MID($Q35,3,2)</f>
        <v>07</v>
      </c>
      <c r="T35" s="31" t="str">
        <f>IF(OR(MID($Q35,8,1)="1",MID($Q35,8,1)="3"),"남자",IF(OR(MID($Q35,8,1)="2",MID($Q35,8,1)="4"),"여자",""))</f>
        <v>남자</v>
      </c>
      <c r="U35" s="31">
        <f ca="1">YEAR(TODAY())-IF(OR(MID($Q35,8,1)="1",MID($Q35,8,1)="2"),19&amp;LEFT($Q35,2),IF(OR(MID($Q35,8,1)="3",MID($Q35,8,1)="4"),20&amp;LEFT($Q35,2),""))+1</f>
        <v>28</v>
      </c>
      <c r="V35" s="31" t="s">
        <v>200</v>
      </c>
      <c r="W35" s="31" t="s">
        <v>201</v>
      </c>
      <c r="X35" s="27" t="s">
        <v>678</v>
      </c>
      <c r="Y35" s="27"/>
      <c r="Z35" s="27"/>
      <c r="AA35" s="32"/>
      <c r="AB35" s="31" t="s">
        <v>203</v>
      </c>
      <c r="AC35" s="27" t="s">
        <v>679</v>
      </c>
      <c r="AD35" s="33" t="str">
        <f ca="1">QUOTIENT(SUMPRODUCT(LEFT($AE35:$AF35,FIND("년",$AE35:$AF35)-1)*12+MID($AE35:$AF35,FIND("년",$AE35:$AF35)+1,FIND("개월",$AE35:$AF35)-FIND("년",$AE35:$AF35)-1)),12)&amp;"년"&amp;MOD(SUMPRODUCT(LEFT($AE35:$AF35,FIND("년",$AE35:$AF35)-1)*12+MID($AE35:$AF35,FIND("년",$AE35:$AF35)+1,FIND("개월",$AE35:$AF35)-FIND("년",$AE35:$AF35)-1)),12)&amp;"개월"</f>
        <v>3년7개월</v>
      </c>
      <c r="AE35" s="33" t="s">
        <v>543</v>
      </c>
      <c r="AF35" s="34" t="str">
        <f ca="1">DATEDIF($L35,TODAY(),"y")&amp;"년"&amp;DATEDIF($L35,TODAY(),"ym")&amp;"개월"</f>
        <v>3년7개월</v>
      </c>
      <c r="AG35" s="35" t="s">
        <v>544</v>
      </c>
      <c r="AH35" s="35" t="s">
        <v>680</v>
      </c>
      <c r="AI35" s="30" t="s">
        <v>205</v>
      </c>
      <c r="AJ35" s="32">
        <v>44971</v>
      </c>
      <c r="AK35" s="36">
        <f ca="1">VALUE(LEFT($AD35,FIND("년",$AD35)-1))</f>
        <v>3</v>
      </c>
      <c r="AL35" s="31" t="str">
        <f ca="1">IF($AI35="전문학사",IF($AK35&lt;=8,"초급",IF($AK35&lt;12,"중급",IF($AK35&lt;15,"고급",IF($AK35&gt;=15,"특급")))))</f>
        <v>초급</v>
      </c>
      <c r="AM35" s="31" t="str">
        <f>IF(ISNUMBER(SEARCH("산업기사",$AT35)),IF($AK35&gt;=13,"특급",IF($AK35&gt;=10,"고급",IF($AK35&gt;=7,"중급","초급"))),IF(ISNUMBER(SEARCH("기사",$AR35)),IF($AK35&gt;=10,"특급",IF($AK35&gt;=7,"고급",IF($AK35&gt;=4,"중급","초급"))),"미해당"))</f>
        <v>미해당</v>
      </c>
      <c r="AN35" s="27"/>
      <c r="AO35" s="32"/>
      <c r="AP35" s="27"/>
      <c r="AQ35" s="32"/>
      <c r="AR35" s="27"/>
      <c r="AS35" s="27"/>
      <c r="AT35" s="37"/>
      <c r="AU35" s="27"/>
      <c r="AV35" s="38"/>
      <c r="AW35" s="39"/>
      <c r="AX35" s="39"/>
      <c r="AY35" s="40" t="s">
        <v>251</v>
      </c>
      <c r="AZ35" s="41" t="s">
        <v>252</v>
      </c>
      <c r="BA35" s="30" t="s">
        <v>230</v>
      </c>
      <c r="BB35" s="30" t="s">
        <v>681</v>
      </c>
      <c r="BC35" s="42" t="s">
        <v>254</v>
      </c>
      <c r="BD35" s="42" t="s">
        <v>682</v>
      </c>
      <c r="BE35" s="43" t="s">
        <v>683</v>
      </c>
      <c r="BF35" s="42" t="s">
        <v>234</v>
      </c>
      <c r="BG35" s="42" t="s">
        <v>440</v>
      </c>
      <c r="BH35" s="35" t="s">
        <v>684</v>
      </c>
      <c r="BI35" s="44" t="s">
        <v>685</v>
      </c>
      <c r="BJ35" s="45" t="str">
        <f>IFERROR(VLOOKUP($BG35,[1]프로젝트현황!Y:Z,2,0),"기타")</f>
        <v>서남권</v>
      </c>
      <c r="BK35" s="46" t="str">
        <f>(IF(BF35="","",BF35&amp;" "))&amp;(IF(BG35="","",BG35&amp;" "))&amp;(IF(BH35="","",BH35&amp;" "))&amp;BI35</f>
        <v>경기도 안양시 만안구 만안구 경수대로 1193, 102동 1502호 (석수동,석수e편한세상아파트)</v>
      </c>
      <c r="BL35" s="47">
        <v>30</v>
      </c>
      <c r="BM35" s="47">
        <v>30</v>
      </c>
      <c r="BN35" s="48">
        <v>30300000</v>
      </c>
      <c r="BO35" s="48">
        <f>BP35*12</f>
        <v>30300019.200000003</v>
      </c>
      <c r="BP35" s="49">
        <f>SUM(BQ35:BS35)</f>
        <v>2525001.6</v>
      </c>
      <c r="BQ35" s="49">
        <f>ROUNDUP(BN35/12*209/(209+BU35*1.5)/BL35*BM35,-1)-BS35</f>
        <v>1967250</v>
      </c>
      <c r="BR35" s="49">
        <f>ROUNDUP(BN35/12*(BU35*1.5)/(209+BU35*1.5)/BL35*BM35,1)</f>
        <v>357751.6</v>
      </c>
      <c r="BS35" s="49">
        <v>200000</v>
      </c>
      <c r="BT35" s="50">
        <v>209</v>
      </c>
      <c r="BU35" s="49">
        <f>IF($BN35="","",
IFERROR(
    IF($BN35&lt;'[1]시간외시간 기준표'!$B$2,0,
        IF($BN35&gt;LOOKUP(9.9E+307,'[1]시간외시간 기준표'!$B$2:$B$999),
            LOOKUP(9.9E+307,'[1]시간외시간 기준표'!$C$2:$C$999),
            LOOKUP($BN35,'[1]시간외시간 기준표'!$B$2:$B$999,'[1]시간외시간 기준표'!$C$2:$C$999)
        )
    ),0)
)</f>
        <v>23</v>
      </c>
      <c r="BV35" s="50">
        <f>(BQ35+BS35)/209</f>
        <v>10369.617224880383</v>
      </c>
      <c r="BW35" s="51">
        <v>30</v>
      </c>
      <c r="BX35" s="51">
        <v>30</v>
      </c>
      <c r="BY35" s="52">
        <v>30300000</v>
      </c>
      <c r="BZ35" s="52">
        <f>CA35*12</f>
        <v>30300093.599999998</v>
      </c>
      <c r="CA35" s="49">
        <f>SUM(CB35:CD35)</f>
        <v>2525007.7999999998</v>
      </c>
      <c r="CB35" s="49">
        <f>ROUNDUP(BY35/12*209/(209+CF35*1.5)/BW35*BX35,-1)-CD35</f>
        <v>1940880</v>
      </c>
      <c r="CC35" s="49">
        <f>ROUNDUP(BY35/12*(CF35*1.5)/(209+CF35*1.5)/BW35*BX35,1)</f>
        <v>384127.8</v>
      </c>
      <c r="CD35" s="49">
        <v>200000</v>
      </c>
      <c r="CE35" s="50">
        <v>209</v>
      </c>
      <c r="CF35" s="49">
        <f>IF(BY35&lt;26000000,0,IF(BY35&lt;26500000,4,IF(BY35&lt;27000000,7,IF(BY35&lt;27500000,9,IF(BY35&lt;28000000,11,IF(BY35&lt;28500000,15,IF(BY35&lt;29000000,17,IF(BY35&lt;29500000,20,IF(BY35&lt;30000000,23,IF(BY35&lt;30500000,25,IF(BY35&lt;31000000,27,IF(BY35&lt;31500000,29,IF(BY35&lt;32000000,33,IF(BY35&lt;32500000,37,IF(BY35&lt;33000000,39,IF(BY35&lt;33500000,42,IF(BY35&lt;34000000,45,IF(BY35&lt;34500000,48,IF(BY35&lt;35000000,52,52)))))))))))))))))))</f>
        <v>25</v>
      </c>
      <c r="CG35" s="50">
        <f>(CB35+CD35)/209</f>
        <v>10243.444976076555</v>
      </c>
      <c r="CH35" s="51">
        <v>30</v>
      </c>
      <c r="CI35" s="51">
        <v>30</v>
      </c>
      <c r="CJ35" s="52">
        <v>28800000</v>
      </c>
      <c r="CK35" s="52">
        <f>CL35*12</f>
        <v>28800010.799999997</v>
      </c>
      <c r="CL35" s="49">
        <f>SUM(CM35:CO35)</f>
        <v>2400000.9</v>
      </c>
      <c r="CM35" s="49">
        <f>ROUNDUP(CJ35/12*209/(209+CQ35*1.5)/CH35*CI35,-1)-CO35</f>
        <v>1939020</v>
      </c>
      <c r="CN35" s="49">
        <f>ROUNDUP(CJ35/12*(CQ35*1.5)/(209+CQ35*1.5)/CH35*CI35,1)</f>
        <v>260980.9</v>
      </c>
      <c r="CO35" s="50">
        <v>200000</v>
      </c>
      <c r="CP35" s="50">
        <v>209</v>
      </c>
      <c r="CQ35" s="50">
        <f>IF(CJ35&lt;26000000,0,IF(CJ35&lt;26500000,4,IF(CJ35&lt;27000000,7,IF(CJ35&lt;27500000,9,IF(CJ35&lt;28000000,11,IF(CJ35&lt;28500000,15,IF(CJ35&lt;29000000,17,IF(CJ35&lt;29500000,20,IF(CJ35&lt;30000000,23,IF(CJ35&lt;30500000,25,IF(CJ35&lt;31000000,27,IF(CJ35&lt;31500000,29,IF(CJ35&lt;32000000,33,IF(CJ35&lt;32500000,37,IF(CJ35&lt;33000000,39,IF(CJ35&lt;33500000,42,IF(CJ35&lt;34000000,45,IF(CJ35&lt;34500000,48,IF(CJ35&lt;35000000,52,52)))))))))))))))))))</f>
        <v>17</v>
      </c>
      <c r="CR35" s="50">
        <f>(CM35+CO35)/209</f>
        <v>10234.545454545454</v>
      </c>
      <c r="CS35" s="52">
        <v>27000000</v>
      </c>
      <c r="CT35" s="53">
        <f>IFERROR(CS35/12,"")</f>
        <v>2250000</v>
      </c>
      <c r="CU35" s="53">
        <f>IFERROR(CT35-CV35-CW35,"")</f>
        <v>1831317.494600432</v>
      </c>
      <c r="CV35" s="53">
        <f>IFERROR(CT35*(CY35*1.5)/(209+(CY35*1.5)),"")</f>
        <v>218682.50539956804</v>
      </c>
      <c r="CW35" s="54">
        <v>200000</v>
      </c>
      <c r="CX35" s="54">
        <v>209</v>
      </c>
      <c r="CY35" s="54">
        <v>15</v>
      </c>
      <c r="CZ35" s="55">
        <f>SUM(CX35:CY35)</f>
        <v>224</v>
      </c>
      <c r="DA35" s="55">
        <f>IFERROR((CU35/209)+(CW35-(9620*209*0.01))/209,"")</f>
        <v>9623.0224622030255</v>
      </c>
      <c r="DB35" s="56">
        <f>IFERROR((CU35+CW35)/209,"")</f>
        <v>9719.2224622030244</v>
      </c>
      <c r="DC35" s="57">
        <v>2023</v>
      </c>
      <c r="DD35" s="58"/>
      <c r="DE35" s="58"/>
      <c r="DF35" s="57"/>
      <c r="DG35" s="59">
        <f>B35</f>
        <v>220703</v>
      </c>
      <c r="DH35" s="58"/>
      <c r="DI35" s="58"/>
      <c r="DJ35" s="60"/>
      <c r="DK35" s="58"/>
      <c r="DL35" s="61"/>
      <c r="DM35" s="24"/>
    </row>
    <row r="36" spans="1:117" ht="15" customHeight="1">
      <c r="A36" s="25">
        <f>ROW()-2</f>
        <v>34</v>
      </c>
      <c r="B36" s="26">
        <v>220705</v>
      </c>
      <c r="C36" s="27" t="s">
        <v>686</v>
      </c>
      <c r="D36" s="27"/>
      <c r="E36" s="27" t="s">
        <v>239</v>
      </c>
      <c r="F36" s="27" t="s">
        <v>196</v>
      </c>
      <c r="G36" s="27" t="s">
        <v>240</v>
      </c>
      <c r="H36" s="27" t="s">
        <v>241</v>
      </c>
      <c r="I36" s="27" t="s">
        <v>653</v>
      </c>
      <c r="J36" s="27" t="str">
        <f>+VLOOKUP($I36,[1]프로젝트현황!$I:$N,5,0)</f>
        <v>서울시</v>
      </c>
      <c r="K36" s="27" t="str">
        <f>+VLOOKUP($I36,[1]프로젝트현황!$I:$N,6,0)</f>
        <v>강남구</v>
      </c>
      <c r="L36" s="28">
        <v>44760</v>
      </c>
      <c r="M36" s="28">
        <v>44760</v>
      </c>
      <c r="N36" s="28"/>
      <c r="O36" s="29"/>
      <c r="P36" s="30" t="s">
        <v>687</v>
      </c>
      <c r="Q36" s="27" t="s">
        <v>688</v>
      </c>
      <c r="R36" s="31" t="str">
        <f>LEFT(Q36,6)</f>
        <v>911116</v>
      </c>
      <c r="S36" s="31" t="str">
        <f>MID($Q36,3,2)</f>
        <v>11</v>
      </c>
      <c r="T36" s="31" t="str">
        <f>IF(OR(MID($Q36,8,1)="1",MID($Q36,8,1)="3"),"남자",IF(OR(MID($Q36,8,1)="2",MID($Q36,8,1)="4"),"여자",""))</f>
        <v>남자</v>
      </c>
      <c r="U36" s="31">
        <f ca="1">YEAR(TODAY())-IF(OR(MID($Q36,8,1)="1",MID($Q36,8,1)="2"),19&amp;LEFT($Q36,2),IF(OR(MID($Q36,8,1)="3",MID($Q36,8,1)="4"),20&amp;LEFT($Q36,2),""))+1</f>
        <v>36</v>
      </c>
      <c r="V36" s="31" t="s">
        <v>200</v>
      </c>
      <c r="W36" s="31" t="s">
        <v>201</v>
      </c>
      <c r="X36" s="27" t="s">
        <v>689</v>
      </c>
      <c r="Y36" s="27"/>
      <c r="Z36" s="27"/>
      <c r="AA36" s="32"/>
      <c r="AB36" s="31" t="s">
        <v>203</v>
      </c>
      <c r="AC36" s="27" t="s">
        <v>690</v>
      </c>
      <c r="AD36" s="33" t="str">
        <f ca="1">QUOTIENT(SUMPRODUCT(LEFT($AE36:$AF36,FIND("년",$AE36:$AF36)-1)*12+MID($AE36:$AF36,FIND("년",$AE36:$AF36)+1,FIND("개월",$AE36:$AF36)-FIND("년",$AE36:$AF36)-1)),12)&amp;"년"&amp;MOD(SUMPRODUCT(LEFT($AE36:$AF36,FIND("년",$AE36:$AF36)-1)*12+MID($AE36:$AF36,FIND("년",$AE36:$AF36)+1,FIND("개월",$AE36:$AF36)-FIND("년",$AE36:$AF36)-1)),12)&amp;"개월"</f>
        <v>3년6개월</v>
      </c>
      <c r="AE36" s="33" t="s">
        <v>543</v>
      </c>
      <c r="AF36" s="34" t="str">
        <f ca="1">DATEDIF($L36,TODAY(),"y")&amp;"년"&amp;DATEDIF($L36,TODAY(),"ym")&amp;"개월"</f>
        <v>3년6개월</v>
      </c>
      <c r="AG36" s="35" t="s">
        <v>691</v>
      </c>
      <c r="AH36" s="35" t="s">
        <v>692</v>
      </c>
      <c r="AI36" s="30" t="s">
        <v>270</v>
      </c>
      <c r="AJ36" s="32">
        <v>42419</v>
      </c>
      <c r="AK36" s="36">
        <f ca="1">VALUE(LEFT($AD36,FIND("년",$AD36)-1))</f>
        <v>3</v>
      </c>
      <c r="AL36" s="31" t="str">
        <f ca="1">IF($AI36="학사",IF($AK36&lt;=5,"초급",IF($AK36&lt;9,"중급",IF($AK36&lt;12,"고급",IF($AK36&gt;=12,"특급")))))</f>
        <v>초급</v>
      </c>
      <c r="AM36" s="31" t="str">
        <f>IF(ISNUMBER(SEARCH("산업기사",$AT36)),IF($AK36&gt;=13,"특급",IF($AK36&gt;=10,"고급",IF($AK36&gt;=7,"중급","초급"))),IF(ISNUMBER(SEARCH("기사",$AR36)),IF($AK36&gt;=10,"특급",IF($AK36&gt;=7,"고급",IF($AK36&gt;=4,"중급","초급"))),"미해당"))</f>
        <v>미해당</v>
      </c>
      <c r="AN36" s="27"/>
      <c r="AO36" s="32"/>
      <c r="AP36" s="27"/>
      <c r="AQ36" s="32"/>
      <c r="AR36" s="27"/>
      <c r="AS36" s="27"/>
      <c r="AT36" s="37"/>
      <c r="AU36" s="27"/>
      <c r="AV36" s="38"/>
      <c r="AW36" s="39"/>
      <c r="AX36" s="39"/>
      <c r="AY36" s="40" t="s">
        <v>251</v>
      </c>
      <c r="AZ36" s="41" t="s">
        <v>252</v>
      </c>
      <c r="BA36" s="30" t="s">
        <v>230</v>
      </c>
      <c r="BB36" s="30" t="s">
        <v>693</v>
      </c>
      <c r="BC36" s="42" t="s">
        <v>254</v>
      </c>
      <c r="BD36" s="42" t="s">
        <v>694</v>
      </c>
      <c r="BE36" s="43" t="s">
        <v>695</v>
      </c>
      <c r="BF36" s="42" t="s">
        <v>211</v>
      </c>
      <c r="BG36" s="42" t="s">
        <v>371</v>
      </c>
      <c r="BH36" s="35"/>
      <c r="BI36" s="44" t="s">
        <v>696</v>
      </c>
      <c r="BJ36" s="45" t="str">
        <f>IFERROR(VLOOKUP($BG36,[1]프로젝트현황!Y:Z,2,0),"기타")</f>
        <v>서남권</v>
      </c>
      <c r="BK36" s="46" t="str">
        <f>(IF(BF36="","",BF36&amp;" "))&amp;(IF(BG36="","",BG36&amp;" "))&amp;(IF(BH36="","",BH36&amp;" "))&amp;BI36</f>
        <v>서울시 관악구 관천로 125-17 B03호(신림동)</v>
      </c>
      <c r="BL36" s="47">
        <v>30</v>
      </c>
      <c r="BM36" s="47">
        <v>30</v>
      </c>
      <c r="BN36" s="48">
        <v>30000000</v>
      </c>
      <c r="BO36" s="48">
        <f>BP36*12</f>
        <v>30000109.200000003</v>
      </c>
      <c r="BP36" s="49">
        <f>SUM(BQ36:BS36)</f>
        <v>2500009.1</v>
      </c>
      <c r="BQ36" s="49">
        <f>ROUNDUP(BN36/12*209/(209+BU36*1.5)/BL36*BM36,-1)-BS36</f>
        <v>1959100</v>
      </c>
      <c r="BR36" s="49">
        <f>ROUNDUP(BN36/12*(BU36*1.5)/(209+BU36*1.5)/BL36*BM36,1)</f>
        <v>340909.1</v>
      </c>
      <c r="BS36" s="49">
        <v>200000</v>
      </c>
      <c r="BT36" s="50">
        <v>209</v>
      </c>
      <c r="BU36" s="49">
        <f>IF($BN36="","",
IFERROR(
    IF($BN36&lt;'[1]시간외시간 기준표'!$B$2,0,
        IF($BN36&gt;LOOKUP(9.9E+307,'[1]시간외시간 기준표'!$B$2:$B$999),
            LOOKUP(9.9E+307,'[1]시간외시간 기준표'!$C$2:$C$999),
            LOOKUP($BN36,'[1]시간외시간 기준표'!$B$2:$B$999,'[1]시간외시간 기준표'!$C$2:$C$999)
        )
    ),0)
)</f>
        <v>22</v>
      </c>
      <c r="BV36" s="50">
        <f>(BQ36+BS36)/209</f>
        <v>10330.622009569379</v>
      </c>
      <c r="BW36" s="51">
        <v>30</v>
      </c>
      <c r="BX36" s="51">
        <v>30</v>
      </c>
      <c r="BY36" s="52">
        <v>30000000</v>
      </c>
      <c r="BZ36" s="52">
        <f>CA36*12</f>
        <v>30000055.200000003</v>
      </c>
      <c r="CA36" s="49">
        <f>SUM(CB36:CD36)</f>
        <v>2500004.6</v>
      </c>
      <c r="CB36" s="49">
        <f>ROUNDUP(BY36/12*209/(209+CF36*1.5)/BW36*BX36,-1)-CD36</f>
        <v>1919680</v>
      </c>
      <c r="CC36" s="49">
        <f>ROUNDUP(BY36/12*(CF36*1.5)/(209+CF36*1.5)/BW36*BX36,1)</f>
        <v>380324.6</v>
      </c>
      <c r="CD36" s="49">
        <v>200000</v>
      </c>
      <c r="CE36" s="50">
        <v>209</v>
      </c>
      <c r="CF36" s="49">
        <f>IF(BY36&lt;26000000,0,IF(BY36&lt;26500000,4,IF(BY36&lt;27000000,7,IF(BY36&lt;27500000,9,IF(BY36&lt;28000000,11,IF(BY36&lt;28500000,15,IF(BY36&lt;29000000,17,IF(BY36&lt;29500000,20,IF(BY36&lt;30000000,23,IF(BY36&lt;30500000,25,IF(BY36&lt;31000000,27,IF(BY36&lt;31500000,29,IF(BY36&lt;32000000,33,IF(BY36&lt;32500000,37,IF(BY36&lt;33000000,39,IF(BY36&lt;33500000,42,IF(BY36&lt;34000000,45,IF(BY36&lt;34500000,48,IF(BY36&lt;35000000,52,52)))))))))))))))))))</f>
        <v>25</v>
      </c>
      <c r="CG36" s="50">
        <f>(CB36+CD36)/209</f>
        <v>10142.009569377991</v>
      </c>
      <c r="CH36" s="51">
        <v>30</v>
      </c>
      <c r="CI36" s="51">
        <v>30</v>
      </c>
      <c r="CJ36" s="52">
        <v>29200000</v>
      </c>
      <c r="CK36" s="52">
        <f>CL36*12</f>
        <v>29200072.799999997</v>
      </c>
      <c r="CL36" s="49">
        <f>SUM(CM36:CO36)</f>
        <v>2433339.4</v>
      </c>
      <c r="CM36" s="49">
        <f>ROUNDUP(CJ36/12*209/(209+CQ36*1.5)/CH36*CI36,-1)-CO36</f>
        <v>1927900</v>
      </c>
      <c r="CN36" s="49">
        <f>ROUNDUP(CJ36/12*(CQ36*1.5)/(209+CQ36*1.5)/CH36*CI36,1)</f>
        <v>305439.39999999997</v>
      </c>
      <c r="CO36" s="50">
        <v>200000</v>
      </c>
      <c r="CP36" s="50">
        <v>209</v>
      </c>
      <c r="CQ36" s="50">
        <f>IF(CJ36&lt;26000000,0,IF(CJ36&lt;26500000,4,IF(CJ36&lt;27000000,7,IF(CJ36&lt;27500000,9,IF(CJ36&lt;28000000,11,IF(CJ36&lt;28500000,15,IF(CJ36&lt;29000000,17,IF(CJ36&lt;29500000,20,IF(CJ36&lt;30000000,23,IF(CJ36&lt;30500000,25,IF(CJ36&lt;31000000,27,IF(CJ36&lt;31500000,29,IF(CJ36&lt;32000000,33,IF(CJ36&lt;32500000,37,IF(CJ36&lt;33000000,39,IF(CJ36&lt;33500000,42,IF(CJ36&lt;34000000,45,IF(CJ36&lt;34500000,48,IF(CJ36&lt;35000000,52,52)))))))))))))))))))</f>
        <v>20</v>
      </c>
      <c r="CR36" s="50">
        <f>(CM36+CO36)/209</f>
        <v>10181.33971291866</v>
      </c>
      <c r="CS36" s="52">
        <v>28000000</v>
      </c>
      <c r="CT36" s="53">
        <f>IFERROR(CS36/12,"")</f>
        <v>2333333.3333333335</v>
      </c>
      <c r="CU36" s="53">
        <f>IFERROR(CT36-CV36-CW36,"")</f>
        <v>1840446.3040446306</v>
      </c>
      <c r="CV36" s="53">
        <f>IFERROR(CT36*(CY36*1.5)/(209+(CY36*1.5)),"")</f>
        <v>292887.02928870294</v>
      </c>
      <c r="CW36" s="54">
        <v>200000</v>
      </c>
      <c r="CX36" s="54">
        <v>209</v>
      </c>
      <c r="CY36" s="54">
        <v>20</v>
      </c>
      <c r="CZ36" s="55">
        <f>SUM(CX36:CY36)</f>
        <v>229</v>
      </c>
      <c r="DA36" s="55">
        <f>IFERROR((CU36/209)+(CW36-(9620*209*0.01))/209,"")</f>
        <v>9666.7009762900998</v>
      </c>
      <c r="DB36" s="56">
        <f>IFERROR((CU36+CW36)/209,"")</f>
        <v>9762.9009762900987</v>
      </c>
      <c r="DC36" s="57">
        <v>2023</v>
      </c>
      <c r="DD36" s="58"/>
      <c r="DE36" s="58"/>
      <c r="DF36" s="57"/>
      <c r="DG36" s="59">
        <f>B36</f>
        <v>220705</v>
      </c>
      <c r="DH36" s="58"/>
      <c r="DI36" s="58"/>
      <c r="DJ36" s="60"/>
      <c r="DK36" s="58"/>
      <c r="DL36" s="61"/>
      <c r="DM36" s="24"/>
    </row>
    <row r="37" spans="1:117" ht="15" customHeight="1">
      <c r="A37" s="25">
        <f>ROW()-2</f>
        <v>35</v>
      </c>
      <c r="B37" s="26">
        <v>220804</v>
      </c>
      <c r="C37" s="27" t="s">
        <v>697</v>
      </c>
      <c r="D37" s="27"/>
      <c r="E37" s="27" t="s">
        <v>239</v>
      </c>
      <c r="F37" s="27" t="s">
        <v>196</v>
      </c>
      <c r="G37" s="27" t="s">
        <v>240</v>
      </c>
      <c r="H37" s="27" t="s">
        <v>241</v>
      </c>
      <c r="I37" s="27" t="s">
        <v>675</v>
      </c>
      <c r="J37" s="27" t="str">
        <f>+VLOOKUP($I37,[1]프로젝트현황!$I:$N,5,0)</f>
        <v>경기도</v>
      </c>
      <c r="K37" s="27" t="str">
        <f>+VLOOKUP($I37,[1]프로젝트현황!$I:$N,6,0)</f>
        <v>성남시</v>
      </c>
      <c r="L37" s="28">
        <v>44774</v>
      </c>
      <c r="M37" s="28">
        <v>44986</v>
      </c>
      <c r="N37" s="28"/>
      <c r="O37" s="29"/>
      <c r="P37" s="30" t="s">
        <v>698</v>
      </c>
      <c r="Q37" s="27" t="s">
        <v>699</v>
      </c>
      <c r="R37" s="31" t="str">
        <f>LEFT(Q37,6)</f>
        <v>990408</v>
      </c>
      <c r="S37" s="31" t="str">
        <f>MID($Q37,3,2)</f>
        <v>04</v>
      </c>
      <c r="T37" s="31" t="str">
        <f>IF(OR(MID($Q37,8,1)="1",MID($Q37,8,1)="3"),"남자",IF(OR(MID($Q37,8,1)="2",MID($Q37,8,1)="4"),"여자",""))</f>
        <v>여자</v>
      </c>
      <c r="U37" s="31">
        <f ca="1">YEAR(TODAY())-IF(OR(MID($Q37,8,1)="1",MID($Q37,8,1)="2"),19&amp;LEFT($Q37,2),IF(OR(MID($Q37,8,1)="3",MID($Q37,8,1)="4"),20&amp;LEFT($Q37,2),""))+1</f>
        <v>28</v>
      </c>
      <c r="V37" s="31" t="s">
        <v>200</v>
      </c>
      <c r="W37" s="31" t="s">
        <v>201</v>
      </c>
      <c r="X37" s="27" t="s">
        <v>700</v>
      </c>
      <c r="Y37" s="27"/>
      <c r="Z37" s="27"/>
      <c r="AA37" s="32"/>
      <c r="AB37" s="31" t="s">
        <v>203</v>
      </c>
      <c r="AC37" s="27" t="s">
        <v>701</v>
      </c>
      <c r="AD37" s="33" t="str">
        <f ca="1">QUOTIENT(SUMPRODUCT(LEFT($AE37:$AF37,FIND("년",$AE37:$AF37)-1)*12+MID($AE37:$AF37,FIND("년",$AE37:$AF37)+1,FIND("개월",$AE37:$AF37)-FIND("년",$AE37:$AF37)-1)),12)&amp;"년"&amp;MOD(SUMPRODUCT(LEFT($AE37:$AF37,FIND("년",$AE37:$AF37)-1)*12+MID($AE37:$AF37,FIND("년",$AE37:$AF37)+1,FIND("개월",$AE37:$AF37)-FIND("년",$AE37:$AF37)-1)),12)&amp;"개월"</f>
        <v>3년6개월</v>
      </c>
      <c r="AE37" s="33" t="s">
        <v>543</v>
      </c>
      <c r="AF37" s="34" t="str">
        <f ca="1">DATEDIF($L37,TODAY(),"y")&amp;"년"&amp;DATEDIF($L37,TODAY(),"ym")&amp;"개월"</f>
        <v>3년6개월</v>
      </c>
      <c r="AG37" s="35" t="s">
        <v>601</v>
      </c>
      <c r="AH37" s="35" t="s">
        <v>702</v>
      </c>
      <c r="AI37" s="30" t="s">
        <v>270</v>
      </c>
      <c r="AJ37" s="32">
        <v>44973</v>
      </c>
      <c r="AK37" s="36">
        <f ca="1">VALUE(LEFT($AD37,FIND("년",$AD37)-1))</f>
        <v>3</v>
      </c>
      <c r="AL37" s="31" t="str">
        <f ca="1">IF($AI37="학사",IF($AK37&lt;=5,"초급",IF($AK37&lt;9,"중급",IF($AK37&lt;12,"고급",IF($AK37&gt;=12,"특급")))))</f>
        <v>초급</v>
      </c>
      <c r="AM37" s="31" t="str">
        <f>IF(ISNUMBER(SEARCH("산업기사",$AT37)),IF($AK37&gt;=13,"특급",IF($AK37&gt;=10,"고급",IF($AK37&gt;=7,"중급","초급"))),IF(ISNUMBER(SEARCH("기사",$AR37)),IF($AK37&gt;=10,"특급",IF($AK37&gt;=7,"고급",IF($AK37&gt;=4,"중급","초급"))),"미해당"))</f>
        <v>미해당</v>
      </c>
      <c r="AN37" s="27"/>
      <c r="AO37" s="32"/>
      <c r="AP37" s="27"/>
      <c r="AQ37" s="32"/>
      <c r="AR37" s="27"/>
      <c r="AS37" s="27"/>
      <c r="AT37" s="37"/>
      <c r="AU37" s="27"/>
      <c r="AV37" s="38"/>
      <c r="AW37" s="39"/>
      <c r="AX37" s="39"/>
      <c r="AY37" s="40" t="s">
        <v>251</v>
      </c>
      <c r="AZ37" s="41" t="s">
        <v>252</v>
      </c>
      <c r="BA37" s="30" t="s">
        <v>230</v>
      </c>
      <c r="BB37" s="30" t="s">
        <v>703</v>
      </c>
      <c r="BC37" s="42" t="s">
        <v>254</v>
      </c>
      <c r="BD37" s="42" t="s">
        <v>704</v>
      </c>
      <c r="BE37" s="43" t="s">
        <v>705</v>
      </c>
      <c r="BF37" s="42" t="s">
        <v>578</v>
      </c>
      <c r="BG37" s="42" t="s">
        <v>706</v>
      </c>
      <c r="BH37" s="35"/>
      <c r="BI37" s="44" t="s">
        <v>707</v>
      </c>
      <c r="BJ37" s="45" t="str">
        <f>IFERROR(VLOOKUP($BG37,[1]프로젝트현황!Y:Z,2,0),"기타")</f>
        <v>서남권</v>
      </c>
      <c r="BK37" s="46" t="str">
        <f>(IF(BF37="","",BF37&amp;" "))&amp;(IF(BG37="","",BG37&amp;" "))&amp;(IF(BH37="","",BH37&amp;" "))&amp;BI37</f>
        <v>인천시 연수구 한나루로105번길 68, 408동 2103호(옥련동,현대아파트)</v>
      </c>
      <c r="BL37" s="47">
        <v>30</v>
      </c>
      <c r="BM37" s="47">
        <v>30</v>
      </c>
      <c r="BN37" s="48">
        <v>31000000</v>
      </c>
      <c r="BO37" s="48">
        <f>BP37*12</f>
        <v>31000064.400000002</v>
      </c>
      <c r="BP37" s="49">
        <f>SUM(BQ37:BS37)</f>
        <v>2583338.7000000002</v>
      </c>
      <c r="BQ37" s="49">
        <f>ROUNDUP(BN37/12*209/(209+BU37*1.5)/BL37*BM37,-1)-BS37</f>
        <v>1964000</v>
      </c>
      <c r="BR37" s="49">
        <f>ROUNDUP(BN37/12*(BU37*1.5)/(209+BU37*1.5)/BL37*BM37,1)</f>
        <v>419338.69999999995</v>
      </c>
      <c r="BS37" s="49">
        <v>200000</v>
      </c>
      <c r="BT37" s="50">
        <v>209</v>
      </c>
      <c r="BU37" s="49">
        <f>IF($BN37="","",
IFERROR(
    IF($BN37&lt;'[1]시간외시간 기준표'!$B$2,0,
        IF($BN37&gt;LOOKUP(9.9E+307,'[1]시간외시간 기준표'!$B$2:$B$999),
            LOOKUP(9.9E+307,'[1]시간외시간 기준표'!$C$2:$C$999),
            LOOKUP($BN37,'[1]시간외시간 기준표'!$B$2:$B$999,'[1]시간외시간 기준표'!$C$2:$C$999)
        )
    ),0)
)</f>
        <v>27</v>
      </c>
      <c r="BV37" s="50">
        <f>(BQ37+BS37)/209</f>
        <v>10354.066985645934</v>
      </c>
      <c r="BW37" s="51">
        <v>30</v>
      </c>
      <c r="BX37" s="51">
        <v>30</v>
      </c>
      <c r="BY37" s="52">
        <v>31000000</v>
      </c>
      <c r="BZ37" s="52">
        <f>CA37*12</f>
        <v>31000075.200000003</v>
      </c>
      <c r="CA37" s="49">
        <f>SUM(CB37:CD37)</f>
        <v>2583339.6</v>
      </c>
      <c r="CB37" s="49">
        <f>ROUNDUP(BY37/12*209/(209+CF37*1.5)/BW37*BX37,-1)-CD37</f>
        <v>1938290</v>
      </c>
      <c r="CC37" s="49">
        <f>ROUNDUP(BY37/12*(CF37*1.5)/(209+CF37*1.5)/BW37*BX37,1)</f>
        <v>445049.59999999998</v>
      </c>
      <c r="CD37" s="49">
        <v>200000</v>
      </c>
      <c r="CE37" s="50">
        <v>209</v>
      </c>
      <c r="CF37" s="49">
        <f>IF(BY37&lt;26000000,0,IF(BY37&lt;26500000,4,IF(BY37&lt;27000000,7,IF(BY37&lt;27500000,9,IF(BY37&lt;28000000,11,IF(BY37&lt;28500000,15,IF(BY37&lt;29000000,17,IF(BY37&lt;29500000,20,IF(BY37&lt;30000000,23,IF(BY37&lt;30500000,25,IF(BY37&lt;31000000,27,IF(BY37&lt;31500000,29,IF(BY37&lt;32000000,33,IF(BY37&lt;32500000,37,IF(BY37&lt;33000000,39,IF(BY37&lt;33500000,42,IF(BY37&lt;34000000,45,IF(BY37&lt;34500000,48,IF(BY37&lt;35000000,52,52)))))))))))))))))))</f>
        <v>29</v>
      </c>
      <c r="CG37" s="50">
        <f>(CB37+CD37)/209</f>
        <v>10231.052631578947</v>
      </c>
      <c r="CH37" s="51">
        <v>30</v>
      </c>
      <c r="CI37" s="51">
        <v>30</v>
      </c>
      <c r="CJ37" s="52">
        <v>29700000</v>
      </c>
      <c r="CK37" s="52">
        <f>CL37*12</f>
        <v>29700088.799999997</v>
      </c>
      <c r="CL37" s="49">
        <f>SUM(CM37:CO37)</f>
        <v>2475007.4</v>
      </c>
      <c r="CM37" s="49">
        <f>ROUNDUP(CJ37/12*209/(209+CQ37*1.5)/CH37*CI37,-1)-CO37</f>
        <v>1924340</v>
      </c>
      <c r="CN37" s="49">
        <f>ROUNDUP(CJ37/12*(CQ37*1.5)/(209+CQ37*1.5)/CH37*CI37,1)</f>
        <v>350667.39999999997</v>
      </c>
      <c r="CO37" s="50">
        <v>200000</v>
      </c>
      <c r="CP37" s="50">
        <v>209</v>
      </c>
      <c r="CQ37" s="50">
        <f>IF(CJ37&lt;26000000,0,IF(CJ37&lt;26500000,4,IF(CJ37&lt;27000000,7,IF(CJ37&lt;27500000,9,IF(CJ37&lt;28000000,11,IF(CJ37&lt;28500000,15,IF(CJ37&lt;29000000,17,IF(CJ37&lt;29500000,20,IF(CJ37&lt;30000000,23,IF(CJ37&lt;30500000,25,IF(CJ37&lt;31000000,27,IF(CJ37&lt;31500000,29,IF(CJ37&lt;32000000,33,IF(CJ37&lt;32500000,37,IF(CJ37&lt;33000000,39,IF(CJ37&lt;33500000,42,IF(CJ37&lt;34000000,45,IF(CJ37&lt;34500000,48,IF(CJ37&lt;35000000,52,52)))))))))))))))))))</f>
        <v>23</v>
      </c>
      <c r="CR37" s="50">
        <f>(CM37+CO37)/209</f>
        <v>10164.306220095694</v>
      </c>
      <c r="CS37" s="52">
        <v>28500000</v>
      </c>
      <c r="CT37" s="53">
        <f>IFERROR(CS37/12,"")</f>
        <v>2375000</v>
      </c>
      <c r="CU37" s="53">
        <f>IFERROR(CT37-CV37-CW37,"")</f>
        <v>1838501.0266940452</v>
      </c>
      <c r="CV37" s="53">
        <f>IFERROR(CT37*(CY37*1.5)/(209+(CY37*1.5)),"")</f>
        <v>336498.97330595483</v>
      </c>
      <c r="CW37" s="54">
        <v>200000</v>
      </c>
      <c r="CX37" s="54">
        <v>209</v>
      </c>
      <c r="CY37" s="54">
        <v>23</v>
      </c>
      <c r="CZ37" s="55">
        <f>SUM(CX37:CY37)</f>
        <v>232</v>
      </c>
      <c r="DA37" s="55">
        <f>IFERROR((CU37/209)+(CW37-(9620*209*0.01))/209,"")</f>
        <v>9657.3934291581099</v>
      </c>
      <c r="DB37" s="56">
        <f>IFERROR((CU37+CW37)/209,"")</f>
        <v>9753.5934291581107</v>
      </c>
      <c r="DC37" s="57">
        <v>2023</v>
      </c>
      <c r="DD37" s="58"/>
      <c r="DE37" s="58"/>
      <c r="DF37" s="57"/>
      <c r="DG37" s="59">
        <f>B37</f>
        <v>220804</v>
      </c>
      <c r="DH37" s="58"/>
      <c r="DI37" s="58"/>
      <c r="DJ37" s="60"/>
      <c r="DK37" s="58"/>
      <c r="DL37" s="61"/>
      <c r="DM37" s="24"/>
    </row>
    <row r="38" spans="1:117" ht="15" customHeight="1">
      <c r="A38" s="25">
        <f>ROW()-2</f>
        <v>36</v>
      </c>
      <c r="B38" s="26">
        <v>220805</v>
      </c>
      <c r="C38" s="27" t="s">
        <v>708</v>
      </c>
      <c r="D38" s="27"/>
      <c r="E38" s="27" t="s">
        <v>613</v>
      </c>
      <c r="F38" s="27" t="s">
        <v>196</v>
      </c>
      <c r="G38" s="27" t="s">
        <v>240</v>
      </c>
      <c r="H38" s="27" t="s">
        <v>260</v>
      </c>
      <c r="I38" s="27" t="s">
        <v>709</v>
      </c>
      <c r="J38" s="27" t="str">
        <f>+VLOOKUP($I38,[1]프로젝트현황!$I:$N,5,0)</f>
        <v>서울시</v>
      </c>
      <c r="K38" s="27" t="str">
        <f>+VLOOKUP($I38,[1]프로젝트현황!$I:$N,6,0)</f>
        <v>강남구</v>
      </c>
      <c r="L38" s="28">
        <v>44774</v>
      </c>
      <c r="M38" s="28">
        <v>44774</v>
      </c>
      <c r="N38" s="28"/>
      <c r="O38" s="29"/>
      <c r="P38" s="30" t="s">
        <v>710</v>
      </c>
      <c r="Q38" s="27" t="s">
        <v>711</v>
      </c>
      <c r="R38" s="31" t="str">
        <f>LEFT(Q38,6)</f>
        <v>911231</v>
      </c>
      <c r="S38" s="31" t="str">
        <f>MID($Q38,3,2)</f>
        <v>12</v>
      </c>
      <c r="T38" s="31" t="str">
        <f>IF(OR(MID($Q38,8,1)="1",MID($Q38,8,1)="3"),"남자",IF(OR(MID($Q38,8,1)="2",MID($Q38,8,1)="4"),"여자",""))</f>
        <v>남자</v>
      </c>
      <c r="U38" s="31">
        <f ca="1">YEAR(TODAY())-IF(OR(MID($Q38,8,1)="1",MID($Q38,8,1)="2"),19&amp;LEFT($Q38,2),IF(OR(MID($Q38,8,1)="3",MID($Q38,8,1)="4"),20&amp;LEFT($Q38,2),""))+1</f>
        <v>36</v>
      </c>
      <c r="V38" s="31" t="s">
        <v>200</v>
      </c>
      <c r="W38" s="31" t="s">
        <v>201</v>
      </c>
      <c r="X38" s="27" t="s">
        <v>712</v>
      </c>
      <c r="Y38" s="27"/>
      <c r="Z38" s="27"/>
      <c r="AA38" s="32"/>
      <c r="AB38" s="31" t="s">
        <v>203</v>
      </c>
      <c r="AC38" s="27" t="s">
        <v>713</v>
      </c>
      <c r="AD38" s="33" t="str">
        <f ca="1">QUOTIENT(SUMPRODUCT(LEFT($AE38:$AF38,FIND("년",$AE38:$AF38)-1)*12+MID($AE38:$AF38,FIND("년",$AE38:$AF38)+1,FIND("개월",$AE38:$AF38)-FIND("년",$AE38:$AF38)-1)),12)&amp;"년"&amp;MOD(SUMPRODUCT(LEFT($AE38:$AF38,FIND("년",$AE38:$AF38)-1)*12+MID($AE38:$AF38,FIND("년",$AE38:$AF38)+1,FIND("개월",$AE38:$AF38)-FIND("년",$AE38:$AF38)-1)),12)&amp;"개월"</f>
        <v>3년6개월</v>
      </c>
      <c r="AE38" s="33" t="s">
        <v>543</v>
      </c>
      <c r="AF38" s="34" t="str">
        <f ca="1">DATEDIF($L38,TODAY(),"y")&amp;"년"&amp;DATEDIF($L38,TODAY(),"ym")&amp;"개월"</f>
        <v>3년6개월</v>
      </c>
      <c r="AG38" s="35" t="s">
        <v>714</v>
      </c>
      <c r="AH38" s="35"/>
      <c r="AI38" s="30" t="s">
        <v>365</v>
      </c>
      <c r="AJ38" s="32">
        <v>40212</v>
      </c>
      <c r="AK38" s="36">
        <f ca="1">VALUE(LEFT($AD38,FIND("년",$AD38)-1))</f>
        <v>3</v>
      </c>
      <c r="AL38" s="31" t="str">
        <f ca="1">IF($AI38="고졸",IF($AK38&lt;=11,"초급",IF($AK38&lt;=14,"중급",IF($AK38&lt;=17,"고급",IF($AK38&gt;=18,"특급")))))</f>
        <v>초급</v>
      </c>
      <c r="AM38" s="31" t="str">
        <f>IF(ISNUMBER(SEARCH("산업기사",$AT38)),IF($AK38&gt;=13,"특급",IF($AK38&gt;=10,"고급",IF($AK38&gt;=7,"중급","초급"))),IF(ISNUMBER(SEARCH("기사",$AR38)),IF($AK38&gt;=10,"특급",IF($AK38&gt;=7,"고급",IF($AK38&gt;=4,"중급","초급"))),"미해당"))</f>
        <v>미해당</v>
      </c>
      <c r="AN38" s="27" t="s">
        <v>135</v>
      </c>
      <c r="AO38" s="32">
        <v>45367</v>
      </c>
      <c r="AP38" s="27"/>
      <c r="AQ38" s="32"/>
      <c r="AR38" s="27"/>
      <c r="AS38" s="27"/>
      <c r="AT38" s="37"/>
      <c r="AU38" s="27"/>
      <c r="AV38" s="38"/>
      <c r="AW38" s="39"/>
      <c r="AX38" s="39"/>
      <c r="AY38" s="40" t="s">
        <v>251</v>
      </c>
      <c r="AZ38" s="41" t="s">
        <v>252</v>
      </c>
      <c r="BA38" s="30" t="s">
        <v>230</v>
      </c>
      <c r="BB38" s="30" t="s">
        <v>715</v>
      </c>
      <c r="BC38" s="42" t="s">
        <v>275</v>
      </c>
      <c r="BD38" s="42" t="s">
        <v>716</v>
      </c>
      <c r="BE38" s="43" t="s">
        <v>717</v>
      </c>
      <c r="BF38" s="42" t="s">
        <v>211</v>
      </c>
      <c r="BG38" s="42" t="s">
        <v>718</v>
      </c>
      <c r="BH38" s="35"/>
      <c r="BI38" s="44" t="s">
        <v>719</v>
      </c>
      <c r="BJ38" s="45" t="str">
        <f>IFERROR(VLOOKUP($BG38,[1]프로젝트현황!Y:Z,2,0),"기타")</f>
        <v>동북권</v>
      </c>
      <c r="BK38" s="46" t="str">
        <f>(IF(BF38="","",BF38&amp;" "))&amp;(IF(BG38="","",BG38&amp;" "))&amp;(IF(BH38="","",BH38&amp;" "))&amp;BI38</f>
        <v>서울시 중랑구 상봉로16길 9-9</v>
      </c>
      <c r="BL38" s="47">
        <v>30</v>
      </c>
      <c r="BM38" s="47">
        <v>30</v>
      </c>
      <c r="BN38" s="48">
        <v>26600000</v>
      </c>
      <c r="BO38" s="48">
        <f>BP38*12</f>
        <v>26600056.799999997</v>
      </c>
      <c r="BP38" s="49">
        <f>SUM(BQ38:BS38)</f>
        <v>2216671.4</v>
      </c>
      <c r="BQ38" s="49">
        <f>ROUNDUP(BN38/12*209/(209+BU38*1.5)/BL38*BM38,-1)-BS38</f>
        <v>1969950</v>
      </c>
      <c r="BR38" s="49">
        <f>ROUNDUP(BN38/12*(BU38*1.5)/(209+BU38*1.5)/BL38*BM38,1)</f>
        <v>46721.4</v>
      </c>
      <c r="BS38" s="49">
        <v>200000</v>
      </c>
      <c r="BT38" s="50">
        <v>209</v>
      </c>
      <c r="BU38" s="49">
        <f>IF($BN38="","",
IFERROR(
    IF($BN38&lt;'[1]시간외시간 기준표'!$B$2,0,
        IF($BN38&gt;LOOKUP(9.9E+307,'[1]시간외시간 기준표'!$B$2:$B$999),
            LOOKUP(9.9E+307,'[1]시간외시간 기준표'!$C$2:$C$999),
            LOOKUP($BN38,'[1]시간외시간 기준표'!$B$2:$B$999,'[1]시간외시간 기준표'!$C$2:$C$999)
        )
    ),0)
)</f>
        <v>3</v>
      </c>
      <c r="BV38" s="50">
        <f>(BQ38+BS38)/209</f>
        <v>10382.535885167465</v>
      </c>
      <c r="BW38" s="51">
        <v>30</v>
      </c>
      <c r="BX38" s="51">
        <v>30</v>
      </c>
      <c r="BY38" s="52">
        <v>26600000</v>
      </c>
      <c r="BZ38" s="52">
        <f>CA38*12</f>
        <v>26600118</v>
      </c>
      <c r="CA38" s="49">
        <f>SUM(CB38:CD38)</f>
        <v>2216676.5</v>
      </c>
      <c r="CB38" s="49">
        <f>ROUNDUP(BY38/12*209/(209+CF38*1.5)/BW38*BX38,-1)-CD38</f>
        <v>1910640</v>
      </c>
      <c r="CC38" s="49">
        <f>ROUNDUP(BY38/12*(CF38*1.5)/(209+CF38*1.5)/BW38*BX38,1)</f>
        <v>106036.5</v>
      </c>
      <c r="CD38" s="49">
        <v>200000</v>
      </c>
      <c r="CE38" s="50">
        <v>209</v>
      </c>
      <c r="CF38" s="49">
        <f>IF(BY38&lt;26000000,0,IF(BY38&lt;26500000,4,IF(BY38&lt;27000000,7,IF(BY38&lt;27500000,9,IF(BY38&lt;28000000,11,IF(BY38&lt;28500000,15,IF(BY38&lt;29000000,17,IF(BY38&lt;29500000,20,IF(BY38&lt;30000000,23,IF(BY38&lt;30500000,25,IF(BY38&lt;31000000,27,IF(BY38&lt;31500000,29,IF(BY38&lt;32000000,33,IF(BY38&lt;32500000,37,IF(BY38&lt;33000000,39,IF(BY38&lt;33500000,42,IF(BY38&lt;34000000,45,IF(BY38&lt;34500000,48,IF(BY38&lt;35000000,52,52)))))))))))))))))))</f>
        <v>7</v>
      </c>
      <c r="CG38" s="50">
        <f>(CB38+CD38)/209</f>
        <v>10098.755980861244</v>
      </c>
      <c r="CH38" s="51">
        <v>30</v>
      </c>
      <c r="CI38" s="51">
        <v>30</v>
      </c>
      <c r="CJ38" s="52">
        <v>26600000</v>
      </c>
      <c r="CK38" s="52">
        <f>CL38*12</f>
        <v>26600118</v>
      </c>
      <c r="CL38" s="49">
        <f>SUM(CM38:CO38)</f>
        <v>2216676.5</v>
      </c>
      <c r="CM38" s="49">
        <f>ROUNDUP(CJ38/12*209/(209+CQ38*1.5)/CH38*CI38,-1)-CO38</f>
        <v>1910640</v>
      </c>
      <c r="CN38" s="49">
        <f>ROUNDUP(CJ38/12*(CQ38*1.5)/(209+CQ38*1.5)/CH38*CI38,1)</f>
        <v>106036.5</v>
      </c>
      <c r="CO38" s="50">
        <v>200000</v>
      </c>
      <c r="CP38" s="50">
        <v>209</v>
      </c>
      <c r="CQ38" s="50">
        <f>IF(CJ38&lt;26000000,0,IF(CJ38&lt;26500000,4,IF(CJ38&lt;27000000,7,IF(CJ38&lt;27500000,9,IF(CJ38&lt;28000000,11,IF(CJ38&lt;28500000,15,IF(CJ38&lt;29000000,17,IF(CJ38&lt;29500000,20,IF(CJ38&lt;30000000,23,IF(CJ38&lt;30500000,25,IF(CJ38&lt;31000000,27,IF(CJ38&lt;31500000,29,IF(CJ38&lt;32000000,33,IF(CJ38&lt;32500000,37,IF(CJ38&lt;33000000,39,IF(CJ38&lt;33500000,42,IF(CJ38&lt;34000000,45,IF(CJ38&lt;34500000,48,IF(CJ38&lt;35000000,52,52)))))))))))))))))))</f>
        <v>7</v>
      </c>
      <c r="CR38" s="50">
        <f>(CM38+CO38)/209</f>
        <v>10098.755980861244</v>
      </c>
      <c r="CS38" s="52">
        <v>26000000</v>
      </c>
      <c r="CT38" s="53">
        <f>IFERROR(CS38/12,"")</f>
        <v>2166666.6666666665</v>
      </c>
      <c r="CU38" s="53">
        <f>IFERROR(CT38-CV38-CW38,"")</f>
        <v>1835205.9925093632</v>
      </c>
      <c r="CV38" s="53">
        <f>IFERROR(CT38*(CY38*1.5)/(209+(CY38*1.5)),"")</f>
        <v>131460.67415730335</v>
      </c>
      <c r="CW38" s="54">
        <v>200000</v>
      </c>
      <c r="CX38" s="54">
        <v>209</v>
      </c>
      <c r="CY38" s="54">
        <v>9</v>
      </c>
      <c r="CZ38" s="55">
        <f>SUM(CX38:CY38)</f>
        <v>218</v>
      </c>
      <c r="DA38" s="55">
        <f>IFERROR((CU38/209)+(CW38-(9620*209*0.01))/209,"")</f>
        <v>9641.627715355804</v>
      </c>
      <c r="DB38" s="56">
        <f>IFERROR((CU38+CW38)/209,"")</f>
        <v>9737.8277153558047</v>
      </c>
      <c r="DC38" s="57">
        <v>2023</v>
      </c>
      <c r="DD38" s="58"/>
      <c r="DE38" s="58"/>
      <c r="DF38" s="57"/>
      <c r="DG38" s="59">
        <f>B38</f>
        <v>220805</v>
      </c>
      <c r="DH38" s="58"/>
      <c r="DI38" s="58"/>
      <c r="DJ38" s="60"/>
      <c r="DK38" s="58"/>
      <c r="DL38" s="61"/>
      <c r="DM38" s="24"/>
    </row>
    <row r="39" spans="1:117" ht="15" customHeight="1">
      <c r="A39" s="25">
        <f>ROW()-2</f>
        <v>37</v>
      </c>
      <c r="B39" s="26">
        <v>220901</v>
      </c>
      <c r="C39" s="27" t="s">
        <v>720</v>
      </c>
      <c r="D39" s="27"/>
      <c r="E39" s="27" t="s">
        <v>239</v>
      </c>
      <c r="F39" s="27" t="s">
        <v>196</v>
      </c>
      <c r="G39" s="27" t="s">
        <v>240</v>
      </c>
      <c r="H39" s="27" t="s">
        <v>241</v>
      </c>
      <c r="I39" s="27" t="s">
        <v>455</v>
      </c>
      <c r="J39" s="27" t="str">
        <f>+VLOOKUP($I39,[1]프로젝트현황!$I:$N,5,0)</f>
        <v>경기도</v>
      </c>
      <c r="K39" s="27" t="str">
        <f>+VLOOKUP($I39,[1]프로젝트현황!$I:$N,6,0)</f>
        <v>성남시</v>
      </c>
      <c r="L39" s="28">
        <v>44805</v>
      </c>
      <c r="M39" s="28">
        <v>44896</v>
      </c>
      <c r="N39" s="28"/>
      <c r="O39" s="29"/>
      <c r="P39" s="30" t="s">
        <v>721</v>
      </c>
      <c r="Q39" s="27" t="s">
        <v>722</v>
      </c>
      <c r="R39" s="31" t="str">
        <f>LEFT(Q39,6)</f>
        <v>931208</v>
      </c>
      <c r="S39" s="31" t="str">
        <f>MID($Q39,3,2)</f>
        <v>12</v>
      </c>
      <c r="T39" s="31" t="str">
        <f>IF(OR(MID($Q39,8,1)="1",MID($Q39,8,1)="3"),"남자",IF(OR(MID($Q39,8,1)="2",MID($Q39,8,1)="4"),"여자",""))</f>
        <v>남자</v>
      </c>
      <c r="U39" s="31">
        <f ca="1">YEAR(TODAY())-IF(OR(MID($Q39,8,1)="1",MID($Q39,8,1)="2"),19&amp;LEFT($Q39,2),IF(OR(MID($Q39,8,1)="3",MID($Q39,8,1)="4"),20&amp;LEFT($Q39,2),""))+1</f>
        <v>34</v>
      </c>
      <c r="V39" s="31" t="s">
        <v>200</v>
      </c>
      <c r="W39" s="31" t="s">
        <v>201</v>
      </c>
      <c r="X39" s="27" t="s">
        <v>723</v>
      </c>
      <c r="Y39" s="27"/>
      <c r="Z39" s="27"/>
      <c r="AA39" s="32"/>
      <c r="AB39" s="31" t="s">
        <v>203</v>
      </c>
      <c r="AC39" s="27" t="s">
        <v>724</v>
      </c>
      <c r="AD39" s="33" t="str">
        <f ca="1">QUOTIENT(SUMPRODUCT(LEFT($AE39:$AF39,FIND("년",$AE39:$AF39)-1)*12+MID($AE39:$AF39,FIND("년",$AE39:$AF39)+1,FIND("개월",$AE39:$AF39)-FIND("년",$AE39:$AF39)-1)),12)&amp;"년"&amp;MOD(SUMPRODUCT(LEFT($AE39:$AF39,FIND("년",$AE39:$AF39)-1)*12+MID($AE39:$AF39,FIND("년",$AE39:$AF39)+1,FIND("개월",$AE39:$AF39)-FIND("년",$AE39:$AF39)-1)),12)&amp;"개월"</f>
        <v>8년5개월</v>
      </c>
      <c r="AE39" s="33" t="s">
        <v>725</v>
      </c>
      <c r="AF39" s="34" t="str">
        <f ca="1">DATEDIF($L39,TODAY(),"y")&amp;"년"&amp;DATEDIF($L39,TODAY(),"ym")&amp;"개월"</f>
        <v>3년5개월</v>
      </c>
      <c r="AG39" s="35" t="s">
        <v>726</v>
      </c>
      <c r="AH39" s="35" t="s">
        <v>321</v>
      </c>
      <c r="AI39" s="30" t="s">
        <v>205</v>
      </c>
      <c r="AJ39" s="32">
        <v>43336</v>
      </c>
      <c r="AK39" s="36">
        <f ca="1">VALUE(LEFT($AD39,FIND("년",$AD39)-1))</f>
        <v>8</v>
      </c>
      <c r="AL39" s="31" t="str">
        <f ca="1">IF($AI39="전문학사",IF($AK39&lt;=8,"초급",IF($AK39&lt;12,"중급",IF($AK39&lt;15,"고급",IF($AK39&gt;=15,"특급")))))</f>
        <v>초급</v>
      </c>
      <c r="AM39" s="31" t="str">
        <f>IF(ISNUMBER(SEARCH("산업기사",$AT39)),IF($AK39&gt;=13,"특급",IF($AK39&gt;=10,"고급",IF($AK39&gt;=7,"중급","초급"))),IF(ISNUMBER(SEARCH("기사",$AR39)),IF($AK39&gt;=10,"특급",IF($AK39&gt;=7,"고급",IF($AK39&gt;=4,"중급","초급"))),"미해당"))</f>
        <v>미해당</v>
      </c>
      <c r="AN39" s="27"/>
      <c r="AO39" s="32"/>
      <c r="AP39" s="27"/>
      <c r="AQ39" s="32"/>
      <c r="AR39" s="27"/>
      <c r="AS39" s="27"/>
      <c r="AT39" s="37"/>
      <c r="AU39" s="27"/>
      <c r="AV39" s="38"/>
      <c r="AW39" s="39"/>
      <c r="AX39" s="39"/>
      <c r="AY39" s="40" t="s">
        <v>251</v>
      </c>
      <c r="AZ39" s="41" t="s">
        <v>252</v>
      </c>
      <c r="BA39" s="30" t="s">
        <v>230</v>
      </c>
      <c r="BB39" s="30" t="s">
        <v>727</v>
      </c>
      <c r="BC39" s="42" t="s">
        <v>254</v>
      </c>
      <c r="BD39" s="42" t="s">
        <v>728</v>
      </c>
      <c r="BE39" s="43" t="s">
        <v>729</v>
      </c>
      <c r="BF39" s="42" t="s">
        <v>234</v>
      </c>
      <c r="BG39" s="42" t="s">
        <v>464</v>
      </c>
      <c r="BH39" s="35"/>
      <c r="BI39" s="44" t="s">
        <v>730</v>
      </c>
      <c r="BJ39" s="45" t="str">
        <f>IFERROR(VLOOKUP($BG39,[1]프로젝트현황!Y:Z,2,0),"기타")</f>
        <v>동남권</v>
      </c>
      <c r="BK39" s="46" t="str">
        <f>(IF(BF39="","",BF39&amp;" "))&amp;(IF(BG39="","",BG39&amp;" "))&amp;(IF(BH39="","",BH39&amp;" "))&amp;BI39</f>
        <v>경기도 광주시 삼지곡길46,A동 202호</v>
      </c>
      <c r="BL39" s="47">
        <v>30</v>
      </c>
      <c r="BM39" s="47">
        <v>30</v>
      </c>
      <c r="BN39" s="48">
        <v>32700000</v>
      </c>
      <c r="BO39" s="48">
        <f>BP39*12</f>
        <v>32700069.599999998</v>
      </c>
      <c r="BP39" s="49">
        <f>SUM(BQ39:BS39)</f>
        <v>2725005.8</v>
      </c>
      <c r="BQ39" s="49">
        <f>ROUNDUP(BN39/12*209/(209+BU39*1.5)/BL39*BM39,-1)-BS39</f>
        <v>1965500</v>
      </c>
      <c r="BR39" s="49">
        <f>ROUNDUP(BN39/12*(BU39*1.5)/(209+BU39*1.5)/BL39*BM39,1)</f>
        <v>559505.79999999993</v>
      </c>
      <c r="BS39" s="49">
        <v>200000</v>
      </c>
      <c r="BT39" s="50">
        <v>209</v>
      </c>
      <c r="BU39" s="49">
        <f>IF($BN39="","",
IFERROR(
    IF($BN39&lt;'[1]시간외시간 기준표'!$B$2,0,
        IF($BN39&gt;LOOKUP(9.9E+307,'[1]시간외시간 기준표'!$B$2:$B$999),
            LOOKUP(9.9E+307,'[1]시간외시간 기준표'!$C$2:$C$999),
            LOOKUP($BN39,'[1]시간외시간 기준표'!$B$2:$B$999,'[1]시간외시간 기준표'!$C$2:$C$999)
        )
    ),0)
)</f>
        <v>36</v>
      </c>
      <c r="BV39" s="50">
        <f>(BQ39+BS39)/209</f>
        <v>10361.244019138756</v>
      </c>
      <c r="BW39" s="51">
        <v>30</v>
      </c>
      <c r="BX39" s="51">
        <v>30</v>
      </c>
      <c r="BY39" s="52">
        <v>32700000</v>
      </c>
      <c r="BZ39" s="52">
        <f>CA39*12</f>
        <v>32700055.200000003</v>
      </c>
      <c r="CA39" s="49">
        <f>SUM(CB39:CD39)</f>
        <v>2725004.6</v>
      </c>
      <c r="CB39" s="49">
        <f>ROUNDUP(BY39/12*209/(209+CF39*1.5)/BW39*BX39,-1)-CD39</f>
        <v>1929070</v>
      </c>
      <c r="CC39" s="49">
        <f>ROUNDUP(BY39/12*(CF39*1.5)/(209+CF39*1.5)/BW39*BX39,1)</f>
        <v>595934.6</v>
      </c>
      <c r="CD39" s="49">
        <v>200000</v>
      </c>
      <c r="CE39" s="50">
        <v>209</v>
      </c>
      <c r="CF39" s="49">
        <f>IF(BY39&lt;26000000,0,IF(BY39&lt;26500000,4,IF(BY39&lt;27000000,7,IF(BY39&lt;27500000,9,IF(BY39&lt;28000000,11,IF(BY39&lt;28500000,15,IF(BY39&lt;29000000,17,IF(BY39&lt;29500000,20,IF(BY39&lt;30000000,23,IF(BY39&lt;30500000,25,IF(BY39&lt;31000000,27,IF(BY39&lt;31500000,29,IF(BY39&lt;32000000,33,IF(BY39&lt;32500000,37,IF(BY39&lt;33000000,39,IF(BY39&lt;33500000,42,IF(BY39&lt;34000000,45,IF(BY39&lt;34500000,48,IF(BY39&lt;35000000,52,52)))))))))))))))))))</f>
        <v>39</v>
      </c>
      <c r="CG39" s="50">
        <f>(CB39+CD39)/209</f>
        <v>10186.937799043062</v>
      </c>
      <c r="CH39" s="51">
        <v>30</v>
      </c>
      <c r="CI39" s="51">
        <v>30</v>
      </c>
      <c r="CJ39" s="52">
        <v>31200000</v>
      </c>
      <c r="CK39" s="52">
        <f>CL39*12</f>
        <v>31200009.599999998</v>
      </c>
      <c r="CL39" s="49">
        <f>SUM(CM39:CO39)</f>
        <v>2600000.7999999998</v>
      </c>
      <c r="CM39" s="49">
        <f>ROUNDUP(CJ39/12*209/(209+CQ39*1.5)/CH39*CI39,-1)-CO39</f>
        <v>1952080</v>
      </c>
      <c r="CN39" s="49">
        <f>ROUNDUP(CJ39/12*(CQ39*1.5)/(209+CQ39*1.5)/CH39*CI39,1)</f>
        <v>447920.8</v>
      </c>
      <c r="CO39" s="50">
        <v>200000</v>
      </c>
      <c r="CP39" s="50">
        <v>209</v>
      </c>
      <c r="CQ39" s="50">
        <f>IF(CJ39&lt;26000000,0,IF(CJ39&lt;26500000,4,IF(CJ39&lt;27000000,7,IF(CJ39&lt;27500000,9,IF(CJ39&lt;28000000,11,IF(CJ39&lt;28500000,15,IF(CJ39&lt;29000000,17,IF(CJ39&lt;29500000,20,IF(CJ39&lt;30000000,23,IF(CJ39&lt;30500000,25,IF(CJ39&lt;31000000,27,IF(CJ39&lt;31500000,29,IF(CJ39&lt;32000000,33,IF(CJ39&lt;32500000,37,IF(CJ39&lt;33000000,39,IF(CJ39&lt;33500000,42,IF(CJ39&lt;34000000,45,IF(CJ39&lt;34500000,48,IF(CJ39&lt;35000000,52,52)))))))))))))))))))</f>
        <v>29</v>
      </c>
      <c r="CR39" s="50">
        <f>(CM39+CO39)/209</f>
        <v>10297.033492822966</v>
      </c>
      <c r="CS39" s="52">
        <v>30000000</v>
      </c>
      <c r="CT39" s="53">
        <f>IFERROR(CS39/12,"")</f>
        <v>2500000</v>
      </c>
      <c r="CU39" s="53">
        <f>IFERROR(CT39-CV39-CW39,"")</f>
        <v>1833073.9299610895</v>
      </c>
      <c r="CV39" s="53">
        <f>IFERROR(CT39*(CY39*1.5)/(209+(CY39*1.5)),"")</f>
        <v>466926.07003891049</v>
      </c>
      <c r="CW39" s="54">
        <v>200000</v>
      </c>
      <c r="CX39" s="54">
        <v>209</v>
      </c>
      <c r="CY39" s="54">
        <v>32</v>
      </c>
      <c r="CZ39" s="55">
        <f>SUM(CX39:CY39)</f>
        <v>241</v>
      </c>
      <c r="DA39" s="55">
        <f>IFERROR((CU39/209)+(CW39-(9620*209*0.01))/209,"")</f>
        <v>9631.4264591439678</v>
      </c>
      <c r="DB39" s="56">
        <f>IFERROR((CU39+CW39)/209,"")</f>
        <v>9727.6264591439685</v>
      </c>
      <c r="DC39" s="57">
        <v>2023</v>
      </c>
      <c r="DD39" s="58"/>
      <c r="DE39" s="58"/>
      <c r="DF39" s="57"/>
      <c r="DG39" s="59">
        <f>B39</f>
        <v>220901</v>
      </c>
      <c r="DH39" s="58" t="s">
        <v>454</v>
      </c>
      <c r="DI39" s="58">
        <v>44986</v>
      </c>
      <c r="DJ39" s="60">
        <v>1000000</v>
      </c>
      <c r="DK39" s="58"/>
      <c r="DL39" s="61"/>
      <c r="DM39" s="24"/>
    </row>
    <row r="40" spans="1:117" ht="15" customHeight="1">
      <c r="A40" s="25">
        <f>ROW()-2</f>
        <v>38</v>
      </c>
      <c r="B40" s="26">
        <v>220905</v>
      </c>
      <c r="C40" s="27" t="s">
        <v>731</v>
      </c>
      <c r="D40" s="27"/>
      <c r="E40" s="27" t="s">
        <v>613</v>
      </c>
      <c r="F40" s="27" t="s">
        <v>196</v>
      </c>
      <c r="G40" s="27" t="s">
        <v>240</v>
      </c>
      <c r="H40" s="27" t="s">
        <v>241</v>
      </c>
      <c r="I40" s="27" t="s">
        <v>455</v>
      </c>
      <c r="J40" s="27" t="str">
        <f>+VLOOKUP($I40,[1]프로젝트현황!$I:$N,5,0)</f>
        <v>경기도</v>
      </c>
      <c r="K40" s="27" t="str">
        <f>+VLOOKUP($I40,[1]프로젝트현황!$I:$N,6,0)</f>
        <v>성남시</v>
      </c>
      <c r="L40" s="28">
        <v>44823</v>
      </c>
      <c r="M40" s="28">
        <v>44823</v>
      </c>
      <c r="N40" s="28"/>
      <c r="O40" s="29"/>
      <c r="P40" s="30" t="s">
        <v>732</v>
      </c>
      <c r="Q40" s="27" t="s">
        <v>733</v>
      </c>
      <c r="R40" s="31" t="str">
        <f>LEFT(Q40,6)</f>
        <v>010511</v>
      </c>
      <c r="S40" s="31" t="str">
        <f>MID($Q40,3,2)</f>
        <v>05</v>
      </c>
      <c r="T40" s="31" t="str">
        <f>IF(OR(MID($Q40,8,1)="1",MID($Q40,8,1)="3"),"남자",IF(OR(MID($Q40,8,1)="2",MID($Q40,8,1)="4"),"여자",""))</f>
        <v>남자</v>
      </c>
      <c r="U40" s="31">
        <f ca="1">YEAR(TODAY())-IF(OR(MID($Q40,8,1)="1",MID($Q40,8,1)="2"),19&amp;LEFT($Q40,2),IF(OR(MID($Q40,8,1)="3",MID($Q40,8,1)="4"),20&amp;LEFT($Q40,2),""))+1</f>
        <v>26</v>
      </c>
      <c r="V40" s="31" t="s">
        <v>200</v>
      </c>
      <c r="W40" s="31" t="s">
        <v>201</v>
      </c>
      <c r="X40" s="27" t="s">
        <v>734</v>
      </c>
      <c r="Y40" s="27"/>
      <c r="Z40" s="27"/>
      <c r="AA40" s="32"/>
      <c r="AB40" s="31" t="s">
        <v>203</v>
      </c>
      <c r="AC40" s="27" t="s">
        <v>735</v>
      </c>
      <c r="AD40" s="33" t="str">
        <f ca="1">QUOTIENT(SUMPRODUCT(LEFT($AE40:$AF40,FIND("년",$AE40:$AF40)-1)*12+MID($AE40:$AF40,FIND("년",$AE40:$AF40)+1,FIND("개월",$AE40:$AF40)-FIND("년",$AE40:$AF40)-1)),12)&amp;"년"&amp;MOD(SUMPRODUCT(LEFT($AE40:$AF40,FIND("년",$AE40:$AF40)-1)*12+MID($AE40:$AF40,FIND("년",$AE40:$AF40)+1,FIND("개월",$AE40:$AF40)-FIND("년",$AE40:$AF40)-1)),12)&amp;"개월"</f>
        <v>3년4개월</v>
      </c>
      <c r="AE40" s="33" t="s">
        <v>543</v>
      </c>
      <c r="AF40" s="34" t="str">
        <f ca="1">DATEDIF($L40,TODAY(),"y")&amp;"년"&amp;DATEDIF($L40,TODAY(),"ym")&amp;"개월"</f>
        <v>3년4개월</v>
      </c>
      <c r="AG40" s="35" t="s">
        <v>544</v>
      </c>
      <c r="AH40" s="35" t="s">
        <v>680</v>
      </c>
      <c r="AI40" s="30" t="s">
        <v>205</v>
      </c>
      <c r="AJ40" s="32">
        <v>44971</v>
      </c>
      <c r="AK40" s="36">
        <f ca="1">VALUE(LEFT($AD40,FIND("년",$AD40)-1))</f>
        <v>3</v>
      </c>
      <c r="AL40" s="31" t="str">
        <f ca="1">IF($AI40="전문학사",IF($AK40&lt;=8,"초급",IF($AK40&lt;12,"중급",IF($AK40&lt;15,"고급",IF($AK40&gt;=15,"특급")))))</f>
        <v>초급</v>
      </c>
      <c r="AM40" s="31" t="str">
        <f>IF(ISNUMBER(SEARCH("산업기사",$AT40)),IF($AK40&gt;=13,"특급",IF($AK40&gt;=10,"고급",IF($AK40&gt;=7,"중급","초급"))),IF(ISNUMBER(SEARCH("기사",$AR40)),IF($AK40&gt;=10,"특급",IF($AK40&gt;=7,"고급",IF($AK40&gt;=4,"중급","초급"))),"미해당"))</f>
        <v>미해당</v>
      </c>
      <c r="AN40" s="27"/>
      <c r="AO40" s="32"/>
      <c r="AP40" s="27"/>
      <c r="AQ40" s="32"/>
      <c r="AR40" s="27"/>
      <c r="AS40" s="27"/>
      <c r="AT40" s="37"/>
      <c r="AU40" s="27"/>
      <c r="AV40" s="38" t="s">
        <v>736</v>
      </c>
      <c r="AW40" s="39" t="s">
        <v>737</v>
      </c>
      <c r="AX40" s="39" t="s">
        <v>738</v>
      </c>
      <c r="AY40" s="40" t="s">
        <v>251</v>
      </c>
      <c r="AZ40" s="41" t="s">
        <v>252</v>
      </c>
      <c r="BA40" s="30" t="s">
        <v>230</v>
      </c>
      <c r="BB40" s="30" t="s">
        <v>739</v>
      </c>
      <c r="BC40" s="42" t="s">
        <v>275</v>
      </c>
      <c r="BD40" s="42" t="s">
        <v>740</v>
      </c>
      <c r="BE40" s="43" t="s">
        <v>741</v>
      </c>
      <c r="BF40" s="42" t="s">
        <v>234</v>
      </c>
      <c r="BG40" s="42" t="s">
        <v>295</v>
      </c>
      <c r="BH40" s="35" t="s">
        <v>312</v>
      </c>
      <c r="BI40" s="44" t="s">
        <v>742</v>
      </c>
      <c r="BJ40" s="45" t="str">
        <f>IFERROR(VLOOKUP($BG40,[1]프로젝트현황!Y:Z,2,0),"기타")</f>
        <v>동남권</v>
      </c>
      <c r="BK40" s="46" t="str">
        <f>(IF(BF40="","",BF40&amp;" "))&amp;(IF(BG40="","",BG40&amp;" "))&amp;(IF(BH40="","",BH40&amp;" "))&amp;BI40</f>
        <v>경기도 수원시 권선구 일월천로4번길 74, 103동 901호 (구운동, 성원아파트)</v>
      </c>
      <c r="BL40" s="47">
        <v>30</v>
      </c>
      <c r="BM40" s="47">
        <v>30</v>
      </c>
      <c r="BN40" s="48">
        <v>29300000</v>
      </c>
      <c r="BO40" s="48">
        <f>BP40*12</f>
        <v>29300061.599999998</v>
      </c>
      <c r="BP40" s="49">
        <f>SUM(BQ40:BS40)</f>
        <v>2441671.7999999998</v>
      </c>
      <c r="BQ40" s="49">
        <f>ROUNDUP(BN40/12*209/(209+BU40*1.5)/BL40*BM40,-1)-BS40</f>
        <v>1976160</v>
      </c>
      <c r="BR40" s="49">
        <f>ROUNDUP(BN40/12*(BU40*1.5)/(209+BU40*1.5)/BL40*BM40,1)</f>
        <v>265511.8</v>
      </c>
      <c r="BS40" s="49">
        <v>200000</v>
      </c>
      <c r="BT40" s="50">
        <v>209</v>
      </c>
      <c r="BU40" s="49">
        <f>IF($BN40="","",
IFERROR(
    IF($BN40&lt;'[1]시간외시간 기준표'!$B$2,0,
        IF($BN40&gt;LOOKUP(9.9E+307,'[1]시간외시간 기준표'!$B$2:$B$999),
            LOOKUP(9.9E+307,'[1]시간외시간 기준표'!$C$2:$C$999),
            LOOKUP($BN40,'[1]시간외시간 기준표'!$B$2:$B$999,'[1]시간외시간 기준표'!$C$2:$C$999)
        )
    ),0)
)</f>
        <v>17</v>
      </c>
      <c r="BV40" s="50">
        <f>(BQ40+BS40)/209</f>
        <v>10412.248803827752</v>
      </c>
      <c r="BW40" s="51">
        <v>30</v>
      </c>
      <c r="BX40" s="51">
        <v>30</v>
      </c>
      <c r="BY40" s="52">
        <v>29300000</v>
      </c>
      <c r="BZ40" s="52">
        <f>CA40*12</f>
        <v>29300104.799999997</v>
      </c>
      <c r="CA40" s="49">
        <f>SUM(CB40:CD40)</f>
        <v>2441675.4</v>
      </c>
      <c r="CB40" s="49">
        <f>ROUNDUP(BY40/12*209/(209+CF40*1.5)/BW40*BX40,-1)-CD40</f>
        <v>1935190</v>
      </c>
      <c r="CC40" s="49">
        <f>ROUNDUP(BY40/12*(CF40*1.5)/(209+CF40*1.5)/BW40*BX40,1)</f>
        <v>306485.39999999997</v>
      </c>
      <c r="CD40" s="49">
        <v>200000</v>
      </c>
      <c r="CE40" s="50">
        <v>209</v>
      </c>
      <c r="CF40" s="49">
        <f>IF(BY40&lt;26000000,0,IF(BY40&lt;26500000,4,IF(BY40&lt;27000000,7,IF(BY40&lt;27500000,9,IF(BY40&lt;28000000,11,IF(BY40&lt;28500000,15,IF(BY40&lt;29000000,17,IF(BY40&lt;29500000,20,IF(BY40&lt;30000000,23,IF(BY40&lt;30500000,25,IF(BY40&lt;31000000,27,IF(BY40&lt;31500000,29,IF(BY40&lt;32000000,33,IF(BY40&lt;32500000,37,IF(BY40&lt;33000000,39,IF(BY40&lt;33500000,42,IF(BY40&lt;34000000,45,IF(BY40&lt;34500000,48,IF(BY40&lt;35000000,52,52)))))))))))))))))))</f>
        <v>20</v>
      </c>
      <c r="CG40" s="50">
        <f>(CB40+CD40)/209</f>
        <v>10216.22009569378</v>
      </c>
      <c r="CH40" s="51">
        <v>30</v>
      </c>
      <c r="CI40" s="51">
        <v>30</v>
      </c>
      <c r="CJ40" s="52">
        <v>28500000</v>
      </c>
      <c r="CK40" s="52">
        <f>CL40*12</f>
        <v>28500027.599999998</v>
      </c>
      <c r="CL40" s="49">
        <f>SUM(CM40:CO40)</f>
        <v>2375002.2999999998</v>
      </c>
      <c r="CM40" s="49">
        <f>ROUNDUP(CJ40/12*209/(209+CQ40*1.5)/CH40*CI40,-1)-CO40</f>
        <v>1916740</v>
      </c>
      <c r="CN40" s="49">
        <f>ROUNDUP(CJ40/12*(CQ40*1.5)/(209+CQ40*1.5)/CH40*CI40,1)</f>
        <v>258262.30000000002</v>
      </c>
      <c r="CO40" s="50">
        <v>200000</v>
      </c>
      <c r="CP40" s="50">
        <v>209</v>
      </c>
      <c r="CQ40" s="50">
        <f>IF(CJ40&lt;26000000,0,IF(CJ40&lt;26500000,4,IF(CJ40&lt;27000000,7,IF(CJ40&lt;27500000,9,IF(CJ40&lt;28000000,11,IF(CJ40&lt;28500000,15,IF(CJ40&lt;29000000,17,IF(CJ40&lt;29500000,20,IF(CJ40&lt;30000000,23,IF(CJ40&lt;30500000,25,IF(CJ40&lt;31000000,27,IF(CJ40&lt;31500000,29,IF(CJ40&lt;32000000,33,IF(CJ40&lt;32500000,37,IF(CJ40&lt;33000000,39,IF(CJ40&lt;33500000,42,IF(CJ40&lt;34000000,45,IF(CJ40&lt;34500000,48,IF(CJ40&lt;35000000,52,52)))))))))))))))))))</f>
        <v>17</v>
      </c>
      <c r="CR40" s="50">
        <f>(CM40+CO40)/209</f>
        <v>10127.942583732058</v>
      </c>
      <c r="CS40" s="52">
        <v>27000000</v>
      </c>
      <c r="CT40" s="53">
        <f>IFERROR(CS40/12,"")</f>
        <v>2250000</v>
      </c>
      <c r="CU40" s="53" t="str">
        <f>IFERROR(#REF!-CV40-CW40,"")</f>
        <v/>
      </c>
      <c r="CV40" s="53" t="str">
        <f>IFERROR(#REF!*(CY40*1.5)/(209+(CY40*1.5)),"")</f>
        <v/>
      </c>
      <c r="CW40" s="54">
        <v>200000</v>
      </c>
      <c r="CX40" s="54">
        <v>209</v>
      </c>
      <c r="CY40" s="54">
        <v>15</v>
      </c>
      <c r="CZ40" s="55">
        <f>SUM(CX40:CY40)</f>
        <v>224</v>
      </c>
      <c r="DA40" s="55" t="str">
        <f>IFERROR((CU40/209)+(CW40-(9620*209*0.01))/209,"")</f>
        <v/>
      </c>
      <c r="DB40" s="56" t="str">
        <f>IFERROR((CU40+CW40)/209,"")</f>
        <v/>
      </c>
      <c r="DC40" s="57">
        <v>2023</v>
      </c>
      <c r="DD40" s="58"/>
      <c r="DE40" s="58"/>
      <c r="DF40" s="57"/>
      <c r="DG40" s="59">
        <f>B40</f>
        <v>220905</v>
      </c>
      <c r="DH40" s="58"/>
      <c r="DI40" s="58"/>
      <c r="DJ40" s="60"/>
      <c r="DK40" s="58"/>
      <c r="DL40" s="61"/>
      <c r="DM40" s="24"/>
    </row>
    <row r="41" spans="1:117" ht="15" customHeight="1">
      <c r="A41" s="25">
        <f>ROW()-2</f>
        <v>39</v>
      </c>
      <c r="B41" s="26">
        <v>220906</v>
      </c>
      <c r="C41" s="27" t="s">
        <v>743</v>
      </c>
      <c r="D41" s="27"/>
      <c r="E41" s="27" t="s">
        <v>239</v>
      </c>
      <c r="F41" s="27" t="s">
        <v>196</v>
      </c>
      <c r="G41" s="27" t="s">
        <v>240</v>
      </c>
      <c r="H41" s="27" t="s">
        <v>241</v>
      </c>
      <c r="I41" s="27" t="s">
        <v>675</v>
      </c>
      <c r="J41" s="27" t="str">
        <f>+VLOOKUP($I41,[1]프로젝트현황!$I:$N,5,0)</f>
        <v>경기도</v>
      </c>
      <c r="K41" s="27" t="str">
        <f>+VLOOKUP($I41,[1]프로젝트현황!$I:$N,6,0)</f>
        <v>성남시</v>
      </c>
      <c r="L41" s="28">
        <v>44832</v>
      </c>
      <c r="M41" s="28">
        <v>44832</v>
      </c>
      <c r="N41" s="28"/>
      <c r="O41" s="29"/>
      <c r="P41" s="30" t="s">
        <v>744</v>
      </c>
      <c r="Q41" s="27" t="s">
        <v>745</v>
      </c>
      <c r="R41" s="31" t="str">
        <f>LEFT(Q41,6)</f>
        <v>941130</v>
      </c>
      <c r="S41" s="31" t="str">
        <f>MID($Q41,3,2)</f>
        <v>11</v>
      </c>
      <c r="T41" s="31" t="str">
        <f>IF(OR(MID($Q41,8,1)="1",MID($Q41,8,1)="3"),"남자",IF(OR(MID($Q41,8,1)="2",MID($Q41,8,1)="4"),"여자",""))</f>
        <v>여자</v>
      </c>
      <c r="U41" s="31">
        <f ca="1">YEAR(TODAY())-IF(OR(MID($Q41,8,1)="1",MID($Q41,8,1)="2"),19&amp;LEFT($Q41,2),IF(OR(MID($Q41,8,1)="3",MID($Q41,8,1)="4"),20&amp;LEFT($Q41,2),""))+1</f>
        <v>33</v>
      </c>
      <c r="V41" s="31" t="s">
        <v>200</v>
      </c>
      <c r="W41" s="31" t="s">
        <v>201</v>
      </c>
      <c r="X41" s="27" t="s">
        <v>746</v>
      </c>
      <c r="Y41" s="27"/>
      <c r="Z41" s="27"/>
      <c r="AA41" s="32"/>
      <c r="AB41" s="31" t="s">
        <v>203</v>
      </c>
      <c r="AC41" s="27" t="s">
        <v>747</v>
      </c>
      <c r="AD41" s="33" t="str">
        <f ca="1">QUOTIENT(SUMPRODUCT(LEFT($AE41:$AF41,FIND("년",$AE41:$AF41)-1)*12+MID($AE41:$AF41,FIND("년",$AE41:$AF41)+1,FIND("개월",$AE41:$AF41)-FIND("년",$AE41:$AF41)-1)),12)&amp;"년"&amp;MOD(SUMPRODUCT(LEFT($AE41:$AF41,FIND("년",$AE41:$AF41)-1)*12+MID($AE41:$AF41,FIND("년",$AE41:$AF41)+1,FIND("개월",$AE41:$AF41)-FIND("년",$AE41:$AF41)-1)),12)&amp;"개월"</f>
        <v>3년4개월</v>
      </c>
      <c r="AE41" s="33" t="s">
        <v>543</v>
      </c>
      <c r="AF41" s="34" t="str">
        <f ca="1">DATEDIF($L41,TODAY(),"y")&amp;"년"&amp;DATEDIF($L41,TODAY(),"ym")&amp;"개월"</f>
        <v>3년4개월</v>
      </c>
      <c r="AG41" s="35" t="s">
        <v>748</v>
      </c>
      <c r="AH41" s="35" t="s">
        <v>749</v>
      </c>
      <c r="AI41" s="30" t="s">
        <v>270</v>
      </c>
      <c r="AJ41" s="32">
        <v>42965</v>
      </c>
      <c r="AK41" s="36">
        <f ca="1">VALUE(LEFT($AD41,FIND("년",$AD41)-1))</f>
        <v>3</v>
      </c>
      <c r="AL41" s="31" t="str">
        <f ca="1">IF($AI41="학사",IF($AK41&lt;=5,"초급",IF($AK41&lt;9,"중급",IF($AK41&lt;12,"고급",IF($AK41&gt;=12,"특급")))))</f>
        <v>초급</v>
      </c>
      <c r="AM41" s="31" t="str">
        <f>IF(ISNUMBER(SEARCH("산업기사",$AT41)),IF($AK41&gt;=13,"특급",IF($AK41&gt;=10,"고급",IF($AK41&gt;=7,"중급","초급"))),IF(ISNUMBER(SEARCH("기사",$AR41)),IF($AK41&gt;=10,"특급",IF($AK41&gt;=7,"고급",IF($AK41&gt;=4,"중급","초급"))),"미해당"))</f>
        <v>미해당</v>
      </c>
      <c r="AN41" s="27"/>
      <c r="AO41" s="32"/>
      <c r="AP41" s="27" t="s">
        <v>137</v>
      </c>
      <c r="AQ41" s="32">
        <v>45302</v>
      </c>
      <c r="AR41" s="27"/>
      <c r="AS41" s="27"/>
      <c r="AT41" s="37"/>
      <c r="AU41" s="27"/>
      <c r="AV41" s="38"/>
      <c r="AW41" s="39"/>
      <c r="AX41" s="39"/>
      <c r="AY41" s="40" t="s">
        <v>251</v>
      </c>
      <c r="AZ41" s="41" t="s">
        <v>252</v>
      </c>
      <c r="BA41" s="30" t="s">
        <v>230</v>
      </c>
      <c r="BB41" s="30" t="s">
        <v>750</v>
      </c>
      <c r="BC41" s="42" t="s">
        <v>254</v>
      </c>
      <c r="BD41" s="42" t="s">
        <v>751</v>
      </c>
      <c r="BE41" s="43" t="s">
        <v>752</v>
      </c>
      <c r="BF41" s="42" t="s">
        <v>234</v>
      </c>
      <c r="BG41" s="42" t="s">
        <v>278</v>
      </c>
      <c r="BH41" s="35" t="s">
        <v>279</v>
      </c>
      <c r="BI41" s="44" t="s">
        <v>753</v>
      </c>
      <c r="BJ41" s="45" t="str">
        <f>IFERROR(VLOOKUP($BG41,[1]프로젝트현황!Y:Z,2,0),"기타")</f>
        <v>서남권</v>
      </c>
      <c r="BK41" s="46" t="str">
        <f>(IF(BF41="","",BF41&amp;" "))&amp;(IF(BG41="","",BG41&amp;" "))&amp;(IF(BH41="","",BH41&amp;" "))&amp;BI41</f>
        <v>경기도 안산시 단원구 광덕1로 80, 138동 203호 (초지동,호수마을아파트)</v>
      </c>
      <c r="BL41" s="47">
        <v>30</v>
      </c>
      <c r="BM41" s="47">
        <v>30</v>
      </c>
      <c r="BN41" s="48">
        <v>31000000</v>
      </c>
      <c r="BO41" s="48">
        <f>BP41*12</f>
        <v>31000064.400000002</v>
      </c>
      <c r="BP41" s="49">
        <f>SUM(BQ41:BS41)</f>
        <v>2583338.7000000002</v>
      </c>
      <c r="BQ41" s="49">
        <f>ROUNDUP(BN41/12*209/(209+BU41*1.5)/BL41*BM41,-1)-BS41</f>
        <v>1964000</v>
      </c>
      <c r="BR41" s="49">
        <f>ROUNDUP(BN41/12*(BU41*1.5)/(209+BU41*1.5)/BL41*BM41,1)</f>
        <v>419338.69999999995</v>
      </c>
      <c r="BS41" s="49">
        <v>200000</v>
      </c>
      <c r="BT41" s="50">
        <v>209</v>
      </c>
      <c r="BU41" s="49">
        <f>IF($BN41="","",
IFERROR(
    IF($BN41&lt;'[1]시간외시간 기준표'!$B$2,0,
        IF($BN41&gt;LOOKUP(9.9E+307,'[1]시간외시간 기준표'!$B$2:$B$999),
            LOOKUP(9.9E+307,'[1]시간외시간 기준표'!$C$2:$C$999),
            LOOKUP($BN41,'[1]시간외시간 기준표'!$B$2:$B$999,'[1]시간외시간 기준표'!$C$2:$C$999)
        )
    ),0)
)</f>
        <v>27</v>
      </c>
      <c r="BV41" s="50">
        <f>(BQ41+BS41)/209</f>
        <v>10354.066985645934</v>
      </c>
      <c r="BW41" s="51">
        <v>30</v>
      </c>
      <c r="BX41" s="51">
        <v>30</v>
      </c>
      <c r="BY41" s="52">
        <v>31000000</v>
      </c>
      <c r="BZ41" s="52">
        <f>CA41*12</f>
        <v>31000075.200000003</v>
      </c>
      <c r="CA41" s="49">
        <f>SUM(CB41:CD41)</f>
        <v>2583339.6</v>
      </c>
      <c r="CB41" s="49">
        <f>ROUNDUP(BY41/12*209/(209+CF41*1.5)/BW41*BX41,-1)-CD41</f>
        <v>1938290</v>
      </c>
      <c r="CC41" s="49">
        <f>ROUNDUP(BY41/12*(CF41*1.5)/(209+CF41*1.5)/BW41*BX41,1)</f>
        <v>445049.59999999998</v>
      </c>
      <c r="CD41" s="49">
        <v>200000</v>
      </c>
      <c r="CE41" s="50">
        <v>209</v>
      </c>
      <c r="CF41" s="49">
        <f>IF(BY41&lt;26000000,0,IF(BY41&lt;26500000,4,IF(BY41&lt;27000000,7,IF(BY41&lt;27500000,9,IF(BY41&lt;28000000,11,IF(BY41&lt;28500000,15,IF(BY41&lt;29000000,17,IF(BY41&lt;29500000,20,IF(BY41&lt;30000000,23,IF(BY41&lt;30500000,25,IF(BY41&lt;31000000,27,IF(BY41&lt;31500000,29,IF(BY41&lt;32000000,33,IF(BY41&lt;32500000,37,IF(BY41&lt;33000000,39,IF(BY41&lt;33500000,42,IF(BY41&lt;34000000,45,IF(BY41&lt;34500000,48,IF(BY41&lt;35000000,52,52)))))))))))))))))))</f>
        <v>29</v>
      </c>
      <c r="CG41" s="50">
        <f>(CB41+CD41)/209</f>
        <v>10231.052631578947</v>
      </c>
      <c r="CH41" s="51">
        <v>30</v>
      </c>
      <c r="CI41" s="51">
        <v>30</v>
      </c>
      <c r="CJ41" s="52">
        <v>29500000</v>
      </c>
      <c r="CK41" s="52">
        <f>CL41*12</f>
        <v>29500032</v>
      </c>
      <c r="CL41" s="49">
        <f>SUM(CM41:CO41)</f>
        <v>2458336</v>
      </c>
      <c r="CM41" s="49">
        <f>ROUNDUP(CJ41/12*209/(209+CQ41*1.5)/CH41*CI41,-1)-CO41</f>
        <v>1910030</v>
      </c>
      <c r="CN41" s="49">
        <f>ROUNDUP(CJ41/12*(CQ41*1.5)/(209+CQ41*1.5)/CH41*CI41,1)</f>
        <v>348306</v>
      </c>
      <c r="CO41" s="50">
        <v>200000</v>
      </c>
      <c r="CP41" s="50">
        <v>209</v>
      </c>
      <c r="CQ41" s="50">
        <f>IF(CJ41&lt;26000000,0,IF(CJ41&lt;26500000,4,IF(CJ41&lt;27000000,7,IF(CJ41&lt;27500000,9,IF(CJ41&lt;28000000,11,IF(CJ41&lt;28500000,15,IF(CJ41&lt;29000000,17,IF(CJ41&lt;29500000,20,IF(CJ41&lt;30000000,23,IF(CJ41&lt;30500000,25,IF(CJ41&lt;31000000,27,IF(CJ41&lt;31500000,29,IF(CJ41&lt;32000000,33,IF(CJ41&lt;32500000,37,IF(CJ41&lt;33000000,39,IF(CJ41&lt;33500000,42,IF(CJ41&lt;34000000,45,IF(CJ41&lt;34500000,48,IF(CJ41&lt;35000000,52,52)))))))))))))))))))</f>
        <v>23</v>
      </c>
      <c r="CR41" s="50">
        <f>(CM41+CO41)/209</f>
        <v>10095.837320574163</v>
      </c>
      <c r="CS41" s="52">
        <v>28000000</v>
      </c>
      <c r="CT41" s="53">
        <f>IFERROR(CS41/12,"")</f>
        <v>2333333.3333333335</v>
      </c>
      <c r="CU41" s="53">
        <f>IFERROR(CBX23-CV41-CW41,"")</f>
        <v>-200000</v>
      </c>
      <c r="CV41" s="53">
        <f>IFERROR(CBX23*(CY41*1.5)/(209+(CY41*1.5)),"")</f>
        <v>0</v>
      </c>
      <c r="CW41" s="54">
        <v>200000</v>
      </c>
      <c r="CX41" s="54">
        <v>209</v>
      </c>
      <c r="CY41" s="54">
        <v>20</v>
      </c>
      <c r="CZ41" s="55">
        <f>SUM(CX41:CY41)</f>
        <v>229</v>
      </c>
      <c r="DA41" s="55">
        <f>IFERROR((CU41/209)+(CW41-(9620*209*0.01))/209,"")</f>
        <v>-96.199999999999932</v>
      </c>
      <c r="DB41" s="56">
        <f>IFERROR((CU41+CW41)/209,"")</f>
        <v>0</v>
      </c>
      <c r="DC41" s="57">
        <v>2023</v>
      </c>
      <c r="DD41" s="58"/>
      <c r="DE41" s="58"/>
      <c r="DF41" s="57"/>
      <c r="DG41" s="59">
        <f>B41</f>
        <v>220906</v>
      </c>
      <c r="DH41" s="58"/>
      <c r="DI41" s="58"/>
      <c r="DJ41" s="60"/>
      <c r="DK41" s="58"/>
      <c r="DL41" s="61"/>
      <c r="DM41" s="24"/>
    </row>
    <row r="42" spans="1:117" ht="15" customHeight="1">
      <c r="A42" s="25">
        <f>ROW()-2</f>
        <v>40</v>
      </c>
      <c r="B42" s="26">
        <v>220907</v>
      </c>
      <c r="C42" s="27" t="s">
        <v>754</v>
      </c>
      <c r="D42" s="27"/>
      <c r="E42" s="27" t="s">
        <v>613</v>
      </c>
      <c r="F42" s="27" t="s">
        <v>196</v>
      </c>
      <c r="G42" s="27" t="s">
        <v>240</v>
      </c>
      <c r="H42" s="27" t="s">
        <v>217</v>
      </c>
      <c r="I42" s="27" t="s">
        <v>332</v>
      </c>
      <c r="J42" s="27" t="str">
        <f>+VLOOKUP($I42,[1]프로젝트현황!$I:$N,5,0)</f>
        <v>서울시</v>
      </c>
      <c r="K42" s="27" t="str">
        <f>+VLOOKUP($I42,[1]프로젝트현황!$I:$N,6,0)</f>
        <v>강서구</v>
      </c>
      <c r="L42" s="28">
        <v>44832</v>
      </c>
      <c r="M42" s="28">
        <v>44832</v>
      </c>
      <c r="N42" s="28"/>
      <c r="O42" s="29"/>
      <c r="P42" s="30" t="s">
        <v>755</v>
      </c>
      <c r="Q42" s="27" t="s">
        <v>756</v>
      </c>
      <c r="R42" s="31" t="str">
        <f>LEFT(Q42,6)</f>
        <v>950717</v>
      </c>
      <c r="S42" s="31" t="str">
        <f>MID($Q42,3,2)</f>
        <v>07</v>
      </c>
      <c r="T42" s="31" t="str">
        <f>IF(OR(MID($Q42,8,1)="1",MID($Q42,8,1)="3"),"남자",IF(OR(MID($Q42,8,1)="2",MID($Q42,8,1)="4"),"여자",""))</f>
        <v>남자</v>
      </c>
      <c r="U42" s="31">
        <f ca="1">YEAR(TODAY())-IF(OR(MID($Q42,8,1)="1",MID($Q42,8,1)="2"),19&amp;LEFT($Q42,2),IF(OR(MID($Q42,8,1)="3",MID($Q42,8,1)="4"),20&amp;LEFT($Q42,2),""))+1</f>
        <v>32</v>
      </c>
      <c r="V42" s="31" t="s">
        <v>200</v>
      </c>
      <c r="W42" s="31" t="s">
        <v>201</v>
      </c>
      <c r="X42" s="27" t="s">
        <v>757</v>
      </c>
      <c r="Y42" s="27"/>
      <c r="Z42" s="27" t="s">
        <v>266</v>
      </c>
      <c r="AA42" s="32"/>
      <c r="AB42" s="31" t="s">
        <v>203</v>
      </c>
      <c r="AC42" s="27" t="s">
        <v>758</v>
      </c>
      <c r="AD42" s="33" t="str">
        <f ca="1">QUOTIENT(SUMPRODUCT(LEFT($AE42:$AF42,FIND("년",$AE42:$AF42)-1)*12+MID($AE42:$AF42,FIND("년",$AE42:$AF42)+1,FIND("개월",$AE42:$AF42)-FIND("년",$AE42:$AF42)-1)),12)&amp;"년"&amp;MOD(SUMPRODUCT(LEFT($AE42:$AF42,FIND("년",$AE42:$AF42)-1)*12+MID($AE42:$AF42,FIND("년",$AE42:$AF42)+1,FIND("개월",$AE42:$AF42)-FIND("년",$AE42:$AF42)-1)),12)&amp;"개월"</f>
        <v>3년4개월</v>
      </c>
      <c r="AE42" s="33" t="s">
        <v>543</v>
      </c>
      <c r="AF42" s="34" t="str">
        <f ca="1">DATEDIF($L42,TODAY(),"y")&amp;"년"&amp;DATEDIF($L42,TODAY(),"ym")&amp;"개월"</f>
        <v>3년4개월</v>
      </c>
      <c r="AG42" s="35" t="s">
        <v>759</v>
      </c>
      <c r="AH42" s="35"/>
      <c r="AI42" s="30" t="s">
        <v>365</v>
      </c>
      <c r="AJ42" s="32">
        <v>41677</v>
      </c>
      <c r="AK42" s="36">
        <f ca="1">VALUE(LEFT($AD42,FIND("년",$AD42)-1))</f>
        <v>3</v>
      </c>
      <c r="AL42" s="31" t="str">
        <f ca="1">IF($AI42="고졸",IF($AK42&lt;=11,"초급",IF($AK42&lt;=14,"중급",IF($AK42&lt;=17,"고급",IF($AK42&gt;=18,"특급")))))</f>
        <v>초급</v>
      </c>
      <c r="AM42" s="31" t="str">
        <f>IF(ISNUMBER(SEARCH("산업기사",$AT42)),IF($AK42&gt;=13,"특급",IF($AK42&gt;=10,"고급",IF($AK42&gt;=7,"중급","초급"))),IF(ISNUMBER(SEARCH("기사",$AR42)),IF($AK42&gt;=10,"특급",IF($AK42&gt;=7,"고급",IF($AK42&gt;=4,"중급","초급"))),"미해당"))</f>
        <v>미해당</v>
      </c>
      <c r="AN42" s="27"/>
      <c r="AO42" s="32"/>
      <c r="AP42" s="27"/>
      <c r="AQ42" s="32"/>
      <c r="AR42" s="27"/>
      <c r="AS42" s="27"/>
      <c r="AT42" s="37"/>
      <c r="AU42" s="27"/>
      <c r="AV42" s="38"/>
      <c r="AW42" s="39"/>
      <c r="AX42" s="39"/>
      <c r="AY42" s="40" t="s">
        <v>251</v>
      </c>
      <c r="AZ42" s="41" t="s">
        <v>252</v>
      </c>
      <c r="BA42" s="30" t="s">
        <v>230</v>
      </c>
      <c r="BB42" s="30" t="s">
        <v>760</v>
      </c>
      <c r="BC42" s="42" t="s">
        <v>275</v>
      </c>
      <c r="BD42" s="42" t="s">
        <v>761</v>
      </c>
      <c r="BE42" s="43" t="s">
        <v>762</v>
      </c>
      <c r="BF42" s="42" t="s">
        <v>578</v>
      </c>
      <c r="BG42" s="42" t="s">
        <v>763</v>
      </c>
      <c r="BH42" s="35"/>
      <c r="BI42" s="44" t="s">
        <v>764</v>
      </c>
      <c r="BJ42" s="45" t="str">
        <f>IFERROR(VLOOKUP($BG42,[1]프로젝트현황!Y:Z,2,0),"기타")</f>
        <v>서남권</v>
      </c>
      <c r="BK42" s="46" t="str">
        <f>(IF(BF42="","",BF42&amp;" "))&amp;(IF(BG42="","",BG42&amp;" "))&amp;(IF(BH42="","",BH42&amp;" "))&amp;BI42</f>
        <v>인천시 서구 대평로56번길 32 101동 202호(연희동,우성아파트)</v>
      </c>
      <c r="BL42" s="47">
        <v>30</v>
      </c>
      <c r="BM42" s="47">
        <v>30</v>
      </c>
      <c r="BN42" s="48">
        <v>30800000</v>
      </c>
      <c r="BO42" s="48">
        <f>BP42*12</f>
        <v>30800029.200000003</v>
      </c>
      <c r="BP42" s="49">
        <f>SUM(BQ42:BS42)</f>
        <v>2566669.1</v>
      </c>
      <c r="BQ42" s="49">
        <f>ROUNDUP(BN42/12*209/(209+BU42*1.5)/BL42*BM42,-1)-BS42</f>
        <v>1963040</v>
      </c>
      <c r="BR42" s="49">
        <f>ROUNDUP(BN42/12*(BU42*1.5)/(209+BU42*1.5)/BL42*BM42,1)</f>
        <v>403629.1</v>
      </c>
      <c r="BS42" s="49">
        <v>200000</v>
      </c>
      <c r="BT42" s="50">
        <v>209</v>
      </c>
      <c r="BU42" s="49">
        <f>IF($BN42="","",
IFERROR(
    IF($BN42&lt;'[1]시간외시간 기준표'!$B$2,0,
        IF($BN42&gt;LOOKUP(9.9E+307,'[1]시간외시간 기준표'!$B$2:$B$999),
            LOOKUP(9.9E+307,'[1]시간외시간 기준표'!$C$2:$C$999),
            LOOKUP($BN42,'[1]시간외시간 기준표'!$B$2:$B$999,'[1]시간외시간 기준표'!$C$2:$C$999)
        )
    ),0)
)</f>
        <v>26</v>
      </c>
      <c r="BV42" s="50">
        <f>(BQ42+BS42)/209</f>
        <v>10349.473684210527</v>
      </c>
      <c r="BW42" s="51">
        <v>30</v>
      </c>
      <c r="BX42" s="51">
        <v>30</v>
      </c>
      <c r="BY42" s="52">
        <v>30800000</v>
      </c>
      <c r="BZ42" s="52">
        <f>CA42*12</f>
        <v>30800079.599999998</v>
      </c>
      <c r="CA42" s="49">
        <f>SUM(CB42:CD42)</f>
        <v>2566673.2999999998</v>
      </c>
      <c r="CB42" s="49">
        <f>ROUNDUP(BY42/12*209/(209+CF42*1.5)/BW42*BX42,-1)-CD42</f>
        <v>1950040</v>
      </c>
      <c r="CC42" s="49">
        <f>ROUNDUP(BY42/12*(CF42*1.5)/(209+CF42*1.5)/BW42*BX42,1)</f>
        <v>416633.3</v>
      </c>
      <c r="CD42" s="49">
        <v>200000</v>
      </c>
      <c r="CE42" s="50">
        <v>209</v>
      </c>
      <c r="CF42" s="49">
        <f>IF(BY42&lt;26000000,0,IF(BY42&lt;26500000,4,IF(BY42&lt;27000000,7,IF(BY42&lt;27500000,9,IF(BY42&lt;28000000,11,IF(BY42&lt;28500000,15,IF(BY42&lt;29000000,17,IF(BY42&lt;29500000,20,IF(BY42&lt;30000000,23,IF(BY42&lt;30500000,25,IF(BY42&lt;31000000,27,IF(BY42&lt;31500000,29,IF(BY42&lt;32000000,33,IF(BY42&lt;32500000,37,IF(BY42&lt;33000000,39,IF(BY42&lt;33500000,42,IF(BY42&lt;34000000,45,IF(BY42&lt;34500000,48,IF(BY42&lt;35000000,52,52)))))))))))))))))))</f>
        <v>27</v>
      </c>
      <c r="CG42" s="50">
        <f>(CB42+CD42)/209</f>
        <v>10287.272727272728</v>
      </c>
      <c r="CH42" s="51">
        <v>30</v>
      </c>
      <c r="CI42" s="51">
        <v>30</v>
      </c>
      <c r="CJ42" s="52">
        <v>30000000</v>
      </c>
      <c r="CK42" s="52">
        <f>CL42*12</f>
        <v>30000055.200000003</v>
      </c>
      <c r="CL42" s="49">
        <f>SUM(CM42:CO42)</f>
        <v>2500004.6</v>
      </c>
      <c r="CM42" s="49">
        <f>ROUNDUP(CJ42/12*209/(209+CQ42*1.5)/CH42*CI42,-1)-CO42</f>
        <v>1919680</v>
      </c>
      <c r="CN42" s="49">
        <f>ROUNDUP(CJ42/12*(CQ42*1.5)/(209+CQ42*1.5)/CH42*CI42,1)</f>
        <v>380324.6</v>
      </c>
      <c r="CO42" s="50">
        <v>200000</v>
      </c>
      <c r="CP42" s="50">
        <v>209</v>
      </c>
      <c r="CQ42" s="50">
        <f>IF(CJ42&lt;26000000,0,IF(CJ42&lt;26500000,4,IF(CJ42&lt;27000000,7,IF(CJ42&lt;27500000,9,IF(CJ42&lt;28000000,11,IF(CJ42&lt;28500000,15,IF(CJ42&lt;29000000,17,IF(CJ42&lt;29500000,20,IF(CJ42&lt;30000000,23,IF(CJ42&lt;30500000,25,IF(CJ42&lt;31000000,27,IF(CJ42&lt;31500000,29,IF(CJ42&lt;32000000,33,IF(CJ42&lt;32500000,37,IF(CJ42&lt;33000000,39,IF(CJ42&lt;33500000,42,IF(CJ42&lt;34000000,45,IF(CJ42&lt;34500000,48,IF(CJ42&lt;35000000,52,52)))))))))))))))))))</f>
        <v>25</v>
      </c>
      <c r="CR42" s="50">
        <f>(CM42+CO42)/209</f>
        <v>10142.009569377991</v>
      </c>
      <c r="CS42" s="52">
        <v>27000000</v>
      </c>
      <c r="CT42" s="53">
        <f>IFERROR(CS42/12,"")</f>
        <v>2250000</v>
      </c>
      <c r="CU42" s="53" t="str">
        <f>IFERROR(#REF!-CV42-CW42,"")</f>
        <v/>
      </c>
      <c r="CV42" s="53" t="str">
        <f>IFERROR(#REF!*(CY42*1.5)/(209+(CY42*1.5)),"")</f>
        <v/>
      </c>
      <c r="CW42" s="54">
        <v>200000</v>
      </c>
      <c r="CX42" s="54">
        <v>209</v>
      </c>
      <c r="CY42" s="54">
        <v>15</v>
      </c>
      <c r="CZ42" s="55">
        <f>SUM(CX42:CY42)</f>
        <v>224</v>
      </c>
      <c r="DA42" s="55" t="str">
        <f>IFERROR((CU42/209)+(CW42-(9620*209*0.01))/209,"")</f>
        <v/>
      </c>
      <c r="DB42" s="56" t="str">
        <f>IFERROR((CU42+CW42)/209,"")</f>
        <v/>
      </c>
      <c r="DC42" s="57">
        <v>2023</v>
      </c>
      <c r="DD42" s="58"/>
      <c r="DE42" s="58"/>
      <c r="DF42" s="57"/>
      <c r="DG42" s="59">
        <f>B42</f>
        <v>220907</v>
      </c>
      <c r="DH42" s="58"/>
      <c r="DI42" s="58"/>
      <c r="DJ42" s="60"/>
      <c r="DK42" s="58"/>
      <c r="DL42" s="61"/>
      <c r="DM42" s="24"/>
    </row>
    <row r="43" spans="1:117" ht="15" customHeight="1">
      <c r="A43" s="25">
        <f>ROW()-2</f>
        <v>41</v>
      </c>
      <c r="B43" s="26">
        <v>221001</v>
      </c>
      <c r="C43" s="27" t="s">
        <v>765</v>
      </c>
      <c r="D43" s="27"/>
      <c r="E43" s="27" t="s">
        <v>613</v>
      </c>
      <c r="F43" s="27" t="s">
        <v>196</v>
      </c>
      <c r="G43" s="27" t="s">
        <v>240</v>
      </c>
      <c r="H43" s="27" t="s">
        <v>241</v>
      </c>
      <c r="I43" s="27" t="s">
        <v>653</v>
      </c>
      <c r="J43" s="27" t="str">
        <f>+VLOOKUP($I43,[1]프로젝트현황!$I:$N,5,0)</f>
        <v>서울시</v>
      </c>
      <c r="K43" s="27" t="str">
        <f>+VLOOKUP($I43,[1]프로젝트현황!$I:$N,6,0)</f>
        <v>강남구</v>
      </c>
      <c r="L43" s="28">
        <v>44838</v>
      </c>
      <c r="M43" s="28">
        <v>44838</v>
      </c>
      <c r="N43" s="28"/>
      <c r="O43" s="29"/>
      <c r="P43" s="30" t="s">
        <v>766</v>
      </c>
      <c r="Q43" s="27" t="s">
        <v>767</v>
      </c>
      <c r="R43" s="31" t="str">
        <f>LEFT(Q43,6)</f>
        <v>941020</v>
      </c>
      <c r="S43" s="31" t="str">
        <f>MID($Q43,3,2)</f>
        <v>10</v>
      </c>
      <c r="T43" s="31" t="str">
        <f>IF(OR(MID($Q43,8,1)="1",MID($Q43,8,1)="3"),"남자",IF(OR(MID($Q43,8,1)="2",MID($Q43,8,1)="4"),"여자",""))</f>
        <v>남자</v>
      </c>
      <c r="U43" s="31">
        <f ca="1">YEAR(TODAY())-IF(OR(MID($Q43,8,1)="1",MID($Q43,8,1)="2"),19&amp;LEFT($Q43,2),IF(OR(MID($Q43,8,1)="3",MID($Q43,8,1)="4"),20&amp;LEFT($Q43,2),""))+1</f>
        <v>33</v>
      </c>
      <c r="V43" s="31" t="s">
        <v>200</v>
      </c>
      <c r="W43" s="31" t="s">
        <v>201</v>
      </c>
      <c r="X43" s="27" t="s">
        <v>768</v>
      </c>
      <c r="Y43" s="27"/>
      <c r="Z43" s="27"/>
      <c r="AA43" s="32"/>
      <c r="AB43" s="31" t="s">
        <v>203</v>
      </c>
      <c r="AC43" s="27" t="s">
        <v>769</v>
      </c>
      <c r="AD43" s="33" t="str">
        <f ca="1">QUOTIENT(SUMPRODUCT(LEFT($AE43:$AF43,FIND("년",$AE43:$AF43)-1)*12+MID($AE43:$AF43,FIND("년",$AE43:$AF43)+1,FIND("개월",$AE43:$AF43)-FIND("년",$AE43:$AF43)-1)),12)&amp;"년"&amp;MOD(SUMPRODUCT(LEFT($AE43:$AF43,FIND("년",$AE43:$AF43)-1)*12+MID($AE43:$AF43,FIND("년",$AE43:$AF43)+1,FIND("개월",$AE43:$AF43)-FIND("년",$AE43:$AF43)-1)),12)&amp;"개월"</f>
        <v>3년4개월</v>
      </c>
      <c r="AE43" s="33" t="s">
        <v>543</v>
      </c>
      <c r="AF43" s="34" t="str">
        <f ca="1">DATEDIF($L43,TODAY(),"y")&amp;"년"&amp;DATEDIF($L43,TODAY(),"ym")&amp;"개월"</f>
        <v>3년4개월</v>
      </c>
      <c r="AG43" s="35" t="s">
        <v>770</v>
      </c>
      <c r="AH43" s="35" t="s">
        <v>771</v>
      </c>
      <c r="AI43" s="30" t="s">
        <v>270</v>
      </c>
      <c r="AJ43" s="32">
        <v>44062</v>
      </c>
      <c r="AK43" s="36">
        <f ca="1">VALUE(LEFT($AD43,FIND("년",$AD43)-1))</f>
        <v>3</v>
      </c>
      <c r="AL43" s="31" t="str">
        <f ca="1">IF($AI43="학사",IF($AK43&lt;=5,"초급",IF($AK43&lt;9,"중급",IF($AK43&lt;12,"고급",IF($AK43&gt;=12,"특급")))))</f>
        <v>초급</v>
      </c>
      <c r="AM43" s="31" t="str">
        <f>IF(ISNUMBER(SEARCH("산업기사",$AT43)),IF($AK43&gt;=13,"특급",IF($AK43&gt;=10,"고급",IF($AK43&gt;=7,"중급","초급"))),IF(ISNUMBER(SEARCH("기사",$AR43)),IF($AK43&gt;=10,"특급",IF($AK43&gt;=7,"고급",IF($AK43&gt;=4,"중급","초급"))),"미해당"))</f>
        <v>미해당</v>
      </c>
      <c r="AN43" s="27"/>
      <c r="AO43" s="32"/>
      <c r="AP43" s="27"/>
      <c r="AQ43" s="32"/>
      <c r="AR43" s="27"/>
      <c r="AS43" s="27"/>
      <c r="AT43" s="37"/>
      <c r="AU43" s="27"/>
      <c r="AV43" s="38"/>
      <c r="AW43" s="39"/>
      <c r="AX43" s="39"/>
      <c r="AY43" s="40" t="s">
        <v>251</v>
      </c>
      <c r="AZ43" s="41" t="s">
        <v>252</v>
      </c>
      <c r="BA43" s="30" t="s">
        <v>230</v>
      </c>
      <c r="BB43" s="30" t="s">
        <v>772</v>
      </c>
      <c r="BC43" s="42" t="s">
        <v>368</v>
      </c>
      <c r="BD43" s="42" t="s">
        <v>773</v>
      </c>
      <c r="BE43" s="43" t="s">
        <v>774</v>
      </c>
      <c r="BF43" s="42" t="s">
        <v>211</v>
      </c>
      <c r="BG43" s="42" t="s">
        <v>775</v>
      </c>
      <c r="BH43" s="35"/>
      <c r="BI43" s="44" t="s">
        <v>776</v>
      </c>
      <c r="BJ43" s="45" t="str">
        <f>IFERROR(VLOOKUP($BG43,[1]프로젝트현황!Y:Z,2,0),"기타")</f>
        <v>서북권</v>
      </c>
      <c r="BK43" s="46" t="str">
        <f>(IF(BF43="","",BF43&amp;" "))&amp;(IF(BG43="","",BG43&amp;" "))&amp;(IF(BH43="","",BH43&amp;" "))&amp;BI43</f>
        <v>서울시 마포구 서강로 95, 102동 2002호(창전동, 창전동삼성아파트)</v>
      </c>
      <c r="BL43" s="47">
        <v>30</v>
      </c>
      <c r="BM43" s="47">
        <v>30</v>
      </c>
      <c r="BN43" s="48">
        <v>30200000</v>
      </c>
      <c r="BO43" s="48">
        <f>BP43*12</f>
        <v>30200050.799999997</v>
      </c>
      <c r="BP43" s="49">
        <f>SUM(BQ43:BS43)</f>
        <v>2516670.9</v>
      </c>
      <c r="BQ43" s="49">
        <f>ROUNDUP(BN43/12*209/(209+BU43*1.5)/BL43*BM43,-1)-BS43</f>
        <v>1960100</v>
      </c>
      <c r="BR43" s="49">
        <f>ROUNDUP(BN43/12*(BU43*1.5)/(209+BU43*1.5)/BL43*BM43,1)</f>
        <v>356570.89999999997</v>
      </c>
      <c r="BS43" s="49">
        <v>200000</v>
      </c>
      <c r="BT43" s="50">
        <v>209</v>
      </c>
      <c r="BU43" s="49">
        <f>IF($BN43="","",
IFERROR(
    IF($BN43&lt;'[1]시간외시간 기준표'!$B$2,0,
        IF($BN43&gt;LOOKUP(9.9E+307,'[1]시간외시간 기준표'!$B$2:$B$999),
            LOOKUP(9.9E+307,'[1]시간외시간 기준표'!$C$2:$C$999),
            LOOKUP($BN43,'[1]시간외시간 기준표'!$B$2:$B$999,'[1]시간외시간 기준표'!$C$2:$C$999)
        )
    ),0)
)</f>
        <v>23</v>
      </c>
      <c r="BV43" s="50">
        <f>(BQ43+BS43)/209</f>
        <v>10335.406698564593</v>
      </c>
      <c r="BW43" s="51">
        <v>30</v>
      </c>
      <c r="BX43" s="51">
        <v>30</v>
      </c>
      <c r="BY43" s="52">
        <v>30200000</v>
      </c>
      <c r="BZ43" s="52">
        <f>CA43*12</f>
        <v>30200041.200000003</v>
      </c>
      <c r="CA43" s="49">
        <f>SUM(CB43:CD43)</f>
        <v>2516670.1</v>
      </c>
      <c r="CB43" s="49">
        <f>ROUNDUP(BY43/12*209/(209+CF43*1.5)/BW43*BX43,-1)-CD43</f>
        <v>1933810</v>
      </c>
      <c r="CC43" s="49">
        <f>ROUNDUP(BY43/12*(CF43*1.5)/(209+CF43*1.5)/BW43*BX43,1)</f>
        <v>382860.1</v>
      </c>
      <c r="CD43" s="49">
        <v>200000</v>
      </c>
      <c r="CE43" s="50">
        <v>209</v>
      </c>
      <c r="CF43" s="49">
        <f>IF(BY43&lt;26000000,0,IF(BY43&lt;26500000,4,IF(BY43&lt;27000000,7,IF(BY43&lt;27500000,9,IF(BY43&lt;28000000,11,IF(BY43&lt;28500000,15,IF(BY43&lt;29000000,17,IF(BY43&lt;29500000,20,IF(BY43&lt;30000000,23,IF(BY43&lt;30500000,25,IF(BY43&lt;31000000,27,IF(BY43&lt;31500000,29,IF(BY43&lt;32000000,33,IF(BY43&lt;32500000,37,IF(BY43&lt;33000000,39,IF(BY43&lt;33500000,42,IF(BY43&lt;34000000,45,IF(BY43&lt;34500000,48,IF(BY43&lt;35000000,52,52)))))))))))))))))))</f>
        <v>25</v>
      </c>
      <c r="CG43" s="50">
        <f>(CB43+CD43)/209</f>
        <v>10209.617224880383</v>
      </c>
      <c r="CH43" s="51">
        <v>30</v>
      </c>
      <c r="CI43" s="51">
        <v>30</v>
      </c>
      <c r="CJ43" s="52">
        <v>29400000</v>
      </c>
      <c r="CK43" s="52">
        <f>CL43*12</f>
        <v>29400016.799999997</v>
      </c>
      <c r="CL43" s="49">
        <f>SUM(CM43:CO43)</f>
        <v>2450001.4</v>
      </c>
      <c r="CM43" s="49">
        <f>ROUNDUP(CJ43/12*209/(209+CQ43*1.5)/CH43*CI43,-1)-CO43</f>
        <v>1942470</v>
      </c>
      <c r="CN43" s="49">
        <f>ROUNDUP(CJ43/12*(CQ43*1.5)/(209+CQ43*1.5)/CH43*CI43,1)</f>
        <v>307531.39999999997</v>
      </c>
      <c r="CO43" s="50">
        <v>200000</v>
      </c>
      <c r="CP43" s="50">
        <v>209</v>
      </c>
      <c r="CQ43" s="50">
        <f>IF(CJ43&lt;26000000,0,IF(CJ43&lt;26500000,4,IF(CJ43&lt;27000000,7,IF(CJ43&lt;27500000,9,IF(CJ43&lt;28000000,11,IF(CJ43&lt;28500000,15,IF(CJ43&lt;29000000,17,IF(CJ43&lt;29500000,20,IF(CJ43&lt;30000000,23,IF(CJ43&lt;30500000,25,IF(CJ43&lt;31000000,27,IF(CJ43&lt;31500000,29,IF(CJ43&lt;32000000,33,IF(CJ43&lt;32500000,37,IF(CJ43&lt;33000000,39,IF(CJ43&lt;33500000,42,IF(CJ43&lt;34000000,45,IF(CJ43&lt;34500000,48,IF(CJ43&lt;35000000,52,52)))))))))))))))))))</f>
        <v>20</v>
      </c>
      <c r="CR43" s="50">
        <f>(CM43+CO43)/209</f>
        <v>10251.052631578947</v>
      </c>
      <c r="CS43" s="52">
        <v>28000000</v>
      </c>
      <c r="CT43" s="53">
        <f>IFERROR(CS43/12,"")</f>
        <v>2333333.3333333335</v>
      </c>
      <c r="CU43" s="53" t="str">
        <f>IFERROR(#REF!-CV43-CW43,"")</f>
        <v/>
      </c>
      <c r="CV43" s="53" t="str">
        <f>IFERROR(#REF!*(CY43*1.5)/(209+(CY43*1.5)),"")</f>
        <v/>
      </c>
      <c r="CW43" s="54">
        <v>200000</v>
      </c>
      <c r="CX43" s="54">
        <v>209</v>
      </c>
      <c r="CY43" s="54">
        <v>20</v>
      </c>
      <c r="CZ43" s="55">
        <f>SUM(CX43:CY43)</f>
        <v>229</v>
      </c>
      <c r="DA43" s="55" t="str">
        <f>IFERROR((CU43/209)+(CW43-(9620*209*0.01))/209,"")</f>
        <v/>
      </c>
      <c r="DB43" s="56" t="str">
        <f>IFERROR((CU43+CW43)/209,"")</f>
        <v/>
      </c>
      <c r="DC43" s="57">
        <v>2023</v>
      </c>
      <c r="DD43" s="58"/>
      <c r="DE43" s="58"/>
      <c r="DF43" s="57"/>
      <c r="DG43" s="59">
        <f>B43</f>
        <v>221001</v>
      </c>
      <c r="DH43" s="58"/>
      <c r="DI43" s="58"/>
      <c r="DJ43" s="60"/>
      <c r="DK43" s="58"/>
      <c r="DL43" s="61"/>
      <c r="DM43" s="24"/>
    </row>
    <row r="44" spans="1:117" ht="15" customHeight="1">
      <c r="A44" s="25">
        <f>ROW()-2</f>
        <v>42</v>
      </c>
      <c r="B44" s="26">
        <v>221003</v>
      </c>
      <c r="C44" s="27" t="s">
        <v>777</v>
      </c>
      <c r="D44" s="27"/>
      <c r="E44" s="27" t="s">
        <v>613</v>
      </c>
      <c r="F44" s="27" t="s">
        <v>196</v>
      </c>
      <c r="G44" s="27" t="s">
        <v>240</v>
      </c>
      <c r="H44" s="27" t="s">
        <v>260</v>
      </c>
      <c r="I44" s="27" t="s">
        <v>778</v>
      </c>
      <c r="J44" s="27" t="str">
        <f>+VLOOKUP($I44,[1]프로젝트현황!$I:$N,5,0)</f>
        <v>서울시</v>
      </c>
      <c r="K44" s="27" t="str">
        <f>+VLOOKUP($I44,[1]프로젝트현황!$I:$N,6,0)</f>
        <v>구로구</v>
      </c>
      <c r="L44" s="28">
        <v>44851</v>
      </c>
      <c r="M44" s="28">
        <v>44851</v>
      </c>
      <c r="N44" s="28"/>
      <c r="O44" s="29"/>
      <c r="P44" s="30" t="s">
        <v>779</v>
      </c>
      <c r="Q44" s="27" t="s">
        <v>780</v>
      </c>
      <c r="R44" s="31" t="str">
        <f>LEFT(Q44,6)</f>
        <v>920611</v>
      </c>
      <c r="S44" s="31" t="str">
        <f>MID($Q44,3,2)</f>
        <v>06</v>
      </c>
      <c r="T44" s="31" t="str">
        <f>IF(OR(MID($Q44,8,1)="1",MID($Q44,8,1)="3"),"남자",IF(OR(MID($Q44,8,1)="2",MID($Q44,8,1)="4"),"여자",""))</f>
        <v>여자</v>
      </c>
      <c r="U44" s="31">
        <f ca="1">YEAR(TODAY())-IF(OR(MID($Q44,8,1)="1",MID($Q44,8,1)="2"),19&amp;LEFT($Q44,2),IF(OR(MID($Q44,8,1)="3",MID($Q44,8,1)="4"),20&amp;LEFT($Q44,2),""))+1</f>
        <v>35</v>
      </c>
      <c r="V44" s="31" t="s">
        <v>200</v>
      </c>
      <c r="W44" s="31" t="s">
        <v>201</v>
      </c>
      <c r="X44" s="27" t="s">
        <v>781</v>
      </c>
      <c r="Y44" s="27"/>
      <c r="Z44" s="27" t="s">
        <v>266</v>
      </c>
      <c r="AA44" s="32"/>
      <c r="AB44" s="31" t="s">
        <v>203</v>
      </c>
      <c r="AC44" s="27" t="s">
        <v>782</v>
      </c>
      <c r="AD44" s="33" t="str">
        <f ca="1">QUOTIENT(SUMPRODUCT(LEFT($AE44:$AF44,FIND("년",$AE44:$AF44)-1)*12+MID($AE44:$AF44,FIND("년",$AE44:$AF44)+1,FIND("개월",$AE44:$AF44)-FIND("년",$AE44:$AF44)-1)),12)&amp;"년"&amp;MOD(SUMPRODUCT(LEFT($AE44:$AF44,FIND("년",$AE44:$AF44)-1)*12+MID($AE44:$AF44,FIND("년",$AE44:$AF44)+1,FIND("개월",$AE44:$AF44)-FIND("년",$AE44:$AF44)-1)),12)&amp;"개월"</f>
        <v>3년3개월</v>
      </c>
      <c r="AE44" s="33" t="s">
        <v>543</v>
      </c>
      <c r="AF44" s="34" t="str">
        <f ca="1">DATEDIF($L44,TODAY(),"y")&amp;"년"&amp;DATEDIF($L44,TODAY(),"ym")&amp;"개월"</f>
        <v>3년3개월</v>
      </c>
      <c r="AG44" s="35" t="s">
        <v>783</v>
      </c>
      <c r="AH44" s="35" t="s">
        <v>784</v>
      </c>
      <c r="AI44" s="30" t="s">
        <v>205</v>
      </c>
      <c r="AJ44" s="32">
        <v>41326</v>
      </c>
      <c r="AK44" s="36">
        <f ca="1">VALUE(LEFT($AD44,FIND("년",$AD44)-1))</f>
        <v>3</v>
      </c>
      <c r="AL44" s="31" t="str">
        <f ca="1">IF($AI44="전문학사",IF($AK44&lt;=8,"초급",IF($AK44&lt;12,"중급",IF($AK44&lt;15,"고급",IF($AK44&gt;=15,"특급")))))</f>
        <v>초급</v>
      </c>
      <c r="AM44" s="31" t="str">
        <f>IF(ISNUMBER(SEARCH("산업기사",$AT44)),IF($AK44&gt;=13,"특급",IF($AK44&gt;=10,"고급",IF($AK44&gt;=7,"중급","초급"))),IF(ISNUMBER(SEARCH("기사",$AR44)),IF($AK44&gt;=10,"특급",IF($AK44&gt;=7,"고급",IF($AK44&gt;=4,"중급","초급"))),"미해당"))</f>
        <v>미해당</v>
      </c>
      <c r="AN44" s="27"/>
      <c r="AO44" s="32"/>
      <c r="AP44" s="27"/>
      <c r="AQ44" s="32"/>
      <c r="AR44" s="27"/>
      <c r="AS44" s="27"/>
      <c r="AT44" s="37"/>
      <c r="AU44" s="27"/>
      <c r="AV44" s="38"/>
      <c r="AW44" s="39"/>
      <c r="AX44" s="39"/>
      <c r="AY44" s="40" t="s">
        <v>251</v>
      </c>
      <c r="AZ44" s="41" t="s">
        <v>252</v>
      </c>
      <c r="BA44" s="30" t="s">
        <v>230</v>
      </c>
      <c r="BB44" s="30" t="s">
        <v>785</v>
      </c>
      <c r="BC44" s="42" t="s">
        <v>254</v>
      </c>
      <c r="BD44" s="42" t="s">
        <v>786</v>
      </c>
      <c r="BE44" s="43" t="s">
        <v>787</v>
      </c>
      <c r="BF44" s="42" t="s">
        <v>234</v>
      </c>
      <c r="BG44" s="42" t="s">
        <v>355</v>
      </c>
      <c r="BH44" s="35"/>
      <c r="BI44" s="44" t="s">
        <v>788</v>
      </c>
      <c r="BJ44" s="45" t="str">
        <f>IFERROR(VLOOKUP($BG44,[1]프로젝트현황!Y:Z,2,0),"기타")</f>
        <v>서남권</v>
      </c>
      <c r="BK44" s="46" t="str">
        <f>(IF(BF44="","",BF44&amp;" "))&amp;(IF(BG44="","",BG44&amp;" "))&amp;(IF(BH44="","",BH44&amp;" "))&amp;BI44</f>
        <v>경기도 부천시 원미로77번길 20-2, A동 402호(원미동, 뜨란채A)</v>
      </c>
      <c r="BL44" s="47">
        <v>30</v>
      </c>
      <c r="BM44" s="47">
        <v>30</v>
      </c>
      <c r="BN44" s="48">
        <v>29200000</v>
      </c>
      <c r="BO44" s="48">
        <f>BP44*12</f>
        <v>29200027.200000003</v>
      </c>
      <c r="BP44" s="49">
        <f>SUM(BQ44:BS44)</f>
        <v>2433335.6</v>
      </c>
      <c r="BQ44" s="49">
        <f>ROUNDUP(BN44/12*209/(209+BU44*1.5)/BL44*BM44,-1)-BS44</f>
        <v>1968730</v>
      </c>
      <c r="BR44" s="49">
        <f>ROUNDUP(BN44/12*(BU44*1.5)/(209+BU44*1.5)/BL44*BM44,1)</f>
        <v>264605.59999999998</v>
      </c>
      <c r="BS44" s="49">
        <v>200000</v>
      </c>
      <c r="BT44" s="50">
        <v>209</v>
      </c>
      <c r="BU44" s="49">
        <f>IF($BN44="","",
IFERROR(
    IF($BN44&lt;'[1]시간외시간 기준표'!$B$2,0,
        IF($BN44&gt;LOOKUP(9.9E+307,'[1]시간외시간 기준표'!$B$2:$B$999),
            LOOKUP(9.9E+307,'[1]시간외시간 기준표'!$C$2:$C$999),
            LOOKUP($BN44,'[1]시간외시간 기준표'!$B$2:$B$999,'[1]시간외시간 기준표'!$C$2:$C$999)
        )
    ),0)
)</f>
        <v>17</v>
      </c>
      <c r="BV44" s="50">
        <f>(BQ44+BS44)/209</f>
        <v>10376.698564593302</v>
      </c>
      <c r="BW44" s="51">
        <v>30</v>
      </c>
      <c r="BX44" s="51">
        <v>30</v>
      </c>
      <c r="BY44" s="52">
        <v>29200000</v>
      </c>
      <c r="BZ44" s="52">
        <f>CA44*12</f>
        <v>29200072.799999997</v>
      </c>
      <c r="CA44" s="49">
        <f>SUM(CB44:CD44)</f>
        <v>2433339.4</v>
      </c>
      <c r="CB44" s="49">
        <f>ROUNDUP(BY44/12*209/(209+CF44*1.5)/BW44*BX44,-1)-CD44</f>
        <v>1927900</v>
      </c>
      <c r="CC44" s="49">
        <f>ROUNDUP(BY44/12*(CF44*1.5)/(209+CF44*1.5)/BW44*BX44,1)</f>
        <v>305439.39999999997</v>
      </c>
      <c r="CD44" s="49">
        <v>200000</v>
      </c>
      <c r="CE44" s="50">
        <v>209</v>
      </c>
      <c r="CF44" s="49">
        <f>IF(BY44&lt;26000000,0,IF(BY44&lt;26500000,4,IF(BY44&lt;27000000,7,IF(BY44&lt;27500000,9,IF(BY44&lt;28000000,11,IF(BY44&lt;28500000,15,IF(BY44&lt;29000000,17,IF(BY44&lt;29500000,20,IF(BY44&lt;30000000,23,IF(BY44&lt;30500000,25,IF(BY44&lt;31000000,27,IF(BY44&lt;31500000,29,IF(BY44&lt;32000000,33,IF(BY44&lt;32500000,37,IF(BY44&lt;33000000,39,IF(BY44&lt;33500000,42,IF(BY44&lt;34000000,45,IF(BY44&lt;34500000,48,IF(BY44&lt;35000000,52,52)))))))))))))))))))</f>
        <v>20</v>
      </c>
      <c r="CG44" s="50">
        <f>(CB44+CD44)/209</f>
        <v>10181.33971291866</v>
      </c>
      <c r="CH44" s="51">
        <v>30</v>
      </c>
      <c r="CI44" s="51">
        <v>30</v>
      </c>
      <c r="CJ44" s="52">
        <v>28400000</v>
      </c>
      <c r="CK44" s="52">
        <f>CL44*12</f>
        <v>28400059.200000003</v>
      </c>
      <c r="CL44" s="49">
        <f>SUM(CM44:CO44)</f>
        <v>2366671.6</v>
      </c>
      <c r="CM44" s="49">
        <f>ROUNDUP(CJ44/12*209/(209+CQ44*1.5)/CH44*CI44,-1)-CO44</f>
        <v>1936650</v>
      </c>
      <c r="CN44" s="49">
        <f>ROUNDUP(CJ44/12*(CQ44*1.5)/(209+CQ44*1.5)/CH44*CI44,1)</f>
        <v>230021.6</v>
      </c>
      <c r="CO44" s="50">
        <v>200000</v>
      </c>
      <c r="CP44" s="50">
        <v>209</v>
      </c>
      <c r="CQ44" s="50">
        <f>IF(CJ44&lt;26000000,0,IF(CJ44&lt;26500000,4,IF(CJ44&lt;27000000,7,IF(CJ44&lt;27500000,9,IF(CJ44&lt;28000000,11,IF(CJ44&lt;28500000,15,IF(CJ44&lt;29000000,17,IF(CJ44&lt;29500000,20,IF(CJ44&lt;30000000,23,IF(CJ44&lt;30500000,25,IF(CJ44&lt;31000000,27,IF(CJ44&lt;31500000,29,IF(CJ44&lt;32000000,33,IF(CJ44&lt;32500000,37,IF(CJ44&lt;33000000,39,IF(CJ44&lt;33500000,42,IF(CJ44&lt;34000000,45,IF(CJ44&lt;34500000,48,IF(CJ44&lt;35000000,52,52)))))))))))))))))))</f>
        <v>15</v>
      </c>
      <c r="CR44" s="50">
        <f>(CM44+CO44)/209</f>
        <v>10223.205741626794</v>
      </c>
      <c r="CS44" s="52">
        <v>27000000</v>
      </c>
      <c r="CT44" s="53">
        <f>IFERROR(CS44/12,"")</f>
        <v>2250000</v>
      </c>
      <c r="CU44" s="53" t="str">
        <f>IFERROR(#REF!-CV44-CW44,"")</f>
        <v/>
      </c>
      <c r="CV44" s="53" t="str">
        <f>IFERROR(#REF!*(CY44*1.5)/(209+(CY44*1.5)),"")</f>
        <v/>
      </c>
      <c r="CW44" s="54">
        <v>200000</v>
      </c>
      <c r="CX44" s="54">
        <v>209</v>
      </c>
      <c r="CY44" s="54">
        <v>15</v>
      </c>
      <c r="CZ44" s="55">
        <f>SUM(CX44:CY44)</f>
        <v>224</v>
      </c>
      <c r="DA44" s="55" t="str">
        <f>IFERROR((CU44/209)+(CW44-(9620*209*0.01))/209,"")</f>
        <v/>
      </c>
      <c r="DB44" s="56" t="str">
        <f>IFERROR((CU44+CW44)/209,"")</f>
        <v/>
      </c>
      <c r="DC44" s="57">
        <v>2023</v>
      </c>
      <c r="DD44" s="58"/>
      <c r="DE44" s="58"/>
      <c r="DF44" s="57"/>
      <c r="DG44" s="59">
        <f>B44</f>
        <v>221003</v>
      </c>
      <c r="DH44" s="58"/>
      <c r="DI44" s="58"/>
      <c r="DJ44" s="60"/>
      <c r="DK44" s="58"/>
      <c r="DL44" s="61"/>
      <c r="DM44" s="24"/>
    </row>
    <row r="45" spans="1:117" ht="15" customHeight="1">
      <c r="A45" s="25">
        <f>ROW()-2</f>
        <v>43</v>
      </c>
      <c r="B45" s="26">
        <v>221004</v>
      </c>
      <c r="C45" s="27" t="s">
        <v>789</v>
      </c>
      <c r="D45" s="27"/>
      <c r="E45" s="27" t="s">
        <v>613</v>
      </c>
      <c r="F45" s="27" t="s">
        <v>196</v>
      </c>
      <c r="G45" s="27" t="s">
        <v>240</v>
      </c>
      <c r="H45" s="27" t="s">
        <v>217</v>
      </c>
      <c r="I45" s="27" t="s">
        <v>479</v>
      </c>
      <c r="J45" s="27" t="str">
        <f>+VLOOKUP($I45,[1]프로젝트현황!$I:$N,5,0)</f>
        <v>경기도</v>
      </c>
      <c r="K45" s="27" t="str">
        <f>+VLOOKUP($I45,[1]프로젝트현황!$I:$N,6,0)</f>
        <v>성남시</v>
      </c>
      <c r="L45" s="28">
        <v>44851</v>
      </c>
      <c r="M45" s="28">
        <v>44851</v>
      </c>
      <c r="N45" s="28"/>
      <c r="O45" s="29"/>
      <c r="P45" s="30" t="s">
        <v>790</v>
      </c>
      <c r="Q45" s="27" t="s">
        <v>791</v>
      </c>
      <c r="R45" s="31" t="str">
        <f>LEFT(Q45,6)</f>
        <v>921218</v>
      </c>
      <c r="S45" s="31" t="str">
        <f>MID($Q45,3,2)</f>
        <v>12</v>
      </c>
      <c r="T45" s="31" t="str">
        <f>IF(OR(MID($Q45,8,1)="1",MID($Q45,8,1)="3"),"남자",IF(OR(MID($Q45,8,1)="2",MID($Q45,8,1)="4"),"여자",""))</f>
        <v>남자</v>
      </c>
      <c r="U45" s="31">
        <f ca="1">YEAR(TODAY())-IF(OR(MID($Q45,8,1)="1",MID($Q45,8,1)="2"),19&amp;LEFT($Q45,2),IF(OR(MID($Q45,8,1)="3",MID($Q45,8,1)="4"),20&amp;LEFT($Q45,2),""))+1</f>
        <v>35</v>
      </c>
      <c r="V45" s="31" t="s">
        <v>200</v>
      </c>
      <c r="W45" s="31" t="s">
        <v>201</v>
      </c>
      <c r="X45" s="27" t="s">
        <v>792</v>
      </c>
      <c r="Y45" s="27"/>
      <c r="Z45" s="27"/>
      <c r="AA45" s="32"/>
      <c r="AB45" s="31" t="s">
        <v>203</v>
      </c>
      <c r="AC45" s="27" t="s">
        <v>793</v>
      </c>
      <c r="AD45" s="33" t="str">
        <f ca="1">QUOTIENT(SUMPRODUCT(LEFT($AE45:$AF45,FIND("년",$AE45:$AF45)-1)*12+MID($AE45:$AF45,FIND("년",$AE45:$AF45)+1,FIND("개월",$AE45:$AF45)-FIND("년",$AE45:$AF45)-1)),12)&amp;"년"&amp;MOD(SUMPRODUCT(LEFT($AE45:$AF45,FIND("년",$AE45:$AF45)-1)*12+MID($AE45:$AF45,FIND("년",$AE45:$AF45)+1,FIND("개월",$AE45:$AF45)-FIND("년",$AE45:$AF45)-1)),12)&amp;"개월"</f>
        <v>3년3개월</v>
      </c>
      <c r="AE45" s="33" t="s">
        <v>543</v>
      </c>
      <c r="AF45" s="34" t="str">
        <f ca="1">DATEDIF($L45,TODAY(),"y")&amp;"년"&amp;DATEDIF($L45,TODAY(),"ym")&amp;"개월"</f>
        <v>3년3개월</v>
      </c>
      <c r="AG45" s="35" t="s">
        <v>794</v>
      </c>
      <c r="AH45" s="35" t="s">
        <v>795</v>
      </c>
      <c r="AI45" s="30" t="s">
        <v>270</v>
      </c>
      <c r="AJ45" s="32">
        <v>43336</v>
      </c>
      <c r="AK45" s="36">
        <f ca="1">VALUE(LEFT($AD45,FIND("년",$AD45)-1))</f>
        <v>3</v>
      </c>
      <c r="AL45" s="31" t="str">
        <f ca="1">IF($AI45="학사",IF($AK45&lt;=5,"초급",IF($AK45&lt;9,"중급",IF($AK45&lt;12,"고급",IF($AK45&gt;=12,"특급")))))</f>
        <v>초급</v>
      </c>
      <c r="AM45" s="31" t="str">
        <f>IF(ISNUMBER(SEARCH("산업기사",$AT45)),IF($AK45&gt;=13,"특급",IF($AK45&gt;=10,"고급",IF($AK45&gt;=7,"중급","초급"))),IF(ISNUMBER(SEARCH("기사",$AR45)),IF($AK45&gt;=10,"특급",IF($AK45&gt;=7,"고급",IF($AK45&gt;=4,"중급","초급"))),"미해당"))</f>
        <v>미해당</v>
      </c>
      <c r="AN45" s="27"/>
      <c r="AO45" s="32"/>
      <c r="AP45" s="27"/>
      <c r="AQ45" s="32"/>
      <c r="AR45" s="27"/>
      <c r="AS45" s="27"/>
      <c r="AT45" s="37"/>
      <c r="AU45" s="27"/>
      <c r="AV45" s="38"/>
      <c r="AW45" s="39"/>
      <c r="AX45" s="39"/>
      <c r="AY45" s="40" t="s">
        <v>251</v>
      </c>
      <c r="AZ45" s="41" t="s">
        <v>252</v>
      </c>
      <c r="BA45" s="30" t="s">
        <v>230</v>
      </c>
      <c r="BB45" s="30" t="s">
        <v>796</v>
      </c>
      <c r="BC45" s="42" t="s">
        <v>254</v>
      </c>
      <c r="BD45" s="42" t="s">
        <v>797</v>
      </c>
      <c r="BE45" s="43" t="s">
        <v>798</v>
      </c>
      <c r="BF45" s="42" t="s">
        <v>211</v>
      </c>
      <c r="BG45" s="42" t="s">
        <v>799</v>
      </c>
      <c r="BH45" s="35"/>
      <c r="BI45" s="44" t="s">
        <v>800</v>
      </c>
      <c r="BJ45" s="45" t="str">
        <f>IFERROR(VLOOKUP($BG45,[1]프로젝트현황!Y:Z,2,0),"기타")</f>
        <v>서북권</v>
      </c>
      <c r="BK45" s="46" t="str">
        <f>(IF(BF45="","",BF45&amp;" "))&amp;(IF(BG45="","",BG45&amp;" "))&amp;(IF(BH45="","",BH45&amp;" "))&amp;BI45</f>
        <v>서울시 중구 오장동 148-16 남산센트럴시티투웨니퍼스트 609호</v>
      </c>
      <c r="BL45" s="47">
        <v>30</v>
      </c>
      <c r="BM45" s="47">
        <v>30</v>
      </c>
      <c r="BN45" s="48">
        <v>28700000</v>
      </c>
      <c r="BO45" s="48">
        <f>BP45*12</f>
        <v>28700035.200000003</v>
      </c>
      <c r="BP45" s="49">
        <f>SUM(BQ45:BS45)</f>
        <v>2391669.6</v>
      </c>
      <c r="BQ45" s="49">
        <f>ROUNDUP(BN45/12*209/(209+BU45*1.5)/BL45*BM45,-1)-BS45</f>
        <v>1973300</v>
      </c>
      <c r="BR45" s="49">
        <f>ROUNDUP(BN45/12*(BU45*1.5)/(209+BU45*1.5)/BL45*BM45,1)</f>
        <v>218369.6</v>
      </c>
      <c r="BS45" s="49">
        <v>200000</v>
      </c>
      <c r="BT45" s="50">
        <v>209</v>
      </c>
      <c r="BU45" s="49">
        <f>IF($BN45="","",
IFERROR(
    IF($BN45&lt;'[1]시간외시간 기준표'!$B$2,0,
        IF($BN45&gt;LOOKUP(9.9E+307,'[1]시간외시간 기준표'!$B$2:$B$999),
            LOOKUP(9.9E+307,'[1]시간외시간 기준표'!$C$2:$C$999),
            LOOKUP($BN45,'[1]시간외시간 기준표'!$B$2:$B$999,'[1]시간외시간 기준표'!$C$2:$C$999)
        )
    ),0)
)</f>
        <v>14</v>
      </c>
      <c r="BV45" s="50">
        <f>(BQ45+BS45)/209</f>
        <v>10398.564593301435</v>
      </c>
      <c r="BW45" s="51">
        <v>30</v>
      </c>
      <c r="BX45" s="51">
        <v>30</v>
      </c>
      <c r="BY45" s="52">
        <v>28700000</v>
      </c>
      <c r="BZ45" s="52">
        <f>CA45*12</f>
        <v>28700096.400000002</v>
      </c>
      <c r="CA45" s="49">
        <f>SUM(CB45:CD45)</f>
        <v>2391674.7000000002</v>
      </c>
      <c r="CB45" s="49">
        <f>ROUNDUP(BY45/12*209/(209+CF45*1.5)/BW45*BX45,-1)-CD45</f>
        <v>1931600</v>
      </c>
      <c r="CC45" s="49">
        <f>ROUNDUP(BY45/12*(CF45*1.5)/(209+CF45*1.5)/BW45*BX45,1)</f>
        <v>260074.7</v>
      </c>
      <c r="CD45" s="49">
        <v>200000</v>
      </c>
      <c r="CE45" s="50">
        <v>209</v>
      </c>
      <c r="CF45" s="49">
        <f>IF(BY45&lt;26000000,0,IF(BY45&lt;26500000,4,IF(BY45&lt;27000000,7,IF(BY45&lt;27500000,9,IF(BY45&lt;28000000,11,IF(BY45&lt;28500000,15,IF(BY45&lt;29000000,17,IF(BY45&lt;29500000,20,IF(BY45&lt;30000000,23,IF(BY45&lt;30500000,25,IF(BY45&lt;31000000,27,IF(BY45&lt;31500000,29,IF(BY45&lt;32000000,33,IF(BY45&lt;32500000,37,IF(BY45&lt;33000000,39,IF(BY45&lt;33500000,42,IF(BY45&lt;34000000,45,IF(BY45&lt;34500000,48,IF(BY45&lt;35000000,52,52)))))))))))))))))))</f>
        <v>17</v>
      </c>
      <c r="CG45" s="50">
        <f>(CB45+CD45)/209</f>
        <v>10199.043062200957</v>
      </c>
      <c r="CH45" s="51">
        <v>30</v>
      </c>
      <c r="CI45" s="51">
        <v>30</v>
      </c>
      <c r="CJ45" s="52">
        <v>28700000</v>
      </c>
      <c r="CK45" s="52">
        <f>CL45*12</f>
        <v>28700096.400000002</v>
      </c>
      <c r="CL45" s="49">
        <f>SUM(CM45:CO45)</f>
        <v>2391674.7000000002</v>
      </c>
      <c r="CM45" s="49">
        <f>ROUNDUP(CJ45/12*209/(209+CQ45*1.5)/CH45*CI45,-1)-CO45</f>
        <v>1931600</v>
      </c>
      <c r="CN45" s="49">
        <f>ROUNDUP(CJ45/12*(CQ45*1.5)/(209+CQ45*1.5)/CH45*CI45,1)</f>
        <v>260074.7</v>
      </c>
      <c r="CO45" s="50">
        <v>200000</v>
      </c>
      <c r="CP45" s="50">
        <v>209</v>
      </c>
      <c r="CQ45" s="50">
        <f>IF(CJ45&lt;26000000,0,IF(CJ45&lt;26500000,4,IF(CJ45&lt;27000000,7,IF(CJ45&lt;27500000,9,IF(CJ45&lt;28000000,11,IF(CJ45&lt;28500000,15,IF(CJ45&lt;29000000,17,IF(CJ45&lt;29500000,20,IF(CJ45&lt;30000000,23,IF(CJ45&lt;30500000,25,IF(CJ45&lt;31000000,27,IF(CJ45&lt;31500000,29,IF(CJ45&lt;32000000,33,IF(CJ45&lt;32500000,37,IF(CJ45&lt;33000000,39,IF(CJ45&lt;33500000,42,IF(CJ45&lt;34000000,45,IF(CJ45&lt;34500000,48,IF(CJ45&lt;35000000,52,52)))))))))))))))))))</f>
        <v>17</v>
      </c>
      <c r="CR45" s="50">
        <f>(CM45+CO45)/209</f>
        <v>10199.043062200957</v>
      </c>
      <c r="CS45" s="52">
        <v>28000000</v>
      </c>
      <c r="CT45" s="53">
        <f>IFERROR(CS45/12,"")</f>
        <v>2333333.3333333335</v>
      </c>
      <c r="CU45" s="53" t="str">
        <f>IFERROR(#REF!-CV45-CW45,"")</f>
        <v/>
      </c>
      <c r="CV45" s="53" t="str">
        <f>IFERROR(#REF!*(CY45*1.5)/(209+(CY45*1.5)),"")</f>
        <v/>
      </c>
      <c r="CW45" s="54">
        <v>200000</v>
      </c>
      <c r="CX45" s="54">
        <v>209</v>
      </c>
      <c r="CY45" s="54">
        <v>20</v>
      </c>
      <c r="CZ45" s="55">
        <f>SUM(CX45:CY45)</f>
        <v>229</v>
      </c>
      <c r="DA45" s="55" t="str">
        <f>IFERROR((CU45/209)+(CW45-(9620*209*0.01))/209,"")</f>
        <v/>
      </c>
      <c r="DB45" s="56" t="str">
        <f>IFERROR((CU45+CW45)/209,"")</f>
        <v/>
      </c>
      <c r="DC45" s="57">
        <v>2023</v>
      </c>
      <c r="DD45" s="58"/>
      <c r="DE45" s="58"/>
      <c r="DF45" s="57"/>
      <c r="DG45" s="59">
        <f>B45</f>
        <v>221004</v>
      </c>
      <c r="DH45" s="58"/>
      <c r="DI45" s="58"/>
      <c r="DJ45" s="60"/>
      <c r="DK45" s="58"/>
      <c r="DL45" s="61"/>
      <c r="DM45" s="24"/>
    </row>
    <row r="46" spans="1:117" ht="15" customHeight="1">
      <c r="A46" s="25">
        <f>ROW()-2</f>
        <v>44</v>
      </c>
      <c r="B46" s="26">
        <v>221005</v>
      </c>
      <c r="C46" s="27" t="s">
        <v>801</v>
      </c>
      <c r="D46" s="27" t="s">
        <v>388</v>
      </c>
      <c r="E46" s="27" t="s">
        <v>239</v>
      </c>
      <c r="F46" s="27" t="s">
        <v>196</v>
      </c>
      <c r="G46" s="27" t="s">
        <v>240</v>
      </c>
      <c r="H46" s="27" t="s">
        <v>241</v>
      </c>
      <c r="I46" s="27" t="s">
        <v>653</v>
      </c>
      <c r="J46" s="27" t="str">
        <f>+VLOOKUP($I46,[1]프로젝트현황!$I:$N,5,0)</f>
        <v>서울시</v>
      </c>
      <c r="K46" s="27" t="str">
        <f>+VLOOKUP($I46,[1]프로젝트현황!$I:$N,6,0)</f>
        <v>강남구</v>
      </c>
      <c r="L46" s="28">
        <v>44851</v>
      </c>
      <c r="M46" s="28">
        <v>44851</v>
      </c>
      <c r="N46" s="28"/>
      <c r="O46" s="29"/>
      <c r="P46" s="30" t="s">
        <v>802</v>
      </c>
      <c r="Q46" s="27" t="s">
        <v>803</v>
      </c>
      <c r="R46" s="31" t="str">
        <f>LEFT(Q46,6)</f>
        <v>950618</v>
      </c>
      <c r="S46" s="31" t="str">
        <f>MID($Q46,3,2)</f>
        <v>06</v>
      </c>
      <c r="T46" s="31" t="str">
        <f>IF(OR(MID($Q46,8,1)="1",MID($Q46,8,1)="3"),"남자",IF(OR(MID($Q46,8,1)="2",MID($Q46,8,1)="4"),"여자",""))</f>
        <v>남자</v>
      </c>
      <c r="U46" s="31">
        <f ca="1">YEAR(TODAY())-IF(OR(MID($Q46,8,1)="1",MID($Q46,8,1)="2"),19&amp;LEFT($Q46,2),IF(OR(MID($Q46,8,1)="3",MID($Q46,8,1)="4"),20&amp;LEFT($Q46,2),""))+1</f>
        <v>32</v>
      </c>
      <c r="V46" s="31" t="s">
        <v>200</v>
      </c>
      <c r="W46" s="31" t="s">
        <v>201</v>
      </c>
      <c r="X46" s="27" t="s">
        <v>804</v>
      </c>
      <c r="Y46" s="27"/>
      <c r="Z46" s="27" t="s">
        <v>266</v>
      </c>
      <c r="AA46" s="32"/>
      <c r="AB46" s="31" t="s">
        <v>203</v>
      </c>
      <c r="AC46" s="27" t="s">
        <v>805</v>
      </c>
      <c r="AD46" s="33" t="str">
        <f ca="1">QUOTIENT(SUMPRODUCT(LEFT($AE46:$AF46,FIND("년",$AE46:$AF46)-1)*12+MID($AE46:$AF46,FIND("년",$AE46:$AF46)+1,FIND("개월",$AE46:$AF46)-FIND("년",$AE46:$AF46)-1)),12)&amp;"년"&amp;MOD(SUMPRODUCT(LEFT($AE46:$AF46,FIND("년",$AE46:$AF46)-1)*12+MID($AE46:$AF46,FIND("년",$AE46:$AF46)+1,FIND("개월",$AE46:$AF46)-FIND("년",$AE46:$AF46)-1)),12)&amp;"개월"</f>
        <v>4년6개월</v>
      </c>
      <c r="AE46" s="33" t="s">
        <v>806</v>
      </c>
      <c r="AF46" s="34" t="str">
        <f ca="1">DATEDIF($L46,TODAY(),"y")&amp;"년"&amp;DATEDIF($L46,TODAY(),"ym")&amp;"개월"</f>
        <v>3년3개월</v>
      </c>
      <c r="AG46" s="35" t="s">
        <v>807</v>
      </c>
      <c r="AH46" s="35" t="s">
        <v>808</v>
      </c>
      <c r="AI46" s="30" t="s">
        <v>270</v>
      </c>
      <c r="AJ46" s="32">
        <v>44069</v>
      </c>
      <c r="AK46" s="36">
        <f ca="1">VALUE(LEFT($AD46,FIND("년",$AD46)-1))</f>
        <v>4</v>
      </c>
      <c r="AL46" s="31" t="str">
        <f ca="1">IF($AI46="학사",IF($AK46&lt;=5,"초급",IF($AK46&lt;9,"중급",IF($AK46&lt;12,"고급",IF($AK46&gt;=12,"특급")))))</f>
        <v>초급</v>
      </c>
      <c r="AM46" s="31" t="str">
        <f>IF(ISNUMBER(SEARCH("산업기사",$AT46)),IF($AK46&gt;=13,"특급",IF($AK46&gt;=10,"고급",IF($AK46&gt;=7,"중급","초급"))),IF(ISNUMBER(SEARCH("기사",$AR46)),IF($AK46&gt;=10,"특급",IF($AK46&gt;=7,"고급",IF($AK46&gt;=4,"중급","초급"))),"미해당"))</f>
        <v>미해당</v>
      </c>
      <c r="AN46" s="27" t="s">
        <v>135</v>
      </c>
      <c r="AO46" s="32">
        <v>45003</v>
      </c>
      <c r="AP46" s="27"/>
      <c r="AQ46" s="32"/>
      <c r="AR46" s="27"/>
      <c r="AS46" s="27"/>
      <c r="AT46" s="37"/>
      <c r="AU46" s="27"/>
      <c r="AV46" s="38"/>
      <c r="AW46" s="39"/>
      <c r="AX46" s="39"/>
      <c r="AY46" s="40" t="s">
        <v>251</v>
      </c>
      <c r="AZ46" s="41" t="s">
        <v>252</v>
      </c>
      <c r="BA46" s="30" t="s">
        <v>230</v>
      </c>
      <c r="BB46" s="30" t="s">
        <v>809</v>
      </c>
      <c r="BC46" s="42" t="s">
        <v>254</v>
      </c>
      <c r="BD46" s="42" t="s">
        <v>810</v>
      </c>
      <c r="BE46" s="43" t="s">
        <v>811</v>
      </c>
      <c r="BF46" s="42" t="s">
        <v>211</v>
      </c>
      <c r="BG46" s="42" t="s">
        <v>812</v>
      </c>
      <c r="BH46" s="35"/>
      <c r="BI46" s="44" t="s">
        <v>813</v>
      </c>
      <c r="BJ46" s="45" t="str">
        <f>IFERROR(VLOOKUP($BG46,[1]프로젝트현황!Y:Z,2,0),"기타")</f>
        <v>동북권</v>
      </c>
      <c r="BK46" s="46" t="str">
        <f>(IF(BF46="","",BF46&amp;" "))&amp;(IF(BG46="","",BG46&amp;" "))&amp;(IF(BH46="","",BH46&amp;" "))&amp;BI46</f>
        <v>서울시 도봉구 시루봉로 260-7, B동 302호 (방학동, 한림그린맨숀)</v>
      </c>
      <c r="BL46" s="47">
        <v>30</v>
      </c>
      <c r="BM46" s="47">
        <v>30</v>
      </c>
      <c r="BN46" s="48">
        <v>31900000</v>
      </c>
      <c r="BO46" s="48">
        <f>BP46*12</f>
        <v>31900035.599999998</v>
      </c>
      <c r="BP46" s="49">
        <f>SUM(BQ46:BS46)</f>
        <v>2658336.2999999998</v>
      </c>
      <c r="BQ46" s="49">
        <f>ROUNDUP(BN46/12*209/(209+BU46*1.5)/BL46*BM46,-1)-BS46</f>
        <v>1974530</v>
      </c>
      <c r="BR46" s="49">
        <f>ROUNDUP(BN46/12*(BU46*1.5)/(209+BU46*1.5)/BL46*BM46,1)</f>
        <v>483806.3</v>
      </c>
      <c r="BS46" s="49">
        <v>200000</v>
      </c>
      <c r="BT46" s="50">
        <v>209</v>
      </c>
      <c r="BU46" s="49">
        <f>IF($BN46="","",
IFERROR(
    IF($BN46&lt;'[1]시간외시간 기준표'!$B$2,0,
        IF($BN46&gt;LOOKUP(9.9E+307,'[1]시간외시간 기준표'!$B$2:$B$999),
            LOOKUP(9.9E+307,'[1]시간외시간 기준표'!$C$2:$C$999),
            LOOKUP($BN46,'[1]시간외시간 기준표'!$B$2:$B$999,'[1]시간외시간 기준표'!$C$2:$C$999)
        )
    ),0)
)</f>
        <v>31</v>
      </c>
      <c r="BV46" s="50">
        <f>(BQ46+BS46)/209</f>
        <v>10404.44976076555</v>
      </c>
      <c r="BW46" s="51">
        <v>30</v>
      </c>
      <c r="BX46" s="51">
        <v>30</v>
      </c>
      <c r="BY46" s="52">
        <v>31900000</v>
      </c>
      <c r="BZ46" s="52">
        <f>CA46*12</f>
        <v>31900111.200000003</v>
      </c>
      <c r="CA46" s="49">
        <f>SUM(CB46:CD46)</f>
        <v>2658342.6</v>
      </c>
      <c r="CB46" s="49">
        <f>ROUNDUP(BY46/12*209/(209+CF46*1.5)/BW46*BX46,-1)-CD46</f>
        <v>1949300</v>
      </c>
      <c r="CC46" s="49">
        <f>ROUNDUP(BY46/12*(CF46*1.5)/(209+CF46*1.5)/BW46*BX46,1)</f>
        <v>509042.6</v>
      </c>
      <c r="CD46" s="49">
        <v>200000</v>
      </c>
      <c r="CE46" s="50">
        <v>209</v>
      </c>
      <c r="CF46" s="49">
        <f>IF(BY46&lt;26000000,0,IF(BY46&lt;26500000,4,IF(BY46&lt;27000000,7,IF(BY46&lt;27500000,9,IF(BY46&lt;28000000,11,IF(BY46&lt;28500000,15,IF(BY46&lt;29000000,17,IF(BY46&lt;29500000,20,IF(BY46&lt;30000000,23,IF(BY46&lt;30500000,25,IF(BY46&lt;31000000,27,IF(BY46&lt;31500000,29,IF(BY46&lt;32000000,33,IF(BY46&lt;32500000,37,IF(BY46&lt;33000000,39,IF(BY46&lt;33500000,42,IF(BY46&lt;34000000,45,IF(BY46&lt;34500000,48,IF(BY46&lt;35000000,52,52)))))))))))))))))))</f>
        <v>33</v>
      </c>
      <c r="CG46" s="50">
        <f>(CB46+CD46)/209</f>
        <v>10283.732057416268</v>
      </c>
      <c r="CH46" s="51">
        <v>30</v>
      </c>
      <c r="CI46" s="51">
        <v>30</v>
      </c>
      <c r="CJ46" s="52">
        <v>31100000</v>
      </c>
      <c r="CK46" s="52">
        <f>CL46*12</f>
        <v>31100102.400000002</v>
      </c>
      <c r="CL46" s="49">
        <f>SUM(CM46:CO46)</f>
        <v>2591675.2000000002</v>
      </c>
      <c r="CM46" s="49">
        <f>ROUNDUP(CJ46/12*209/(209+CQ46*1.5)/CH46*CI46,-1)-CO46</f>
        <v>1945190</v>
      </c>
      <c r="CN46" s="49">
        <f>ROUNDUP(CJ46/12*(CQ46*1.5)/(209+CQ46*1.5)/CH46*CI46,1)</f>
        <v>446485.19999999995</v>
      </c>
      <c r="CO46" s="50">
        <v>200000</v>
      </c>
      <c r="CP46" s="50">
        <v>209</v>
      </c>
      <c r="CQ46" s="50">
        <f>IF(CJ46&lt;26000000,0,IF(CJ46&lt;26500000,4,IF(CJ46&lt;27000000,7,IF(CJ46&lt;27500000,9,IF(CJ46&lt;28000000,11,IF(CJ46&lt;28500000,15,IF(CJ46&lt;29000000,17,IF(CJ46&lt;29500000,20,IF(CJ46&lt;30000000,23,IF(CJ46&lt;30500000,25,IF(CJ46&lt;31000000,27,IF(CJ46&lt;31500000,29,IF(CJ46&lt;32000000,33,IF(CJ46&lt;32500000,37,IF(CJ46&lt;33000000,39,IF(CJ46&lt;33500000,42,IF(CJ46&lt;34000000,45,IF(CJ46&lt;34500000,48,IF(CJ46&lt;35000000,52,52)))))))))))))))))))</f>
        <v>29</v>
      </c>
      <c r="CR46" s="50">
        <f>(CM46+CO46)/209</f>
        <v>10264.066985645934</v>
      </c>
      <c r="CS46" s="52">
        <v>29000000</v>
      </c>
      <c r="CT46" s="53">
        <f>IFERROR(CS46/12,"")</f>
        <v>2416666.6666666665</v>
      </c>
      <c r="CU46" s="53" t="str">
        <f>IFERROR(#REF!-CV46-CW46,"")</f>
        <v/>
      </c>
      <c r="CV46" s="53" t="str">
        <f>IFERROR(#REF!*(CY46*1.5)/(209+(CY46*1.5)),"")</f>
        <v/>
      </c>
      <c r="CW46" s="54">
        <v>200000</v>
      </c>
      <c r="CX46" s="54">
        <v>209</v>
      </c>
      <c r="CY46" s="54">
        <v>26</v>
      </c>
      <c r="CZ46" s="55">
        <f>SUM(CX46:CY46)</f>
        <v>235</v>
      </c>
      <c r="DA46" s="55" t="str">
        <f>IFERROR((CU46/209)+(CW46-(9620*209*0.01))/209,"")</f>
        <v/>
      </c>
      <c r="DB46" s="56" t="str">
        <f>IFERROR((CU46+CW46)/209,"")</f>
        <v/>
      </c>
      <c r="DC46" s="57">
        <v>2023</v>
      </c>
      <c r="DD46" s="58"/>
      <c r="DE46" s="58"/>
      <c r="DF46" s="57"/>
      <c r="DG46" s="59">
        <f>B46</f>
        <v>221005</v>
      </c>
      <c r="DH46" s="58"/>
      <c r="DI46" s="58"/>
      <c r="DJ46" s="60"/>
      <c r="DK46" s="58"/>
      <c r="DL46" s="61"/>
      <c r="DM46" s="24"/>
    </row>
    <row r="47" spans="1:117" ht="15" customHeight="1">
      <c r="A47" s="25">
        <f>ROW()-2</f>
        <v>45</v>
      </c>
      <c r="B47" s="26">
        <v>221007</v>
      </c>
      <c r="C47" s="27" t="s">
        <v>814</v>
      </c>
      <c r="D47" s="27"/>
      <c r="E47" s="27" t="s">
        <v>613</v>
      </c>
      <c r="F47" s="27" t="s">
        <v>196</v>
      </c>
      <c r="G47" s="27" t="s">
        <v>240</v>
      </c>
      <c r="H47" s="27" t="s">
        <v>217</v>
      </c>
      <c r="I47" s="27" t="s">
        <v>479</v>
      </c>
      <c r="J47" s="27" t="str">
        <f>+VLOOKUP($I47,[1]프로젝트현황!$I:$N,5,0)</f>
        <v>경기도</v>
      </c>
      <c r="K47" s="27" t="str">
        <f>+VLOOKUP($I47,[1]프로젝트현황!$I:$N,6,0)</f>
        <v>성남시</v>
      </c>
      <c r="L47" s="28">
        <v>44865</v>
      </c>
      <c r="M47" s="28">
        <v>44865</v>
      </c>
      <c r="N47" s="28"/>
      <c r="O47" s="29"/>
      <c r="P47" s="30" t="s">
        <v>815</v>
      </c>
      <c r="Q47" s="27" t="s">
        <v>816</v>
      </c>
      <c r="R47" s="31" t="str">
        <f>LEFT(Q47,6)</f>
        <v>991013</v>
      </c>
      <c r="S47" s="31" t="str">
        <f>MID($Q47,3,2)</f>
        <v>10</v>
      </c>
      <c r="T47" s="31" t="str">
        <f>IF(OR(MID($Q47,8,1)="1",MID($Q47,8,1)="3"),"남자",IF(OR(MID($Q47,8,1)="2",MID($Q47,8,1)="4"),"여자",""))</f>
        <v>여자</v>
      </c>
      <c r="U47" s="31">
        <f ca="1">YEAR(TODAY())-IF(OR(MID($Q47,8,1)="1",MID($Q47,8,1)="2"),19&amp;LEFT($Q47,2),IF(OR(MID($Q47,8,1)="3",MID($Q47,8,1)="4"),20&amp;LEFT($Q47,2),""))+1</f>
        <v>28</v>
      </c>
      <c r="V47" s="31" t="s">
        <v>200</v>
      </c>
      <c r="W47" s="31" t="s">
        <v>201</v>
      </c>
      <c r="X47" s="27" t="s">
        <v>817</v>
      </c>
      <c r="Y47" s="27"/>
      <c r="Z47" s="27"/>
      <c r="AA47" s="32"/>
      <c r="AB47" s="31" t="s">
        <v>203</v>
      </c>
      <c r="AC47" s="27" t="s">
        <v>818</v>
      </c>
      <c r="AD47" s="33" t="str">
        <f ca="1">QUOTIENT(SUMPRODUCT(LEFT($AE47:$AF47,FIND("년",$AE47:$AF47)-1)*12+MID($AE47:$AF47,FIND("년",$AE47:$AF47)+1,FIND("개월",$AE47:$AF47)-FIND("년",$AE47:$AF47)-1)),12)&amp;"년"&amp;MOD(SUMPRODUCT(LEFT($AE47:$AF47,FIND("년",$AE47:$AF47)-1)*12+MID($AE47:$AF47,FIND("년",$AE47:$AF47)+1,FIND("개월",$AE47:$AF47)-FIND("년",$AE47:$AF47)-1)),12)&amp;"개월"</f>
        <v>3년3개월</v>
      </c>
      <c r="AE47" s="33" t="s">
        <v>543</v>
      </c>
      <c r="AF47" s="34" t="str">
        <f ca="1">DATEDIF($L47,TODAY(),"y")&amp;"년"&amp;DATEDIF($L47,TODAY(),"ym")&amp;"개월"</f>
        <v>3년3개월</v>
      </c>
      <c r="AG47" s="35" t="s">
        <v>819</v>
      </c>
      <c r="AH47" s="35"/>
      <c r="AI47" s="30" t="s">
        <v>365</v>
      </c>
      <c r="AJ47" s="32">
        <v>42866</v>
      </c>
      <c r="AK47" s="36">
        <f ca="1">VALUE(LEFT($AD47,FIND("년",$AD47)-1))</f>
        <v>3</v>
      </c>
      <c r="AL47" s="31" t="str">
        <f ca="1">IF($AI47="고졸",IF($AK47&lt;=11,"초급",IF($AK47&lt;=14,"중급",IF($AK47&lt;=17,"고급",IF($AK47&gt;=18,"특급")))))</f>
        <v>초급</v>
      </c>
      <c r="AM47" s="31" t="str">
        <f>IF(ISNUMBER(SEARCH("산업기사",$AT47)),IF($AK47&gt;=13,"특급",IF($AK47&gt;=10,"고급",IF($AK47&gt;=7,"중급","초급"))),IF(ISNUMBER(SEARCH("기사",$AR47)),IF($AK47&gt;=10,"특급",IF($AK47&gt;=7,"고급",IF($AK47&gt;=4,"중급","초급"))),"미해당"))</f>
        <v>미해당</v>
      </c>
      <c r="AN47" s="27"/>
      <c r="AO47" s="32"/>
      <c r="AP47" s="27"/>
      <c r="AQ47" s="32"/>
      <c r="AR47" s="27"/>
      <c r="AS47" s="27"/>
      <c r="AT47" s="37"/>
      <c r="AU47" s="27"/>
      <c r="AV47" s="38"/>
      <c r="AW47" s="39"/>
      <c r="AX47" s="39"/>
      <c r="AY47" s="40" t="s">
        <v>251</v>
      </c>
      <c r="AZ47" s="41" t="s">
        <v>252</v>
      </c>
      <c r="BA47" s="30" t="s">
        <v>230</v>
      </c>
      <c r="BB47" s="30" t="s">
        <v>820</v>
      </c>
      <c r="BC47" s="42" t="s">
        <v>275</v>
      </c>
      <c r="BD47" s="42" t="s">
        <v>821</v>
      </c>
      <c r="BE47" s="43" t="s">
        <v>822</v>
      </c>
      <c r="BF47" s="42" t="s">
        <v>234</v>
      </c>
      <c r="BG47" s="42" t="s">
        <v>440</v>
      </c>
      <c r="BH47" s="35" t="s">
        <v>684</v>
      </c>
      <c r="BI47" s="44" t="s">
        <v>823</v>
      </c>
      <c r="BJ47" s="45" t="str">
        <f>IFERROR(VLOOKUP($BG47,[1]프로젝트현황!Y:Z,2,0),"기타")</f>
        <v>서남권</v>
      </c>
      <c r="BK47" s="46" t="str">
        <f>(IF(BF47="","",BF47&amp;" "))&amp;(IF(BG47="","",BG47&amp;" "))&amp;(IF(BH47="","",BH47&amp;" "))&amp;BI47</f>
        <v>경기도 안양시 만안구 현충로24번길 14, 1006호(안양동, 더베이프리미엄아파트)</v>
      </c>
      <c r="BL47" s="47">
        <v>30</v>
      </c>
      <c r="BM47" s="47">
        <v>30</v>
      </c>
      <c r="BN47" s="48">
        <v>28200000</v>
      </c>
      <c r="BO47" s="48">
        <f>BP47*12</f>
        <v>28200044.400000002</v>
      </c>
      <c r="BP47" s="49">
        <f>SUM(BQ47:BS47)</f>
        <v>2350003.7000000002</v>
      </c>
      <c r="BQ47" s="49">
        <f>ROUNDUP(BN47/12*209/(209+BU47*1.5)/BL47*BM47,-1)-BS47</f>
        <v>1963660</v>
      </c>
      <c r="BR47" s="49">
        <f>ROUNDUP(BN47/12*(BU47*1.5)/(209+BU47*1.5)/BL47*BM47,1)</f>
        <v>186343.7</v>
      </c>
      <c r="BS47" s="49">
        <v>200000</v>
      </c>
      <c r="BT47" s="50">
        <v>209</v>
      </c>
      <c r="BU47" s="49">
        <f>IF($BN47="","",
IFERROR(
    IF($BN47&lt;'[1]시간외시간 기준표'!$B$2,0,
        IF($BN47&gt;LOOKUP(9.9E+307,'[1]시간외시간 기준표'!$B$2:$B$999),
            LOOKUP(9.9E+307,'[1]시간외시간 기준표'!$C$2:$C$999),
            LOOKUP($BN47,'[1]시간외시간 기준표'!$B$2:$B$999,'[1]시간외시간 기준표'!$C$2:$C$999)
        )
    ),0)
)</f>
        <v>12</v>
      </c>
      <c r="BV47" s="50">
        <f>(BQ47+BS47)/209</f>
        <v>10352.440191387559</v>
      </c>
      <c r="BW47" s="51">
        <v>30</v>
      </c>
      <c r="BX47" s="51">
        <v>30</v>
      </c>
      <c r="BY47" s="52">
        <v>28200000</v>
      </c>
      <c r="BZ47" s="52">
        <f>CA47*12</f>
        <v>28200021.599999998</v>
      </c>
      <c r="CA47" s="49">
        <f>SUM(CB47:CD47)</f>
        <v>2350001.7999999998</v>
      </c>
      <c r="CB47" s="49">
        <f>ROUNDUP(BY47/12*209/(209+CF47*1.5)/BW47*BX47,-1)-CD47</f>
        <v>1921600</v>
      </c>
      <c r="CC47" s="49">
        <f>ROUNDUP(BY47/12*(CF47*1.5)/(209+CF47*1.5)/BW47*BX47,1)</f>
        <v>228401.80000000002</v>
      </c>
      <c r="CD47" s="49">
        <v>200000</v>
      </c>
      <c r="CE47" s="50">
        <v>209</v>
      </c>
      <c r="CF47" s="49">
        <f>IF(BY47&lt;26000000,0,IF(BY47&lt;26500000,4,IF(BY47&lt;27000000,7,IF(BY47&lt;27500000,9,IF(BY47&lt;28000000,11,IF(BY47&lt;28500000,15,IF(BY47&lt;29000000,17,IF(BY47&lt;29500000,20,IF(BY47&lt;30000000,23,IF(BY47&lt;30500000,25,IF(BY47&lt;31000000,27,IF(BY47&lt;31500000,29,IF(BY47&lt;32000000,33,IF(BY47&lt;32500000,37,IF(BY47&lt;33000000,39,IF(BY47&lt;33500000,42,IF(BY47&lt;34000000,45,IF(BY47&lt;34500000,48,IF(BY47&lt;35000000,52,52)))))))))))))))))))</f>
        <v>15</v>
      </c>
      <c r="CG47" s="50">
        <f>(CB47+CD47)/209</f>
        <v>10151.196172248803</v>
      </c>
      <c r="CH47" s="51">
        <v>30</v>
      </c>
      <c r="CI47" s="51">
        <v>30</v>
      </c>
      <c r="CJ47" s="52">
        <v>27400000</v>
      </c>
      <c r="CK47" s="52">
        <f>CL47*12</f>
        <v>27400072.799999997</v>
      </c>
      <c r="CL47" s="49">
        <f>SUM(CM47:CO47)</f>
        <v>2283339.4</v>
      </c>
      <c r="CM47" s="49">
        <f>ROUNDUP(CJ47/12*209/(209+CQ47*1.5)/CH47*CI47,-1)-CO47</f>
        <v>1944800</v>
      </c>
      <c r="CN47" s="49">
        <f>ROUNDUP(CJ47/12*(CQ47*1.5)/(209+CQ47*1.5)/CH47*CI47,1)</f>
        <v>138539.4</v>
      </c>
      <c r="CO47" s="50">
        <v>200000</v>
      </c>
      <c r="CP47" s="50">
        <v>209</v>
      </c>
      <c r="CQ47" s="50">
        <f>IF(CJ47&lt;26000000,0,IF(CJ47&lt;26500000,4,IF(CJ47&lt;27000000,7,IF(CJ47&lt;27500000,9,IF(CJ47&lt;28000000,11,IF(CJ47&lt;28500000,15,IF(CJ47&lt;29000000,17,IF(CJ47&lt;29500000,20,IF(CJ47&lt;30000000,23,IF(CJ47&lt;30500000,25,IF(CJ47&lt;31000000,27,IF(CJ47&lt;31500000,29,IF(CJ47&lt;32000000,33,IF(CJ47&lt;32500000,37,IF(CJ47&lt;33000000,39,IF(CJ47&lt;33500000,42,IF(CJ47&lt;34000000,45,IF(CJ47&lt;34500000,48,IF(CJ47&lt;35000000,52,52)))))))))))))))))))</f>
        <v>9</v>
      </c>
      <c r="CR47" s="50">
        <f>(CM47+CO47)/209</f>
        <v>10262.200956937799</v>
      </c>
      <c r="CS47" s="52">
        <v>26000000</v>
      </c>
      <c r="CT47" s="53">
        <f>IFERROR(CS47/12,"")</f>
        <v>2166666.6666666665</v>
      </c>
      <c r="CU47" s="53" t="str">
        <f>IFERROR(#REF!-CV47-CW47,"")</f>
        <v/>
      </c>
      <c r="CV47" s="53" t="str">
        <f>IFERROR(#REF!*(CY47*1.5)/(209+(CY47*1.5)),"")</f>
        <v/>
      </c>
      <c r="CW47" s="54">
        <v>200000</v>
      </c>
      <c r="CX47" s="54">
        <v>209</v>
      </c>
      <c r="CY47" s="54">
        <v>9</v>
      </c>
      <c r="CZ47" s="55">
        <f>SUM(CX47:CY47)</f>
        <v>218</v>
      </c>
      <c r="DA47" s="55" t="str">
        <f>IFERROR((CU47/209)+(CW47-(9620*209*0.01))/209,"")</f>
        <v/>
      </c>
      <c r="DB47" s="56" t="str">
        <f>IFERROR((CU47+CW47)/209,"")</f>
        <v/>
      </c>
      <c r="DC47" s="57">
        <v>2023</v>
      </c>
      <c r="DD47" s="58"/>
      <c r="DE47" s="58"/>
      <c r="DF47" s="57"/>
      <c r="DG47" s="59">
        <f>B47</f>
        <v>221007</v>
      </c>
      <c r="DH47" s="58"/>
      <c r="DI47" s="58"/>
      <c r="DJ47" s="60"/>
      <c r="DK47" s="58"/>
      <c r="DL47" s="61"/>
      <c r="DM47" s="24"/>
    </row>
    <row r="48" spans="1:117" ht="15" customHeight="1">
      <c r="A48" s="25">
        <f>ROW()-2</f>
        <v>46</v>
      </c>
      <c r="B48" s="26">
        <v>221008</v>
      </c>
      <c r="C48" s="27" t="s">
        <v>824</v>
      </c>
      <c r="D48" s="27"/>
      <c r="E48" s="27" t="s">
        <v>613</v>
      </c>
      <c r="F48" s="27" t="s">
        <v>196</v>
      </c>
      <c r="G48" s="27" t="s">
        <v>240</v>
      </c>
      <c r="H48" s="27" t="s">
        <v>241</v>
      </c>
      <c r="I48" s="27" t="s">
        <v>675</v>
      </c>
      <c r="J48" s="27" t="str">
        <f>+VLOOKUP($I48,[1]프로젝트현황!$I:$N,5,0)</f>
        <v>경기도</v>
      </c>
      <c r="K48" s="27" t="str">
        <f>+VLOOKUP($I48,[1]프로젝트현황!$I:$N,6,0)</f>
        <v>성남시</v>
      </c>
      <c r="L48" s="28">
        <v>44865</v>
      </c>
      <c r="M48" s="28">
        <v>44865</v>
      </c>
      <c r="N48" s="28"/>
      <c r="O48" s="29"/>
      <c r="P48" s="30" t="s">
        <v>825</v>
      </c>
      <c r="Q48" s="27" t="s">
        <v>826</v>
      </c>
      <c r="R48" s="31" t="str">
        <f>LEFT(Q48,6)</f>
        <v>990604</v>
      </c>
      <c r="S48" s="31" t="str">
        <f>MID($Q48,3,2)</f>
        <v>06</v>
      </c>
      <c r="T48" s="31" t="str">
        <f>IF(OR(MID($Q48,8,1)="1",MID($Q48,8,1)="3"),"남자",IF(OR(MID($Q48,8,1)="2",MID($Q48,8,1)="4"),"여자",""))</f>
        <v>여자</v>
      </c>
      <c r="U48" s="31">
        <f ca="1">YEAR(TODAY())-IF(OR(MID($Q48,8,1)="1",MID($Q48,8,1)="2"),19&amp;LEFT($Q48,2),IF(OR(MID($Q48,8,1)="3",MID($Q48,8,1)="4"),20&amp;LEFT($Q48,2),""))+1</f>
        <v>28</v>
      </c>
      <c r="V48" s="31" t="s">
        <v>200</v>
      </c>
      <c r="W48" s="31" t="s">
        <v>201</v>
      </c>
      <c r="X48" s="27" t="s">
        <v>827</v>
      </c>
      <c r="Y48" s="27"/>
      <c r="Z48" s="27"/>
      <c r="AA48" s="32"/>
      <c r="AB48" s="31" t="s">
        <v>203</v>
      </c>
      <c r="AC48" s="27" t="s">
        <v>828</v>
      </c>
      <c r="AD48" s="33" t="str">
        <f ca="1">QUOTIENT(SUMPRODUCT(LEFT($AE48:$AF48,FIND("년",$AE48:$AF48)-1)*12+MID($AE48:$AF48,FIND("년",$AE48:$AF48)+1,FIND("개월",$AE48:$AF48)-FIND("년",$AE48:$AF48)-1)),12)&amp;"년"&amp;MOD(SUMPRODUCT(LEFT($AE48:$AF48,FIND("년",$AE48:$AF48)-1)*12+MID($AE48:$AF48,FIND("년",$AE48:$AF48)+1,FIND("개월",$AE48:$AF48)-FIND("년",$AE48:$AF48)-1)),12)&amp;"개월"</f>
        <v>3년3개월</v>
      </c>
      <c r="AE48" s="33" t="s">
        <v>543</v>
      </c>
      <c r="AF48" s="34" t="str">
        <f ca="1">DATEDIF($L48,TODAY(),"y")&amp;"년"&amp;DATEDIF($L48,TODAY(),"ym")&amp;"개월"</f>
        <v>3년3개월</v>
      </c>
      <c r="AG48" s="35" t="s">
        <v>829</v>
      </c>
      <c r="AH48" s="35"/>
      <c r="AI48" s="30" t="s">
        <v>365</v>
      </c>
      <c r="AJ48" s="32">
        <v>43139</v>
      </c>
      <c r="AK48" s="36">
        <f ca="1">VALUE(LEFT($AD48,FIND("년",$AD48)-1))</f>
        <v>3</v>
      </c>
      <c r="AL48" s="31" t="str">
        <f ca="1">IF($AI48="고졸",IF($AK48&lt;=11,"초급",IF($AK48&lt;=14,"중급",IF($AK48&lt;=17,"고급",IF($AK48&gt;=18,"특급")))))</f>
        <v>초급</v>
      </c>
      <c r="AM48" s="31" t="str">
        <f>IF(ISNUMBER(SEARCH("산업기사",$AT48)),IF($AK48&gt;=13,"특급",IF($AK48&gt;=10,"고급",IF($AK48&gt;=7,"중급","초급"))),IF(ISNUMBER(SEARCH("기사",$AR48)),IF($AK48&gt;=10,"특급",IF($AK48&gt;=7,"고급",IF($AK48&gt;=4,"중급","초급"))),"미해당"))</f>
        <v>미해당</v>
      </c>
      <c r="AN48" s="27"/>
      <c r="AO48" s="32"/>
      <c r="AP48" s="27"/>
      <c r="AQ48" s="32"/>
      <c r="AR48" s="27"/>
      <c r="AS48" s="27"/>
      <c r="AT48" s="37"/>
      <c r="AU48" s="27"/>
      <c r="AV48" s="38"/>
      <c r="AW48" s="39"/>
      <c r="AX48" s="39"/>
      <c r="AY48" s="40" t="s">
        <v>251</v>
      </c>
      <c r="AZ48" s="41" t="s">
        <v>252</v>
      </c>
      <c r="BA48" s="30" t="s">
        <v>230</v>
      </c>
      <c r="BB48" s="30" t="s">
        <v>830</v>
      </c>
      <c r="BC48" s="42" t="s">
        <v>275</v>
      </c>
      <c r="BD48" s="42" t="s">
        <v>831</v>
      </c>
      <c r="BE48" s="43" t="s">
        <v>832</v>
      </c>
      <c r="BF48" s="42" t="s">
        <v>211</v>
      </c>
      <c r="BG48" s="42" t="s">
        <v>371</v>
      </c>
      <c r="BH48" s="35"/>
      <c r="BI48" s="44" t="s">
        <v>833</v>
      </c>
      <c r="BJ48" s="45" t="str">
        <f>IFERROR(VLOOKUP($BG48,[1]프로젝트현황!Y:Z,2,0),"기타")</f>
        <v>서남권</v>
      </c>
      <c r="BK48" s="46" t="str">
        <f>(IF(BF48="","",BF48&amp;" "))&amp;(IF(BG48="","",BG48&amp;" "))&amp;(IF(BH48="","",BH48&amp;" "))&amp;BI48</f>
        <v>서울시 관악구 신사로24길 4</v>
      </c>
      <c r="BL48" s="47">
        <v>30</v>
      </c>
      <c r="BM48" s="47">
        <v>30</v>
      </c>
      <c r="BN48" s="48">
        <v>29200000</v>
      </c>
      <c r="BO48" s="48">
        <f>BP48*12</f>
        <v>29200027.200000003</v>
      </c>
      <c r="BP48" s="49">
        <f>SUM(BQ48:BS48)</f>
        <v>2433335.6</v>
      </c>
      <c r="BQ48" s="49">
        <f>ROUNDUP(BN48/12*209/(209+BU48*1.5)/BL48*BM48,-1)-BS48</f>
        <v>1968730</v>
      </c>
      <c r="BR48" s="49">
        <f>ROUNDUP(BN48/12*(BU48*1.5)/(209+BU48*1.5)/BL48*BM48,1)</f>
        <v>264605.59999999998</v>
      </c>
      <c r="BS48" s="49">
        <v>200000</v>
      </c>
      <c r="BT48" s="50">
        <v>209</v>
      </c>
      <c r="BU48" s="49">
        <f>IF($BN48="","",
IFERROR(
    IF($BN48&lt;'[1]시간외시간 기준표'!$B$2,0,
        IF($BN48&gt;LOOKUP(9.9E+307,'[1]시간외시간 기준표'!$B$2:$B$999),
            LOOKUP(9.9E+307,'[1]시간외시간 기준표'!$C$2:$C$999),
            LOOKUP($BN48,'[1]시간외시간 기준표'!$B$2:$B$999,'[1]시간외시간 기준표'!$C$2:$C$999)
        )
    ),0)
)</f>
        <v>17</v>
      </c>
      <c r="BV48" s="50">
        <f>(BQ48+BS48)/209</f>
        <v>10376.698564593302</v>
      </c>
      <c r="BW48" s="51">
        <v>30</v>
      </c>
      <c r="BX48" s="51">
        <v>30</v>
      </c>
      <c r="BY48" s="52">
        <v>29200000</v>
      </c>
      <c r="BZ48" s="52">
        <f>CA48*12</f>
        <v>29200072.799999997</v>
      </c>
      <c r="CA48" s="49">
        <f>SUM(CB48:CD48)</f>
        <v>2433339.4</v>
      </c>
      <c r="CB48" s="49">
        <f>ROUNDUP(BY48/12*209/(209+CF48*1.5)/BW48*BX48,-1)-CD48</f>
        <v>1927900</v>
      </c>
      <c r="CC48" s="49">
        <f>ROUNDUP(BY48/12*(CF48*1.5)/(209+CF48*1.5)/BW48*BX48,1)</f>
        <v>305439.39999999997</v>
      </c>
      <c r="CD48" s="49">
        <v>200000</v>
      </c>
      <c r="CE48" s="50">
        <v>209</v>
      </c>
      <c r="CF48" s="49">
        <f>IF(BY48&lt;26000000,0,IF(BY48&lt;26500000,4,IF(BY48&lt;27000000,7,IF(BY48&lt;27500000,9,IF(BY48&lt;28000000,11,IF(BY48&lt;28500000,15,IF(BY48&lt;29000000,17,IF(BY48&lt;29500000,20,IF(BY48&lt;30000000,23,IF(BY48&lt;30500000,25,IF(BY48&lt;31000000,27,IF(BY48&lt;31500000,29,IF(BY48&lt;32000000,33,IF(BY48&lt;32500000,37,IF(BY48&lt;33000000,39,IF(BY48&lt;33500000,42,IF(BY48&lt;34000000,45,IF(BY48&lt;34500000,48,IF(BY48&lt;35000000,52,52)))))))))))))))))))</f>
        <v>20</v>
      </c>
      <c r="CG48" s="50">
        <f>(CB48+CD48)/209</f>
        <v>10181.33971291866</v>
      </c>
      <c r="CH48" s="51">
        <v>30</v>
      </c>
      <c r="CI48" s="51">
        <v>30</v>
      </c>
      <c r="CJ48" s="52">
        <v>28400000</v>
      </c>
      <c r="CK48" s="52">
        <f>CL48*12</f>
        <v>28400059.200000003</v>
      </c>
      <c r="CL48" s="49">
        <f>SUM(CM48:CO48)</f>
        <v>2366671.6</v>
      </c>
      <c r="CM48" s="49">
        <f>ROUNDUP(CJ48/12*209/(209+CQ48*1.5)/CH48*CI48,-1)-CO48</f>
        <v>1936650</v>
      </c>
      <c r="CN48" s="49">
        <f>ROUNDUP(CJ48/12*(CQ48*1.5)/(209+CQ48*1.5)/CH48*CI48,1)</f>
        <v>230021.6</v>
      </c>
      <c r="CO48" s="50">
        <v>200000</v>
      </c>
      <c r="CP48" s="50">
        <v>209</v>
      </c>
      <c r="CQ48" s="50">
        <f>IF(CJ48&lt;26000000,0,IF(CJ48&lt;26500000,4,IF(CJ48&lt;27000000,7,IF(CJ48&lt;27500000,9,IF(CJ48&lt;28000000,11,IF(CJ48&lt;28500000,15,IF(CJ48&lt;29000000,17,IF(CJ48&lt;29500000,20,IF(CJ48&lt;30000000,23,IF(CJ48&lt;30500000,25,IF(CJ48&lt;31000000,27,IF(CJ48&lt;31500000,29,IF(CJ48&lt;32000000,33,IF(CJ48&lt;32500000,37,IF(CJ48&lt;33000000,39,IF(CJ48&lt;33500000,42,IF(CJ48&lt;34000000,45,IF(CJ48&lt;34500000,48,IF(CJ48&lt;35000000,52,52)))))))))))))))))))</f>
        <v>15</v>
      </c>
      <c r="CR48" s="50">
        <f>(CM48+CO48)/209</f>
        <v>10223.205741626794</v>
      </c>
      <c r="CS48" s="52">
        <v>27000000</v>
      </c>
      <c r="CT48" s="53">
        <f>IFERROR(CS48/12,"")</f>
        <v>2250000</v>
      </c>
      <c r="CU48" s="53" t="str">
        <f>IFERROR(#REF!-CV48-CW48,"")</f>
        <v/>
      </c>
      <c r="CV48" s="53" t="str">
        <f>IFERROR(#REF!*(CY48*1.5)/(209+(CY48*1.5)),"")</f>
        <v/>
      </c>
      <c r="CW48" s="54">
        <v>200000</v>
      </c>
      <c r="CX48" s="54">
        <v>209</v>
      </c>
      <c r="CY48" s="54">
        <v>15</v>
      </c>
      <c r="CZ48" s="55">
        <f>SUM(CX48:CY48)</f>
        <v>224</v>
      </c>
      <c r="DA48" s="55" t="str">
        <f>IFERROR((CU48/209)+(CW48-(9620*209*0.01))/209,"")</f>
        <v/>
      </c>
      <c r="DB48" s="56" t="str">
        <f>IFERROR((CU48+CW48)/209,"")</f>
        <v/>
      </c>
      <c r="DC48" s="57">
        <v>2023</v>
      </c>
      <c r="DD48" s="58"/>
      <c r="DE48" s="58"/>
      <c r="DF48" s="57"/>
      <c r="DG48" s="59">
        <f>B48</f>
        <v>221008</v>
      </c>
      <c r="DH48" s="58"/>
      <c r="DI48" s="58"/>
      <c r="DJ48" s="60"/>
      <c r="DK48" s="58"/>
      <c r="DL48" s="61"/>
      <c r="DM48" s="24"/>
    </row>
    <row r="49" spans="1:117" ht="15" customHeight="1">
      <c r="A49" s="25">
        <f>ROW()-2</f>
        <v>47</v>
      </c>
      <c r="B49" s="26">
        <v>221009</v>
      </c>
      <c r="C49" s="27" t="s">
        <v>834</v>
      </c>
      <c r="D49" s="27"/>
      <c r="E49" s="27" t="s">
        <v>613</v>
      </c>
      <c r="F49" s="27" t="s">
        <v>196</v>
      </c>
      <c r="G49" s="27" t="s">
        <v>240</v>
      </c>
      <c r="H49" s="27" t="s">
        <v>241</v>
      </c>
      <c r="I49" s="27" t="s">
        <v>242</v>
      </c>
      <c r="J49" s="27" t="str">
        <f>+VLOOKUP($I49,[1]프로젝트현황!$I:$N,5,0)</f>
        <v>서울시</v>
      </c>
      <c r="K49" s="27" t="str">
        <f>+VLOOKUP($I49,[1]프로젝트현황!$I:$N,6,0)</f>
        <v>영등포구</v>
      </c>
      <c r="L49" s="28">
        <v>44865</v>
      </c>
      <c r="M49" s="28">
        <v>44865</v>
      </c>
      <c r="N49" s="28"/>
      <c r="O49" s="29"/>
      <c r="P49" s="30" t="s">
        <v>835</v>
      </c>
      <c r="Q49" s="27" t="s">
        <v>836</v>
      </c>
      <c r="R49" s="31" t="str">
        <f>LEFT(Q49,6)</f>
        <v>980109</v>
      </c>
      <c r="S49" s="31" t="str">
        <f>MID($Q49,3,2)</f>
        <v>01</v>
      </c>
      <c r="T49" s="31" t="str">
        <f>IF(OR(MID($Q49,8,1)="1",MID($Q49,8,1)="3"),"남자",IF(OR(MID($Q49,8,1)="2",MID($Q49,8,1)="4"),"여자",""))</f>
        <v>남자</v>
      </c>
      <c r="U49" s="31">
        <f ca="1">YEAR(TODAY())-IF(OR(MID($Q49,8,1)="1",MID($Q49,8,1)="2"),19&amp;LEFT($Q49,2),IF(OR(MID($Q49,8,1)="3",MID($Q49,8,1)="4"),20&amp;LEFT($Q49,2),""))+1</f>
        <v>29</v>
      </c>
      <c r="V49" s="31" t="s">
        <v>200</v>
      </c>
      <c r="W49" s="31" t="s">
        <v>201</v>
      </c>
      <c r="X49" s="27" t="s">
        <v>837</v>
      </c>
      <c r="Y49" s="27"/>
      <c r="Z49" s="27"/>
      <c r="AA49" s="32"/>
      <c r="AB49" s="31" t="s">
        <v>203</v>
      </c>
      <c r="AC49" s="27" t="s">
        <v>838</v>
      </c>
      <c r="AD49" s="33" t="str">
        <f ca="1">QUOTIENT(SUMPRODUCT(LEFT($AE49:$AF49,FIND("년",$AE49:$AF49)-1)*12+MID($AE49:$AF49,FIND("년",$AE49:$AF49)+1,FIND("개월",$AE49:$AF49)-FIND("년",$AE49:$AF49)-1)),12)&amp;"년"&amp;MOD(SUMPRODUCT(LEFT($AE49:$AF49,FIND("년",$AE49:$AF49)-1)*12+MID($AE49:$AF49,FIND("년",$AE49:$AF49)+1,FIND("개월",$AE49:$AF49)-FIND("년",$AE49:$AF49)-1)),12)&amp;"개월"</f>
        <v>3년3개월</v>
      </c>
      <c r="AE49" s="33" t="s">
        <v>543</v>
      </c>
      <c r="AF49" s="34" t="str">
        <f ca="1">DATEDIF($L49,TODAY(),"y")&amp;"년"&amp;DATEDIF($L49,TODAY(),"ym")&amp;"개월"</f>
        <v>3년3개월</v>
      </c>
      <c r="AG49" s="35" t="s">
        <v>447</v>
      </c>
      <c r="AH49" s="35" t="s">
        <v>448</v>
      </c>
      <c r="AI49" s="30" t="s">
        <v>205</v>
      </c>
      <c r="AJ49" s="32">
        <v>44967</v>
      </c>
      <c r="AK49" s="36">
        <f ca="1">VALUE(LEFT($AD49,FIND("년",$AD49)-1))</f>
        <v>3</v>
      </c>
      <c r="AL49" s="31" t="b">
        <f>IF($ABN29="전문학사",IF($AK49&lt;=8,"초급",IF($AK49&lt;12,"중급",IF($AK49&lt;15,"고급",IF($AK49&gt;=15,"특급")))))</f>
        <v>0</v>
      </c>
      <c r="AM49" s="31" t="str">
        <f>IF(ISNUMBER(SEARCH("산업기사",$AT49)),IF($AK49&gt;=13,"특급",IF($AK49&gt;=10,"고급",IF($AK49&gt;=7,"중급","초급"))),IF(ISNUMBER(SEARCH("기사",$AR49)),IF($AK49&gt;=10,"특급",IF($AK49&gt;=7,"고급",IF($AK49&gt;=4,"중급","초급"))),"미해당"))</f>
        <v>미해당</v>
      </c>
      <c r="AN49" s="27"/>
      <c r="AO49" s="32"/>
      <c r="AP49" s="27"/>
      <c r="AQ49" s="32"/>
      <c r="AR49" s="27"/>
      <c r="AS49" s="27"/>
      <c r="AT49" s="37"/>
      <c r="AU49" s="27"/>
      <c r="AV49" s="38"/>
      <c r="AW49" s="39"/>
      <c r="AX49" s="39"/>
      <c r="AY49" s="40" t="s">
        <v>251</v>
      </c>
      <c r="AZ49" s="41" t="s">
        <v>252</v>
      </c>
      <c r="BA49" s="30" t="s">
        <v>230</v>
      </c>
      <c r="BB49" s="30" t="s">
        <v>839</v>
      </c>
      <c r="BC49" s="42" t="s">
        <v>254</v>
      </c>
      <c r="BD49" s="42" t="s">
        <v>840</v>
      </c>
      <c r="BE49" s="43" t="s">
        <v>841</v>
      </c>
      <c r="BF49" s="42" t="s">
        <v>234</v>
      </c>
      <c r="BG49" s="42" t="s">
        <v>672</v>
      </c>
      <c r="BH49" s="35"/>
      <c r="BI49" s="44" t="s">
        <v>842</v>
      </c>
      <c r="BJ49" s="45" t="str">
        <f>IFERROR(VLOOKUP($BG49,[1]프로젝트현황!Y:Z,2,0),"기타")</f>
        <v>서남권</v>
      </c>
      <c r="BK49" s="46" t="str">
        <f>(IF(BF49="","",BF49&amp;" "))&amp;(IF(BG49="","",BG49&amp;" "))&amp;(IF(BH49="","",BH49&amp;" "))&amp;BBN29</f>
        <v xml:space="preserve">경기도 김포시 </v>
      </c>
      <c r="BL49" s="47">
        <v>30</v>
      </c>
      <c r="BM49" s="47">
        <v>30</v>
      </c>
      <c r="BN49" s="48">
        <v>29200000</v>
      </c>
      <c r="BO49" s="48">
        <f>BP49*12</f>
        <v>29200027.200000003</v>
      </c>
      <c r="BP49" s="49">
        <f>SUM(BQ49:BS49)</f>
        <v>2433335.6</v>
      </c>
      <c r="BQ49" s="49">
        <f>ROUNDUP(BN49/12*209/(209+BU49*1.5)/BL49*BM49,-1)-BS49</f>
        <v>1968730</v>
      </c>
      <c r="BR49" s="49">
        <f>ROUNDUP(BN49/12*(BU49*1.5)/(209+BU49*1.5)/BL49*BM49,1)</f>
        <v>264605.59999999998</v>
      </c>
      <c r="BS49" s="49">
        <v>200000</v>
      </c>
      <c r="BT49" s="50">
        <v>209</v>
      </c>
      <c r="BU49" s="49">
        <f>IF($BN49="","",
IFERROR(
    IF($BN49&lt;'[1]시간외시간 기준표'!$B$2,0,
        IF($BN49&gt;LOOKUP(9.9E+307,'[1]시간외시간 기준표'!$B$2:$B$999),
            LOOKUP(9.9E+307,'[1]시간외시간 기준표'!$C$2:$C$999),
            LOOKUP($BN49,'[1]시간외시간 기준표'!$B$2:$B$999,'[1]시간외시간 기준표'!$C$2:$C$999)
        )
    ),0)
)</f>
        <v>17</v>
      </c>
      <c r="BV49" s="50">
        <f>(BQ49+BS49)/209</f>
        <v>10376.698564593302</v>
      </c>
      <c r="BW49" s="51">
        <v>30</v>
      </c>
      <c r="BX49" s="51">
        <v>30</v>
      </c>
      <c r="BY49" s="52">
        <v>29200000</v>
      </c>
      <c r="BZ49" s="52">
        <f>CA49*12</f>
        <v>29200072.799999997</v>
      </c>
      <c r="CA49" s="49">
        <f>SUM(CB49:CD49)</f>
        <v>2433339.4</v>
      </c>
      <c r="CB49" s="49">
        <f>ROUNDUP(BY49/12*209/(209+CF49*1.5)/BW49*BX49,-1)-CD49</f>
        <v>1927900</v>
      </c>
      <c r="CC49" s="49">
        <f>ROUNDUP(BY49/12*(CF49*1.5)/(209+CF49*1.5)/BW49*BX49,1)</f>
        <v>305439.39999999997</v>
      </c>
      <c r="CD49" s="49">
        <v>200000</v>
      </c>
      <c r="CE49" s="50">
        <v>209</v>
      </c>
      <c r="CF49" s="49">
        <f>IF(BY49&lt;26000000,0,IF(BY49&lt;26500000,4,IF(BY49&lt;27000000,7,IF(BY49&lt;27500000,9,IF(BY49&lt;28000000,11,IF(BY49&lt;28500000,15,IF(BY49&lt;29000000,17,IF(BY49&lt;29500000,20,IF(BY49&lt;30000000,23,IF(BY49&lt;30500000,25,IF(BY49&lt;31000000,27,IF(BY49&lt;31500000,29,IF(BY49&lt;32000000,33,IF(BY49&lt;32500000,37,IF(BY49&lt;33000000,39,IF(BY49&lt;33500000,42,IF(BY49&lt;34000000,45,IF(BY49&lt;34500000,48,IF(BY49&lt;35000000,52,52)))))))))))))))))))</f>
        <v>20</v>
      </c>
      <c r="CG49" s="50">
        <f>(CB49+CD49)/209</f>
        <v>10181.33971291866</v>
      </c>
      <c r="CH49" s="51">
        <v>30</v>
      </c>
      <c r="CI49" s="51">
        <v>30</v>
      </c>
      <c r="CJ49" s="52">
        <v>28400000</v>
      </c>
      <c r="CK49" s="52">
        <f>CL49*12</f>
        <v>0</v>
      </c>
      <c r="CL49" s="49">
        <f>SUM(CM49:CO49)</f>
        <v>0</v>
      </c>
      <c r="CM49" s="49">
        <f>ROUNDUP(CJ49/12*209/(209+CQ49*1.5)/CH49*CBN29,-1)-CO49</f>
        <v>-200000</v>
      </c>
      <c r="CN49" s="49">
        <f>ROUNDUP(CJ49/12*(CQ49*1.5)/(209+CQ49*1.5)/CH49*CBN29,1)</f>
        <v>0</v>
      </c>
      <c r="CO49" s="50">
        <v>200000</v>
      </c>
      <c r="CP49" s="50">
        <v>209</v>
      </c>
      <c r="CQ49" s="50">
        <f>IF(CJ49&lt;26000000,0,IF(CJ49&lt;26500000,4,IF(CJ49&lt;27000000,7,IF(CJ49&lt;27500000,9,IF(CJ49&lt;28000000,11,IF(CJ49&lt;28500000,15,IF(CJ49&lt;29000000,17,IF(CJ49&lt;29500000,20,IF(CJ49&lt;30000000,23,IF(CJ49&lt;30500000,25,IF(CJ49&lt;31000000,27,IF(CJ49&lt;31500000,29,IF(CJ49&lt;32000000,33,IF(CJ49&lt;32500000,37,IF(CJ49&lt;33000000,39,IF(CJ49&lt;33500000,42,IF(CJ49&lt;34000000,45,IF(CJ49&lt;34500000,48,IF(CJ49&lt;35000000,52,52)))))))))))))))))))</f>
        <v>15</v>
      </c>
      <c r="CR49" s="50">
        <f>(CM49+CO49)/209</f>
        <v>0</v>
      </c>
      <c r="CS49" s="52">
        <v>27000000</v>
      </c>
      <c r="CT49" s="53">
        <f>IFERROR(CS49/12,"")</f>
        <v>2250000</v>
      </c>
      <c r="CU49" s="53" t="str">
        <f>IFERROR(#REF!-CV49-CW49,"")</f>
        <v/>
      </c>
      <c r="CV49" s="53" t="str">
        <f>IFERROR(#REF!*(CY49*1.5)/(209+(CY49*1.5)),"")</f>
        <v/>
      </c>
      <c r="CW49" s="54">
        <v>200000</v>
      </c>
      <c r="CX49" s="54">
        <v>209</v>
      </c>
      <c r="CY49" s="54">
        <v>15</v>
      </c>
      <c r="CZ49" s="55">
        <f>SUM(CX49:CY49)</f>
        <v>224</v>
      </c>
      <c r="DA49" s="55" t="str">
        <f>IFERROR((CU49/209)+(CW49-(9620*209*0.01))/209,"")</f>
        <v/>
      </c>
      <c r="DB49" s="56" t="str">
        <f>IFERROR((CU49+CW49)/209,"")</f>
        <v/>
      </c>
      <c r="DC49" s="57">
        <v>2023</v>
      </c>
      <c r="DD49" s="58"/>
      <c r="DE49" s="58"/>
      <c r="DF49" s="57"/>
      <c r="DG49" s="59">
        <f>B49</f>
        <v>221009</v>
      </c>
      <c r="DH49" s="58"/>
      <c r="DI49" s="58"/>
      <c r="DJ49" s="60"/>
      <c r="DK49" s="58"/>
      <c r="DL49" s="61"/>
      <c r="DM49" s="24"/>
    </row>
    <row r="50" spans="1:117" ht="15" customHeight="1">
      <c r="A50" s="25">
        <f>ROW()-2</f>
        <v>48</v>
      </c>
      <c r="B50" s="26">
        <v>221101</v>
      </c>
      <c r="C50" s="27" t="s">
        <v>843</v>
      </c>
      <c r="D50" s="27" t="s">
        <v>844</v>
      </c>
      <c r="E50" s="27" t="s">
        <v>195</v>
      </c>
      <c r="F50" s="27" t="s">
        <v>196</v>
      </c>
      <c r="G50" s="27" t="s">
        <v>216</v>
      </c>
      <c r="H50" s="27" t="s">
        <v>198</v>
      </c>
      <c r="I50" s="27" t="s">
        <v>195</v>
      </c>
      <c r="J50" s="27" t="str">
        <f>+VLOOKUP($I50,[1]프로젝트현황!$I:$N,5,0)</f>
        <v>서울시</v>
      </c>
      <c r="K50" s="27" t="str">
        <f>+VLOOKUP($I50,[1]프로젝트현황!$I:$N,6,0)</f>
        <v>강남구</v>
      </c>
      <c r="L50" s="28">
        <v>44866</v>
      </c>
      <c r="M50" s="28">
        <v>44866</v>
      </c>
      <c r="N50" s="28"/>
      <c r="O50" s="29"/>
      <c r="P50" s="30"/>
      <c r="Q50" s="27" t="s">
        <v>845</v>
      </c>
      <c r="R50" s="31" t="str">
        <f>LEFT(Q50,6)</f>
        <v>761015</v>
      </c>
      <c r="S50" s="31" t="str">
        <f>MID($Q50,3,2)</f>
        <v>10</v>
      </c>
      <c r="T50" s="31" t="str">
        <f>IF(OR(MID($Q50,8,1)="1",MID($Q50,8,1)="3"),"남자",IF(OR(MID($Q50,8,1)="2",MID($Q50,8,1)="4"),"여자",""))</f>
        <v>남자</v>
      </c>
      <c r="U50" s="31">
        <f ca="1">YEAR(TODAY())-IF(OR(MID($Q50,8,1)="1",MID($Q50,8,1)="2"),19&amp;LEFT($Q50,2),IF(OR(MID($Q50,8,1)="3",MID($Q50,8,1)="4"),20&amp;LEFT($Q50,2),""))+1</f>
        <v>51</v>
      </c>
      <c r="V50" s="31" t="s">
        <v>200</v>
      </c>
      <c r="W50" s="31" t="s">
        <v>201</v>
      </c>
      <c r="X50" s="27" t="s">
        <v>846</v>
      </c>
      <c r="Y50" s="27"/>
      <c r="Z50" s="27" t="s">
        <v>222</v>
      </c>
      <c r="AA50" s="32">
        <v>45024</v>
      </c>
      <c r="AB50" s="31" t="s">
        <v>203</v>
      </c>
      <c r="AC50" s="27" t="s">
        <v>847</v>
      </c>
      <c r="AD50" s="33" t="str">
        <f ca="1">QUOTIENT(SUMPRODUCT(LEFT($AE50:$AF50,FIND("년",$AE50:$AF50)-1)*12+MID($AE50:$AF50,FIND("년",$AE50:$AF50)+1,FIND("개월",$AE50:$AF50)-FIND("년",$AE50:$AF50)-1)),12)&amp;"년"&amp;MOD(SUMPRODUCT(LEFT($AE50:$AF50,FIND("년",$AE50:$AF50)-1)*12+MID($AE50:$AF50,FIND("년",$AE50:$AF50)+1,FIND("개월",$AE50:$AF50)-FIND("년",$AE50:$AF50)-1)),12)&amp;"개월"</f>
        <v>22년10개월</v>
      </c>
      <c r="AE50" s="33" t="s">
        <v>848</v>
      </c>
      <c r="AF50" s="34" t="str">
        <f ca="1">DATEDIF($L50,TODAY(),"y")&amp;"년"&amp;DATEDIF($L50,TODAY(),"ym")&amp;"개월"</f>
        <v>3년3개월</v>
      </c>
      <c r="AG50" s="35" t="s">
        <v>849</v>
      </c>
      <c r="AH50" s="35" t="s">
        <v>850</v>
      </c>
      <c r="AI50" s="30" t="s">
        <v>270</v>
      </c>
      <c r="AJ50" s="32">
        <v>37673</v>
      </c>
      <c r="AK50" s="36">
        <f ca="1">VALUE(LEFT($AD50,FIND("년",$AD50)-1))</f>
        <v>22</v>
      </c>
      <c r="AL50" s="31" t="e">
        <f>IF(#REF!="학사",IF($AK50&lt;=5,"초급",IF($AK50&lt;9,"중급",IF($AK50&lt;12,"고급",IF($AK50&gt;=12,"특급")))))</f>
        <v>#REF!</v>
      </c>
      <c r="AM50" s="31" t="str">
        <f>IF(ISNUMBER(SEARCH("산업기사",$AT50)),IF($AK50&gt;=13,"특급",IF($AK50&gt;=10,"고급",IF($AK50&gt;=7,"중급","초급"))),IF(ISNUMBER(SEARCH("기사",$AR50)),IF($AK50&gt;=10,"특급",IF($AK50&gt;=7,"고급",IF($AK50&gt;=4,"중급","초급"))),"미해당"))</f>
        <v>미해당</v>
      </c>
      <c r="AN50" s="27"/>
      <c r="AO50" s="32"/>
      <c r="AP50" s="27"/>
      <c r="AQ50" s="32"/>
      <c r="AR50" s="27"/>
      <c r="AS50" s="27"/>
      <c r="AT50" s="37"/>
      <c r="AU50" s="27"/>
      <c r="AV50" s="38"/>
      <c r="AW50" s="39"/>
      <c r="AX50" s="39"/>
      <c r="AY50" s="40" t="s">
        <v>229</v>
      </c>
      <c r="AZ50" s="41" t="s">
        <v>229</v>
      </c>
      <c r="BA50" s="30" t="s">
        <v>230</v>
      </c>
      <c r="BB50" s="30" t="s">
        <v>851</v>
      </c>
      <c r="BC50" s="42" t="s">
        <v>208</v>
      </c>
      <c r="BD50" s="42" t="s">
        <v>852</v>
      </c>
      <c r="BE50" s="43" t="s">
        <v>853</v>
      </c>
      <c r="BF50" s="42" t="s">
        <v>211</v>
      </c>
      <c r="BG50" s="42" t="s">
        <v>718</v>
      </c>
      <c r="BH50" s="35"/>
      <c r="BI50" s="44" t="s">
        <v>854</v>
      </c>
      <c r="BJ50" s="45" t="str">
        <f>IFERROR(VLOOKUP($BG50,[1]프로젝트현황!Y:Z,2,0),"기타")</f>
        <v>동북권</v>
      </c>
      <c r="BK50" s="46" t="e">
        <f>(IF(BF50="","",BF50&amp;" "))&amp;(IF(BG50="","",BG50&amp;" "))&amp;(IF(BH50="","",BH50&amp;" "))&amp;#REF!</f>
        <v>#REF!</v>
      </c>
      <c r="BL50" s="47">
        <v>30</v>
      </c>
      <c r="BM50" s="47">
        <v>30</v>
      </c>
      <c r="BN50" s="48">
        <v>120000000</v>
      </c>
      <c r="BO50" s="48">
        <f>BP50*12</f>
        <v>120000000</v>
      </c>
      <c r="BP50" s="49">
        <f>BN50/12</f>
        <v>10000000</v>
      </c>
      <c r="BQ50" s="49">
        <f>BP50-BS50</f>
        <v>9800000</v>
      </c>
      <c r="BR50" s="49"/>
      <c r="BS50" s="49">
        <v>200000</v>
      </c>
      <c r="BT50" s="50"/>
      <c r="BU50" s="49">
        <f>IF($BN50="","",
IFERROR(
    IF($BN50&lt;'[1]시간외시간 기준표'!$B$2,0,
        IF($BN50&gt;LOOKUP(9.9E+307,'[1]시간외시간 기준표'!$B$2:$B$999),
            LOOKUP(9.9E+307,'[1]시간외시간 기준표'!$C$2:$C$999),
            LOOKUP($BN50,'[1]시간외시간 기준표'!$B$2:$B$999,'[1]시간외시간 기준표'!$C$2:$C$999)
        )
    ),0)
)</f>
        <v>52</v>
      </c>
      <c r="BV50" s="50">
        <f>(BQ50+BS50)/209</f>
        <v>47846.889952153113</v>
      </c>
      <c r="BW50" s="51">
        <v>30</v>
      </c>
      <c r="BX50" s="51">
        <v>30</v>
      </c>
      <c r="BY50" s="52">
        <v>120000000</v>
      </c>
      <c r="BZ50" s="52">
        <f>CA50*12</f>
        <v>120000000</v>
      </c>
      <c r="CA50" s="49">
        <f>BY50/12</f>
        <v>10000000</v>
      </c>
      <c r="CB50" s="49">
        <f>CA50-CD50</f>
        <v>9800000</v>
      </c>
      <c r="CC50" s="49"/>
      <c r="CD50" s="49">
        <v>200000</v>
      </c>
      <c r="CE50" s="50"/>
      <c r="CF50" s="49"/>
      <c r="CG50" s="50">
        <f>(CB50+CD50)/209</f>
        <v>47846.889952153113</v>
      </c>
      <c r="CH50" s="51">
        <v>30</v>
      </c>
      <c r="CI50" s="51">
        <v>30</v>
      </c>
      <c r="CJ50" s="52">
        <v>0</v>
      </c>
      <c r="CK50" s="52" t="e">
        <f>CL50*12</f>
        <v>#REF!</v>
      </c>
      <c r="CL50" s="49" t="e">
        <f>SUM(CM50:CO50)</f>
        <v>#REF!</v>
      </c>
      <c r="CM50" s="49" t="e">
        <f>ROUNDUP(CJ50/12*209/(209+CQ50*1.5)/CH50*#REF!,-1)-CO50</f>
        <v>#REF!</v>
      </c>
      <c r="CN50" s="49" t="e">
        <f>ROUNDUP(CJ50/12*(CQ50*1.5)/(209+CQ50*1.5)/CH50*#REF!,1)</f>
        <v>#REF!</v>
      </c>
      <c r="CO50" s="50">
        <v>200000</v>
      </c>
      <c r="CP50" s="50">
        <v>209</v>
      </c>
      <c r="CQ50" s="50">
        <f>IF(CJ50&lt;26000000,0,IF(CJ50&lt;26500000,4,IF(CJ50&lt;27000000,7,IF(CJ50&lt;27500000,9,IF(CJ50&lt;28000000,11,IF(CJ50&lt;28500000,15,IF(CJ50&lt;29000000,17,IF(CJ50&lt;29500000,20,IF(CJ50&lt;30000000,23,IF(CJ50&lt;30500000,25,IF(CJ50&lt;31000000,27,IF(CJ50&lt;31500000,29,IF(CJ50&lt;32000000,33,IF(CJ50&lt;32500000,37,IF(CJ50&lt;33000000,39,IF(CJ50&lt;33500000,42,IF(CJ50&lt;34000000,45,IF(CJ50&lt;34500000,48,IF(CJ50&lt;35000000,52,52)))))))))))))))))))</f>
        <v>0</v>
      </c>
      <c r="CR50" s="50" t="e">
        <f>(CM50+CO50)/209</f>
        <v>#REF!</v>
      </c>
      <c r="CS50" s="52"/>
      <c r="CT50" s="53">
        <f>IFERROR(CS50/12,"")</f>
        <v>0</v>
      </c>
      <c r="CU50" s="53">
        <f>IFERROR(CT50-CV50-CW50,"")</f>
        <v>0</v>
      </c>
      <c r="CV50" s="53">
        <f>IFERROR(CT50*(CY50*1.5)/(209+(CY50*1.5)),"")</f>
        <v>0</v>
      </c>
      <c r="CW50" s="54"/>
      <c r="CX50" s="54"/>
      <c r="CY50" s="54"/>
      <c r="CZ50" s="55">
        <f>SUM(CX50:CY50)</f>
        <v>0</v>
      </c>
      <c r="DA50" s="55">
        <f>IFERROR((CU50/209)+(CW50-(9620*209*0.01))/209,"")</f>
        <v>-96.2</v>
      </c>
      <c r="DB50" s="56">
        <f>IFERROR((CU50+CW50)/209,"")</f>
        <v>0</v>
      </c>
      <c r="DC50" s="57">
        <v>2023</v>
      </c>
      <c r="DD50" s="58"/>
      <c r="DE50" s="58"/>
      <c r="DF50" s="57"/>
      <c r="DG50" s="59">
        <f>B50</f>
        <v>221101</v>
      </c>
      <c r="DH50" s="58"/>
      <c r="DI50" s="58"/>
      <c r="DJ50" s="60"/>
      <c r="DK50" s="58"/>
      <c r="DL50" s="61"/>
      <c r="DM50" s="24"/>
    </row>
    <row r="51" spans="1:117" ht="15" customHeight="1">
      <c r="A51" s="25">
        <f>ROW()-2</f>
        <v>49</v>
      </c>
      <c r="B51" s="26">
        <v>221204</v>
      </c>
      <c r="C51" s="27" t="s">
        <v>855</v>
      </c>
      <c r="D51" s="27"/>
      <c r="E51" s="27" t="s">
        <v>239</v>
      </c>
      <c r="F51" s="27" t="s">
        <v>196</v>
      </c>
      <c r="G51" s="27" t="s">
        <v>493</v>
      </c>
      <c r="H51" s="27" t="s">
        <v>494</v>
      </c>
      <c r="I51" s="27" t="s">
        <v>494</v>
      </c>
      <c r="J51" s="27" t="str">
        <f>+VLOOKUP($I51,[1]프로젝트현황!$I:$N,5,0)</f>
        <v>서울시</v>
      </c>
      <c r="K51" s="27" t="str">
        <f>+VLOOKUP($I51,[1]프로젝트현황!$I:$N,6,0)</f>
        <v>강남구</v>
      </c>
      <c r="L51" s="28">
        <v>44914</v>
      </c>
      <c r="M51" s="28">
        <v>44914</v>
      </c>
      <c r="N51" s="28"/>
      <c r="O51" s="29"/>
      <c r="P51" s="30" t="s">
        <v>856</v>
      </c>
      <c r="Q51" s="27" t="s">
        <v>857</v>
      </c>
      <c r="R51" s="31" t="str">
        <f>LEFT(Q51,6)</f>
        <v>921026</v>
      </c>
      <c r="S51" s="31" t="str">
        <f>MID($Q51,3,2)</f>
        <v>10</v>
      </c>
      <c r="T51" s="31" t="str">
        <f>IF(OR(MID($Q51,8,1)="1",MID($Q51,8,1)="3"),"남자",IF(OR(MID($Q51,8,1)="2",MID($Q51,8,1)="4"),"여자",""))</f>
        <v>여자</v>
      </c>
      <c r="U51" s="31">
        <f ca="1">YEAR(TODAY())-IF(OR(MID($Q51,8,1)="1",MID($Q51,8,1)="2"),19&amp;LEFT($Q51,2),IF(OR(MID($Q51,8,1)="3",MID($Q51,8,1)="4"),20&amp;LEFT($Q51,2),""))+1</f>
        <v>35</v>
      </c>
      <c r="V51" s="31" t="s">
        <v>200</v>
      </c>
      <c r="W51" s="31" t="s">
        <v>201</v>
      </c>
      <c r="X51" s="27" t="s">
        <v>858</v>
      </c>
      <c r="Y51" s="27"/>
      <c r="Z51" s="27"/>
      <c r="AA51" s="32"/>
      <c r="AB51" s="31" t="s">
        <v>203</v>
      </c>
      <c r="AC51" s="27"/>
      <c r="AD51" s="33" t="str">
        <f ca="1">QUOTIENT(SUMPRODUCT(LEFT($AE51:$AF51,FIND("년",$AE51:$AF51)-1)*12+MID($AE51:$AF51,FIND("년",$AE51:$AF51)+1,FIND("개월",$AE51:$AF51)-FIND("년",$AE51:$AF51)-1)),12)&amp;"년"&amp;MOD(SUMPRODUCT(LEFT($AE51:$AF51,FIND("년",$AE51:$AF51)-1)*12+MID($AE51:$AF51,FIND("년",$AE51:$AF51)+1,FIND("개월",$AE51:$AF51)-FIND("년",$AE51:$AF51)-1)),12)&amp;"개월"</f>
        <v>3년1개월</v>
      </c>
      <c r="AE51" s="33" t="s">
        <v>543</v>
      </c>
      <c r="AF51" s="34" t="str">
        <f ca="1">DATEDIF($L51,TODAY(),"y")&amp;"년"&amp;DATEDIF($L51,TODAY(),"ym")&amp;"개월"</f>
        <v>3년1개월</v>
      </c>
      <c r="AG51" s="35" t="s">
        <v>691</v>
      </c>
      <c r="AH51" s="35" t="s">
        <v>859</v>
      </c>
      <c r="AI51" s="30" t="s">
        <v>270</v>
      </c>
      <c r="AJ51" s="32">
        <v>42788</v>
      </c>
      <c r="AK51" s="36">
        <f ca="1">VALUE(LEFT($AD51,FIND("년",$AD51)-1))</f>
        <v>3</v>
      </c>
      <c r="AL51" s="31" t="b">
        <f>IF($ABN31="학사",IF($AK51&lt;=5,"초급",IF($AK51&lt;9,"중급",IF($AK51&lt;12,"고급",IF($AK51&gt;=12,"특급")))))</f>
        <v>0</v>
      </c>
      <c r="AM51" s="31" t="str">
        <f>IF(ISNUMBER(SEARCH("산업기사",$AT51)),IF($AK51&gt;=13,"특급",IF($AK51&gt;=10,"고급",IF($AK51&gt;=7,"중급","초급"))),IF(ISNUMBER(SEARCH("기사",$AR51)),IF($AK51&gt;=10,"특급",IF($AK51&gt;=7,"고급",IF($AK51&gt;=4,"중급","초급"))),"미해당"))</f>
        <v>미해당</v>
      </c>
      <c r="AN51" s="27"/>
      <c r="AO51" s="32"/>
      <c r="AP51" s="27"/>
      <c r="AQ51" s="32"/>
      <c r="AR51" s="27"/>
      <c r="AS51" s="32"/>
      <c r="AT51" s="37"/>
      <c r="AU51" s="27"/>
      <c r="AV51" s="38"/>
      <c r="AW51" s="39"/>
      <c r="AX51" s="39"/>
      <c r="AY51" s="40" t="s">
        <v>251</v>
      </c>
      <c r="AZ51" s="41" t="s">
        <v>252</v>
      </c>
      <c r="BA51" s="30" t="s">
        <v>230</v>
      </c>
      <c r="BB51" s="30" t="s">
        <v>860</v>
      </c>
      <c r="BC51" s="42" t="s">
        <v>254</v>
      </c>
      <c r="BD51" s="42" t="s">
        <v>861</v>
      </c>
      <c r="BE51" s="43" t="s">
        <v>862</v>
      </c>
      <c r="BF51" s="42" t="s">
        <v>234</v>
      </c>
      <c r="BG51" s="42" t="s">
        <v>863</v>
      </c>
      <c r="BH51" s="35"/>
      <c r="BI51" s="44" t="s">
        <v>864</v>
      </c>
      <c r="BJ51" s="45" t="str">
        <f>IFERROR(VLOOKUP($BG51,[1]프로젝트현황!Y:Z,2,0),"기타")</f>
        <v>동북권</v>
      </c>
      <c r="BK51" s="46" t="str">
        <f>(IF(BF51="","",BF51&amp;" "))&amp;(IF(BG51="","",BG51&amp;" "))&amp;(IF(BH51="","",BH51&amp;" "))&amp;BBN31</f>
        <v xml:space="preserve">경기도 남양주시 </v>
      </c>
      <c r="BL51" s="47">
        <v>30</v>
      </c>
      <c r="BM51" s="47">
        <v>30</v>
      </c>
      <c r="BN51" s="48">
        <v>36000000</v>
      </c>
      <c r="BO51" s="48">
        <f>BP51*12</f>
        <v>36000013.200000003</v>
      </c>
      <c r="BP51" s="49">
        <f>SUM(BQ51:BS51)</f>
        <v>3000001.1</v>
      </c>
      <c r="BQ51" s="49">
        <f>ROUNDUP(BN51/12*209/(209+BU51*1.5)/BL51*BM51,-1)-BS51</f>
        <v>1984670</v>
      </c>
      <c r="BR51" s="49">
        <f>ROUNDUP(BN51/12*(BU51*1.5)/(209+BU51*1.5)/BL51*BM51,1)</f>
        <v>815331.1</v>
      </c>
      <c r="BS51" s="49">
        <v>200000</v>
      </c>
      <c r="BT51" s="50">
        <v>209</v>
      </c>
      <c r="BU51" s="49">
        <f>IF($BN51="","",
IFERROR(
    IF($BN51&lt;'[1]시간외시간 기준표'!$B$2,0,
        IF($BN51&gt;LOOKUP(9.9E+307,'[1]시간외시간 기준표'!$B$2:$B$999),
            LOOKUP(9.9E+307,'[1]시간외시간 기준표'!$C$2:$C$999),
            LOOKUP($BN51,'[1]시간외시간 기준표'!$B$2:$B$999,'[1]시간외시간 기준표'!$C$2:$C$999)
        )
    ),0)
)</f>
        <v>52</v>
      </c>
      <c r="BV51" s="50">
        <f>(BQ51+BS51)/209</f>
        <v>10452.966507177034</v>
      </c>
      <c r="BW51" s="51">
        <v>30</v>
      </c>
      <c r="BX51" s="51">
        <v>30</v>
      </c>
      <c r="BY51" s="52">
        <v>36000000</v>
      </c>
      <c r="BZ51" s="52">
        <f>CA51*12</f>
        <v>36000013.200000003</v>
      </c>
      <c r="CA51" s="49">
        <f>SUM(CB51:CD51)</f>
        <v>3000001.1</v>
      </c>
      <c r="CB51" s="49">
        <f>ROUNDUP(BY51/12*209/(209+CF51*1.5)/BW51*BX51,-1)-CD51</f>
        <v>1984670</v>
      </c>
      <c r="CC51" s="49">
        <f>ROUNDUP(BY51/12*(CF51*1.5)/(209+CF51*1.5)/BW51*BX51,1)</f>
        <v>815331.1</v>
      </c>
      <c r="CD51" s="49">
        <v>200000</v>
      </c>
      <c r="CE51" s="50">
        <v>209</v>
      </c>
      <c r="CF51" s="49">
        <f>IF(BY51&lt;26000000,0,IF(BY51&lt;26500000,4,IF(BY51&lt;27000000,7,IF(BY51&lt;27500000,9,IF(BY51&lt;28000000,11,IF(BY51&lt;28500000,15,IF(BY51&lt;29000000,17,IF(BY51&lt;29500000,20,IF(BY51&lt;30000000,23,IF(BY51&lt;30500000,25,IF(BY51&lt;31000000,27,IF(BY51&lt;31500000,29,IF(BY51&lt;32000000,33,IF(BY51&lt;32500000,37,IF(BY51&lt;33000000,39,IF(BY51&lt;33500000,42,IF(BY51&lt;34000000,45,IF(BY51&lt;34500000,48,IF(BY51&lt;35000000,52,52)))))))))))))))))))</f>
        <v>52</v>
      </c>
      <c r="CG51" s="50">
        <f>(CB51+CD51)/209</f>
        <v>10452.966507177034</v>
      </c>
      <c r="CH51" s="51">
        <v>30</v>
      </c>
      <c r="CI51" s="51">
        <v>30</v>
      </c>
      <c r="CJ51" s="52">
        <v>31200000</v>
      </c>
      <c r="CK51" s="52">
        <f>CL51*12</f>
        <v>0</v>
      </c>
      <c r="CL51" s="49">
        <f>SUM(CM51:CO51)</f>
        <v>0</v>
      </c>
      <c r="CM51" s="49">
        <f>ROUNDUP(CJ51/12*209/(209+CQ51*1.5)/CH51*CBN31,-1)-CO51</f>
        <v>-200000</v>
      </c>
      <c r="CN51" s="49">
        <f>ROUNDUP(CJ51/12*(CQ51*1.5)/(209+CQ51*1.5)/CH51*CBN31,1)</f>
        <v>0</v>
      </c>
      <c r="CO51" s="50">
        <v>200000</v>
      </c>
      <c r="CP51" s="50">
        <v>209</v>
      </c>
      <c r="CQ51" s="50">
        <f>IF(CJ51&lt;26000000,0,IF(CJ51&lt;26500000,4,IF(CJ51&lt;27000000,7,IF(CJ51&lt;27500000,9,IF(CJ51&lt;28000000,11,IF(CJ51&lt;28500000,15,IF(CJ51&lt;29000000,17,IF(CJ51&lt;29500000,20,IF(CJ51&lt;30000000,23,IF(CJ51&lt;30500000,25,IF(CJ51&lt;31000000,27,IF(CJ51&lt;31500000,29,IF(CJ51&lt;32000000,33,IF(CJ51&lt;32500000,37,IF(CJ51&lt;33000000,39,IF(CJ51&lt;33500000,42,IF(CJ51&lt;34000000,45,IF(CJ51&lt;34500000,48,IF(CJ51&lt;35000000,52,52)))))))))))))))))))</f>
        <v>29</v>
      </c>
      <c r="CR51" s="50">
        <f>(CM51+CO51)/209</f>
        <v>0</v>
      </c>
      <c r="CS51" s="52">
        <v>30000000</v>
      </c>
      <c r="CT51" s="53">
        <f>IFERROR(CS51/12,"")</f>
        <v>2500000</v>
      </c>
      <c r="CU51" s="53">
        <f>IFERROR(CT51-CV51-CW51,"")</f>
        <v>1833073.9299610895</v>
      </c>
      <c r="CV51" s="53">
        <f>IFERROR(CT51*(CY51*1.5)/(209+(CY51*1.5)),"")</f>
        <v>466926.07003891049</v>
      </c>
      <c r="CW51" s="54">
        <v>200000</v>
      </c>
      <c r="CX51" s="54">
        <v>209</v>
      </c>
      <c r="CY51" s="54">
        <v>32</v>
      </c>
      <c r="CZ51" s="55">
        <f>SUM(CX51:CY51)</f>
        <v>241</v>
      </c>
      <c r="DA51" s="55">
        <f>IFERROR((CU51/209)+(CW51-(9620*209*0.01))/209,"")</f>
        <v>9631.4264591439678</v>
      </c>
      <c r="DB51" s="56">
        <f>IFERROR((CU51+CW51)/209,"")</f>
        <v>9727.6264591439685</v>
      </c>
      <c r="DC51" s="57">
        <v>2023</v>
      </c>
      <c r="DD51" s="58"/>
      <c r="DE51" s="58"/>
      <c r="DF51" s="57"/>
      <c r="DG51" s="59">
        <f>B51</f>
        <v>221204</v>
      </c>
      <c r="DH51" s="58"/>
      <c r="DI51" s="58"/>
      <c r="DJ51" s="60"/>
      <c r="DK51" s="58"/>
      <c r="DL51" s="61"/>
      <c r="DM51" s="24"/>
    </row>
    <row r="52" spans="1:117" ht="15" customHeight="1">
      <c r="A52" s="25">
        <f>ROW()-2</f>
        <v>50</v>
      </c>
      <c r="B52" s="26">
        <v>230102</v>
      </c>
      <c r="C52" s="27" t="s">
        <v>865</v>
      </c>
      <c r="D52" s="27"/>
      <c r="E52" s="27" t="s">
        <v>613</v>
      </c>
      <c r="F52" s="27" t="s">
        <v>196</v>
      </c>
      <c r="G52" s="27" t="s">
        <v>240</v>
      </c>
      <c r="H52" s="27" t="s">
        <v>260</v>
      </c>
      <c r="I52" s="27" t="s">
        <v>866</v>
      </c>
      <c r="J52" s="27" t="str">
        <f>+VLOOKUP($I52,[1]프로젝트현황!$I:$N,5,0)</f>
        <v>서울시</v>
      </c>
      <c r="K52" s="27" t="str">
        <f>+VLOOKUP($I52,[1]프로젝트현황!$I:$N,6,0)</f>
        <v>구로구</v>
      </c>
      <c r="L52" s="28">
        <v>44928</v>
      </c>
      <c r="M52" s="28">
        <v>44928</v>
      </c>
      <c r="N52" s="28"/>
      <c r="O52" s="29"/>
      <c r="P52" s="30" t="s">
        <v>867</v>
      </c>
      <c r="Q52" s="27" t="s">
        <v>868</v>
      </c>
      <c r="R52" s="31" t="str">
        <f>LEFT(Q52,6)</f>
        <v>970613</v>
      </c>
      <c r="S52" s="31" t="str">
        <f>MID($Q52,3,2)</f>
        <v>06</v>
      </c>
      <c r="T52" s="31" t="str">
        <f>IF(OR(MID($Q52,8,1)="1",MID($Q52,8,1)="3"),"남자",IF(OR(MID($Q52,8,1)="2",MID($Q52,8,1)="4"),"여자",""))</f>
        <v>여자</v>
      </c>
      <c r="U52" s="31">
        <f ca="1">YEAR(TODAY())-IF(OR(MID($Q52,8,1)="1",MID($Q52,8,1)="2"),19&amp;LEFT($Q52,2),IF(OR(MID($Q52,8,1)="3",MID($Q52,8,1)="4"),20&amp;LEFT($Q52,2),""))+1</f>
        <v>30</v>
      </c>
      <c r="V52" s="31" t="s">
        <v>200</v>
      </c>
      <c r="W52" s="31" t="s">
        <v>201</v>
      </c>
      <c r="X52" s="27" t="s">
        <v>869</v>
      </c>
      <c r="Y52" s="27"/>
      <c r="Z52" s="27"/>
      <c r="AA52" s="32"/>
      <c r="AB52" s="31" t="s">
        <v>203</v>
      </c>
      <c r="AC52" s="27"/>
      <c r="AD52" s="33" t="str">
        <f ca="1">QUOTIENT(SUMPRODUCT(LEFT($AE52:$AF52,FIND("년",$AE52:$AF52)-1)*12+MID($AE52:$AF52,FIND("년",$AE52:$AF52)+1,FIND("개월",$AE52:$AF52)-FIND("년",$AE52:$AF52)-1)),12)&amp;"년"&amp;MOD(SUMPRODUCT(LEFT($AE52:$AF52,FIND("년",$AE52:$AF52)-1)*12+MID($AE52:$AF52,FIND("년",$AE52:$AF52)+1,FIND("개월",$AE52:$AF52)-FIND("년",$AE52:$AF52)-1)),12)&amp;"개월"</f>
        <v>3년1개월</v>
      </c>
      <c r="AE52" s="33" t="s">
        <v>543</v>
      </c>
      <c r="AF52" s="34" t="str">
        <f ca="1">DATEDIF($L52,TODAY(),"y")&amp;"년"&amp;DATEDIF($L52,TODAY(),"ym")&amp;"개월"</f>
        <v>3년1개월</v>
      </c>
      <c r="AG52" s="35" t="s">
        <v>870</v>
      </c>
      <c r="AH52" s="35" t="s">
        <v>871</v>
      </c>
      <c r="AI52" s="30" t="s">
        <v>205</v>
      </c>
      <c r="AJ52" s="32">
        <v>43496</v>
      </c>
      <c r="AK52" s="36">
        <f ca="1">VALUE(LEFT($AD52,FIND("년",$AD52)-1))</f>
        <v>3</v>
      </c>
      <c r="AL52" s="31" t="b">
        <f>IF($ABN32="전문학사",IF($AK52&lt;=8,"초급",IF($AK52&lt;12,"중급",IF($AK52&lt;15,"고급",IF($AK52&gt;=15,"특급")))))</f>
        <v>0</v>
      </c>
      <c r="AM52" s="31" t="str">
        <f>IF(ISNUMBER(SEARCH("산업기사",$AT52)),IF($AK52&gt;=13,"특급",IF($AK52&gt;=10,"고급",IF($AK52&gt;=7,"중급","초급"))),IF(ISNUMBER(SEARCH("기사",$AR52)),IF($AK52&gt;=10,"특급",IF($AK52&gt;=7,"고급",IF($AK52&gt;=4,"중급","초급"))),"미해당"))</f>
        <v>미해당</v>
      </c>
      <c r="AN52" s="27"/>
      <c r="AO52" s="32"/>
      <c r="AP52" s="27" t="s">
        <v>137</v>
      </c>
      <c r="AQ52" s="32">
        <v>45589</v>
      </c>
      <c r="AR52" s="27"/>
      <c r="AS52" s="27"/>
      <c r="AT52" s="37"/>
      <c r="AU52" s="27"/>
      <c r="AV52" s="38"/>
      <c r="AW52" s="39"/>
      <c r="AX52" s="39"/>
      <c r="AY52" s="40" t="s">
        <v>251</v>
      </c>
      <c r="AZ52" s="41" t="s">
        <v>252</v>
      </c>
      <c r="BA52" s="30" t="s">
        <v>230</v>
      </c>
      <c r="BB52" s="30" t="s">
        <v>872</v>
      </c>
      <c r="BC52" s="42" t="s">
        <v>254</v>
      </c>
      <c r="BD52" s="42" t="s">
        <v>873</v>
      </c>
      <c r="BE52" s="43" t="s">
        <v>874</v>
      </c>
      <c r="BF52" s="42" t="s">
        <v>211</v>
      </c>
      <c r="BG52" s="42" t="s">
        <v>875</v>
      </c>
      <c r="BH52" s="35"/>
      <c r="BI52" s="44" t="s">
        <v>876</v>
      </c>
      <c r="BJ52" s="45" t="str">
        <f>IFERROR(VLOOKUP($BG52,[1]프로젝트현황!Y:Z,2,0),"기타")</f>
        <v>서남권</v>
      </c>
      <c r="BK52" s="46" t="str">
        <f>(IF(BF52="","",BF52&amp;" "))&amp;(IF(BG52="","",BG52&amp;" "))&amp;(IF(BH52="","",BH52&amp;" "))&amp;BBN32</f>
        <v xml:space="preserve">서울시 양천구 </v>
      </c>
      <c r="BL52" s="47">
        <v>30</v>
      </c>
      <c r="BM52" s="47">
        <v>30</v>
      </c>
      <c r="BN52" s="48">
        <v>27900000</v>
      </c>
      <c r="BO52" s="48">
        <f>BP52*12</f>
        <v>27900024</v>
      </c>
      <c r="BP52" s="49">
        <f>SUM(BQ52:BS52)</f>
        <v>2325002</v>
      </c>
      <c r="BQ52" s="49">
        <f>ROUNDUP(BN52/12*209/(209+BU52*1.5)/BL52*BM52,-1)-BS52</f>
        <v>1969310</v>
      </c>
      <c r="BR52" s="49">
        <f>ROUNDUP(BN52/12*(BU52*1.5)/(209+BU52*1.5)/BL52*BM52,1)</f>
        <v>155692</v>
      </c>
      <c r="BS52" s="49">
        <v>200000</v>
      </c>
      <c r="BT52" s="50">
        <v>209</v>
      </c>
      <c r="BU52" s="49">
        <f>IF($BN52="","",
IFERROR(
    IF($BN52&lt;'[1]시간외시간 기준표'!$B$2,0,
        IF($BN52&gt;LOOKUP(9.9E+307,'[1]시간외시간 기준표'!$B$2:$B$999),
            LOOKUP(9.9E+307,'[1]시간외시간 기준표'!$C$2:$C$999),
            LOOKUP($BN52,'[1]시간외시간 기준표'!$B$2:$B$999,'[1]시간외시간 기준표'!$C$2:$C$999)
        )
    ),0)
)</f>
        <v>10</v>
      </c>
      <c r="BV52" s="50">
        <f>(BQ52+BS52)/209</f>
        <v>10379.473684210527</v>
      </c>
      <c r="BW52" s="51">
        <v>30</v>
      </c>
      <c r="BX52" s="51">
        <v>30</v>
      </c>
      <c r="BY52" s="52">
        <v>27900000</v>
      </c>
      <c r="BZ52" s="52">
        <f>CA52*12</f>
        <v>27900024</v>
      </c>
      <c r="CA52" s="49">
        <f>SUM(CB52:CD52)</f>
        <v>2325002</v>
      </c>
      <c r="CB52" s="49">
        <f>ROUNDUP(BY52/12*209/(209+CF52*1.5)/BW52*BX52,-1)-CD52</f>
        <v>1954880</v>
      </c>
      <c r="CC52" s="49">
        <f>ROUNDUP(BY52/12*(CF52*1.5)/(209+CF52*1.5)/BW52*BX52,1)</f>
        <v>170122</v>
      </c>
      <c r="CD52" s="49">
        <v>200000</v>
      </c>
      <c r="CE52" s="50">
        <v>209</v>
      </c>
      <c r="CF52" s="49">
        <f>IF(BY52&lt;26000000,0,IF(BY52&lt;26500000,4,IF(BY52&lt;27000000,7,IF(BY52&lt;27500000,9,IF(BY52&lt;28000000,11,IF(BY52&lt;28500000,15,IF(BY52&lt;29000000,17,IF(BY52&lt;29500000,20,IF(BY52&lt;30000000,23,IF(BY52&lt;30500000,25,IF(BY52&lt;31000000,27,IF(BY52&lt;31500000,29,IF(BY52&lt;32000000,33,IF(BY52&lt;32500000,37,IF(BY52&lt;33000000,39,IF(BY52&lt;33500000,42,IF(BY52&lt;34000000,45,IF(BY52&lt;34500000,48,IF(BY52&lt;35000000,52,52)))))))))))))))))))</f>
        <v>11</v>
      </c>
      <c r="CG52" s="50">
        <f>(CB52+CD52)/209</f>
        <v>10310.43062200957</v>
      </c>
      <c r="CH52" s="51">
        <v>30</v>
      </c>
      <c r="CI52" s="51">
        <v>30</v>
      </c>
      <c r="CJ52" s="52">
        <v>27100000</v>
      </c>
      <c r="CK52" s="52">
        <f>CL52*12</f>
        <v>0</v>
      </c>
      <c r="CL52" s="49">
        <f>SUM(CM52:CO52)</f>
        <v>0</v>
      </c>
      <c r="CM52" s="49">
        <f>ROUNDUP(CJ52/12*209/(209+CQ52*1.5)/CH52*CBN32,-1)-CO52</f>
        <v>-200000</v>
      </c>
      <c r="CN52" s="49">
        <f>ROUNDUP(CJ52/12*(CQ52*1.5)/(209+CQ52*1.5)/CH52*CBN32,1)</f>
        <v>0</v>
      </c>
      <c r="CO52" s="50">
        <v>200000</v>
      </c>
      <c r="CP52" s="50">
        <v>209</v>
      </c>
      <c r="CQ52" s="50">
        <f>IF(CJ52&lt;26000000,0,IF(CJ52&lt;26500000,4,IF(CJ52&lt;27000000,7,IF(CJ52&lt;27500000,9,IF(CJ52&lt;28000000,11,IF(CJ52&lt;28500000,15,IF(CJ52&lt;29000000,17,IF(CJ52&lt;29500000,20,IF(CJ52&lt;30000000,23,IF(CJ52&lt;30500000,25,IF(CJ52&lt;31000000,27,IF(CJ52&lt;31500000,29,IF(CJ52&lt;32000000,33,IF(CJ52&lt;32500000,37,IF(CJ52&lt;33000000,39,IF(CJ52&lt;33500000,42,IF(CJ52&lt;34000000,45,IF(CJ52&lt;34500000,48,IF(CJ52&lt;35000000,52,52)))))))))))))))))))</f>
        <v>9</v>
      </c>
      <c r="CR52" s="50">
        <f>(CM52+CO52)/209</f>
        <v>0</v>
      </c>
      <c r="CS52" s="52">
        <v>26000000</v>
      </c>
      <c r="CT52" s="53">
        <f>IFERROR(CS52/12,"")</f>
        <v>2166666.6666666665</v>
      </c>
      <c r="CU52" s="53">
        <f>IFERROR(CT52-CV52-CW52,"")</f>
        <v>1835205.9925093632</v>
      </c>
      <c r="CV52" s="53">
        <f>IFERROR(CT52*(CY52*1.5)/(209+(CY52*1.5)),"")</f>
        <v>131460.67415730335</v>
      </c>
      <c r="CW52" s="54">
        <v>200000</v>
      </c>
      <c r="CX52" s="54">
        <v>209</v>
      </c>
      <c r="CY52" s="54">
        <v>9</v>
      </c>
      <c r="CZ52" s="55">
        <f>SUM(CX52:CY52)</f>
        <v>218</v>
      </c>
      <c r="DA52" s="55">
        <f>IFERROR((CU52/209)+(CW52-(9620*209*0.01))/209,"")</f>
        <v>9641.627715355804</v>
      </c>
      <c r="DB52" s="56">
        <f>IFERROR((CU52+CW52)/209,"")</f>
        <v>9737.8277153558047</v>
      </c>
      <c r="DC52" s="57">
        <v>2023</v>
      </c>
      <c r="DD52" s="58"/>
      <c r="DE52" s="58"/>
      <c r="DF52" s="57"/>
      <c r="DG52" s="59">
        <f>B52</f>
        <v>230102</v>
      </c>
      <c r="DH52" s="58"/>
      <c r="DI52" s="58"/>
      <c r="DJ52" s="60"/>
      <c r="DK52" s="58"/>
      <c r="DL52" s="61"/>
      <c r="DM52" s="24"/>
    </row>
    <row r="53" spans="1:117" ht="15" customHeight="1">
      <c r="A53" s="25">
        <f>ROW()-2</f>
        <v>51</v>
      </c>
      <c r="B53" s="26">
        <v>230105</v>
      </c>
      <c r="C53" s="27" t="s">
        <v>877</v>
      </c>
      <c r="D53" s="27"/>
      <c r="E53" s="27" t="s">
        <v>283</v>
      </c>
      <c r="F53" s="27" t="s">
        <v>196</v>
      </c>
      <c r="G53" s="27" t="s">
        <v>240</v>
      </c>
      <c r="H53" s="27" t="s">
        <v>241</v>
      </c>
      <c r="I53" s="27" t="s">
        <v>653</v>
      </c>
      <c r="J53" s="27" t="str">
        <f>+VLOOKUP($I53,[1]프로젝트현황!$I:$N,5,0)</f>
        <v>서울시</v>
      </c>
      <c r="K53" s="27" t="str">
        <f>+VLOOKUP($I53,[1]프로젝트현황!$I:$N,6,0)</f>
        <v>강남구</v>
      </c>
      <c r="L53" s="28">
        <v>44951</v>
      </c>
      <c r="M53" s="28">
        <v>44951</v>
      </c>
      <c r="N53" s="28"/>
      <c r="O53" s="29"/>
      <c r="P53" s="30" t="s">
        <v>878</v>
      </c>
      <c r="Q53" s="27" t="s">
        <v>879</v>
      </c>
      <c r="R53" s="31" t="str">
        <f>LEFT(Q53,6)</f>
        <v>900607</v>
      </c>
      <c r="S53" s="31" t="str">
        <f>MID($Q53,3,2)</f>
        <v>06</v>
      </c>
      <c r="T53" s="31" t="str">
        <f>IF(OR(MID($Q53,8,1)="1",MID($Q53,8,1)="3"),"남자",IF(OR(MID($Q53,8,1)="2",MID($Q53,8,1)="4"),"여자",""))</f>
        <v>남자</v>
      </c>
      <c r="U53" s="31">
        <f ca="1">YEAR(TODAY())-IF(OR(MID($Q53,8,1)="1",MID($Q53,8,1)="2"),19&amp;LEFT($Q53,2),IF(OR(MID($Q53,8,1)="3",MID($Q53,8,1)="4"),20&amp;LEFT($Q53,2),""))+1</f>
        <v>37</v>
      </c>
      <c r="V53" s="31" t="s">
        <v>200</v>
      </c>
      <c r="W53" s="31" t="s">
        <v>201</v>
      </c>
      <c r="X53" s="27" t="s">
        <v>880</v>
      </c>
      <c r="Y53" s="27"/>
      <c r="Z53" s="27" t="s">
        <v>266</v>
      </c>
      <c r="AA53" s="32"/>
      <c r="AB53" s="31" t="s">
        <v>203</v>
      </c>
      <c r="AC53" s="27"/>
      <c r="AD53" s="33" t="str">
        <f ca="1">QUOTIENT(SUMPRODUCT(LEFT($AE53:$AF53,FIND("년",$AE53:$AF53)-1)*12+MID($AE53:$AF53,FIND("년",$AE53:$AF53)+1,FIND("개월",$AE53:$AF53)-FIND("년",$AE53:$AF53)-1)),12)&amp;"년"&amp;MOD(SUMPRODUCT(LEFT($AE53:$AF53,FIND("년",$AE53:$AF53)-1)*12+MID($AE53:$AF53,FIND("년",$AE53:$AF53)+1,FIND("개월",$AE53:$AF53)-FIND("년",$AE53:$AF53)-1)),12)&amp;"개월"</f>
        <v>10년8개월</v>
      </c>
      <c r="AE53" s="33" t="s">
        <v>881</v>
      </c>
      <c r="AF53" s="34" t="str">
        <f ca="1">DATEDIF($L53,TODAY(),"y")&amp;"년"&amp;DATEDIF($L53,TODAY(),"ym")&amp;"개월"</f>
        <v>3년0개월</v>
      </c>
      <c r="AG53" s="35" t="s">
        <v>882</v>
      </c>
      <c r="AH53" s="35" t="s">
        <v>702</v>
      </c>
      <c r="AI53" s="30" t="s">
        <v>270</v>
      </c>
      <c r="AJ53" s="32">
        <v>42045</v>
      </c>
      <c r="AK53" s="36">
        <f ca="1">VALUE(LEFT($AD53,FIND("년",$AD53)-1))</f>
        <v>10</v>
      </c>
      <c r="AL53" s="31" t="b">
        <f>IF($ABN33="학사",IF($AK53&lt;=5,"초급",IF($AK53&lt;9,"중급",IF($AK53&lt;12,"고급",IF($AK53&gt;=12,"특급")))))</f>
        <v>0</v>
      </c>
      <c r="AM53" s="31" t="str">
        <f>IF(ISNUMBER(SEARCH("산업기사",$AT53)),IF($AK53&gt;=13,"특급",IF($AK53&gt;=10,"고급",IF($AK53&gt;=7,"중급","초급"))),IF(ISNUMBER(SEARCH("기사",$AR53)),IF($AK53&gt;=10,"특급",IF($AK53&gt;=7,"고급",IF($AK53&gt;=4,"중급","초급"))),"미해당"))</f>
        <v>미해당</v>
      </c>
      <c r="AN53" s="27"/>
      <c r="AO53" s="32"/>
      <c r="AP53" s="27" t="s">
        <v>137</v>
      </c>
      <c r="AQ53" s="32">
        <v>42423</v>
      </c>
      <c r="AR53" s="27"/>
      <c r="AS53" s="27"/>
      <c r="AT53" s="37"/>
      <c r="AU53" s="27"/>
      <c r="AV53" s="38"/>
      <c r="AW53" s="39" t="s">
        <v>645</v>
      </c>
      <c r="AX53" s="39" t="s">
        <v>883</v>
      </c>
      <c r="AY53" s="40" t="s">
        <v>251</v>
      </c>
      <c r="AZ53" s="41" t="s">
        <v>252</v>
      </c>
      <c r="BA53" s="30" t="s">
        <v>230</v>
      </c>
      <c r="BB53" s="30" t="s">
        <v>884</v>
      </c>
      <c r="BC53" s="42" t="s">
        <v>275</v>
      </c>
      <c r="BD53" s="42" t="s">
        <v>885</v>
      </c>
      <c r="BE53" s="43" t="s">
        <v>886</v>
      </c>
      <c r="BF53" s="42" t="s">
        <v>234</v>
      </c>
      <c r="BG53" s="42" t="s">
        <v>887</v>
      </c>
      <c r="BH53" s="35" t="s">
        <v>888</v>
      </c>
      <c r="BI53" s="44" t="s">
        <v>889</v>
      </c>
      <c r="BJ53" s="45" t="str">
        <f>IFERROR(VLOOKUP($BG53,[1]프로젝트현황!Y:Z,2,0),"기타")</f>
        <v>동남권</v>
      </c>
      <c r="BK53" s="46" t="str">
        <f>(IF(BF53="","",BF53&amp;" "))&amp;(IF(BG53="","",BG53&amp;" "))&amp;(IF(BH53="","",BH53&amp;" "))&amp;BBN33</f>
        <v xml:space="preserve">경기도 용인시 수지구 </v>
      </c>
      <c r="BL53" s="47">
        <v>30</v>
      </c>
      <c r="BM53" s="47">
        <v>30</v>
      </c>
      <c r="BN53" s="48">
        <v>39450000</v>
      </c>
      <c r="BO53" s="48">
        <f>BP53*12</f>
        <v>39450082.799999997</v>
      </c>
      <c r="BP53" s="49">
        <f>SUM(BQ53:BS53)</f>
        <v>3287506.9</v>
      </c>
      <c r="BQ53" s="49">
        <f>ROUNDUP(BN53/12*209/(209+BU53*1.5)/BL53*BM53,-1)-BS53</f>
        <v>2194040</v>
      </c>
      <c r="BR53" s="49">
        <f>ROUNDUP(BN53/12*(BU53*1.5)/(209+BU53*1.5)/BL53*BM53,1)</f>
        <v>893466.9</v>
      </c>
      <c r="BS53" s="49">
        <v>200000</v>
      </c>
      <c r="BT53" s="50">
        <v>209</v>
      </c>
      <c r="BU53" s="49">
        <f>IF($BN53="","",
IFERROR(
    IF($BN53&lt;'[1]시간외시간 기준표'!$B$2,0,
        IF($BN53&gt;LOOKUP(9.9E+307,'[1]시간외시간 기준표'!$B$2:$B$999),
            LOOKUP(9.9E+307,'[1]시간외시간 기준표'!$C$2:$C$999),
            LOOKUP($BN53,'[1]시간외시간 기준표'!$B$2:$B$999,'[1]시간외시간 기준표'!$C$2:$C$999)
        )
    ),0)
)</f>
        <v>52</v>
      </c>
      <c r="BV53" s="50">
        <f>(BQ53+BS53)/209</f>
        <v>11454.736842105263</v>
      </c>
      <c r="BW53" s="51">
        <v>30</v>
      </c>
      <c r="BX53" s="51">
        <v>30</v>
      </c>
      <c r="BY53" s="52">
        <v>39450000</v>
      </c>
      <c r="BZ53" s="52">
        <f>CA53*12</f>
        <v>39450082.799999997</v>
      </c>
      <c r="CA53" s="49">
        <f>SUM(CB53:CD53)</f>
        <v>3287506.9</v>
      </c>
      <c r="CB53" s="49">
        <f>ROUNDUP(BY53/12*209/(209+CF53*1.5)/BW53*BX53,-1)-CD53</f>
        <v>2194040</v>
      </c>
      <c r="CC53" s="49">
        <f>ROUNDUP(BY53/12*(CF53*1.5)/(209+CF53*1.5)/BW53*BX53,1)</f>
        <v>893466.9</v>
      </c>
      <c r="CD53" s="49">
        <v>200000</v>
      </c>
      <c r="CE53" s="50">
        <v>209</v>
      </c>
      <c r="CF53" s="49">
        <f>IF(BY53&lt;26000000,0,IF(BY53&lt;26500000,4,IF(BY53&lt;27000000,7,IF(BY53&lt;27500000,9,IF(BY53&lt;28000000,11,IF(BY53&lt;28500000,15,IF(BY53&lt;29000000,17,IF(BY53&lt;29500000,20,IF(BY53&lt;30000000,23,IF(BY53&lt;30500000,25,IF(BY53&lt;31000000,27,IF(BY53&lt;31500000,29,IF(BY53&lt;32000000,33,IF(BY53&lt;32500000,37,IF(BY53&lt;33000000,39,IF(BY53&lt;33500000,42,IF(BY53&lt;34000000,45,IF(BY53&lt;34500000,48,IF(BY53&lt;35000000,52,52)))))))))))))))))))</f>
        <v>52</v>
      </c>
      <c r="CG53" s="50">
        <f>(CB53+CD53)/209</f>
        <v>11454.736842105263</v>
      </c>
      <c r="CH53" s="51">
        <v>30</v>
      </c>
      <c r="CI53" s="51">
        <v>30</v>
      </c>
      <c r="CJ53" s="52">
        <v>38650000</v>
      </c>
      <c r="CK53" s="52">
        <f>CL53*12</f>
        <v>0</v>
      </c>
      <c r="CL53" s="49">
        <f>SUM(CM53:CO53)</f>
        <v>0</v>
      </c>
      <c r="CM53" s="49">
        <f>ROUNDUP(CJ53/12*209/(209+CQ53*1.5)/CH53*CBN33,-1)-CO53</f>
        <v>-200000</v>
      </c>
      <c r="CN53" s="49">
        <f>ROUNDUP(CJ53/12*(CQ53*1.5)/(209+CQ53*1.5)/CH53*CBN33,1)</f>
        <v>0</v>
      </c>
      <c r="CO53" s="50">
        <v>200000</v>
      </c>
      <c r="CP53" s="50">
        <v>209</v>
      </c>
      <c r="CQ53" s="50">
        <f>IF(CJ53&lt;26000000,0,IF(CJ53&lt;26500000,4,IF(CJ53&lt;27000000,7,IF(CJ53&lt;27500000,9,IF(CJ53&lt;28000000,11,IF(CJ53&lt;28500000,15,IF(CJ53&lt;29000000,17,IF(CJ53&lt;29500000,20,IF(CJ53&lt;30000000,23,IF(CJ53&lt;30500000,25,IF(CJ53&lt;31000000,27,IF(CJ53&lt;31500000,29,IF(CJ53&lt;32000000,33,IF(CJ53&lt;32500000,37,IF(CJ53&lt;33000000,39,IF(CJ53&lt;33500000,42,IF(CJ53&lt;34000000,45,IF(CJ53&lt;34500000,48,IF(CJ53&lt;35000000,52,52)))))))))))))))))))</f>
        <v>52</v>
      </c>
      <c r="CR53" s="50">
        <f>(CM53+CO53)/209</f>
        <v>0</v>
      </c>
      <c r="CS53" s="52">
        <v>37000000</v>
      </c>
      <c r="CT53" s="53">
        <f>IFERROR(CS53/12,"")</f>
        <v>3083333.3333333335</v>
      </c>
      <c r="CU53" s="53">
        <f>IFERROR(CT53-CV53-CW53,"")</f>
        <v>2045354.2392566781</v>
      </c>
      <c r="CV53" s="53">
        <f>IFERROR(CT53*(CY53*1.5)/(209+(CY53*1.5)),"")</f>
        <v>837979.09407665511</v>
      </c>
      <c r="CW53" s="54">
        <v>200000</v>
      </c>
      <c r="CX53" s="54">
        <v>209</v>
      </c>
      <c r="CY53" s="54">
        <v>52</v>
      </c>
      <c r="CZ53" s="55">
        <f>SUM(CX53:CY53)</f>
        <v>261</v>
      </c>
      <c r="DA53" s="55">
        <f>IFERROR((CU53/209)+(CW53-(9620*209*0.01))/209,"")</f>
        <v>10647.121718931474</v>
      </c>
      <c r="DB53" s="56">
        <f>IFERROR((CU53+CW53)/209,"")</f>
        <v>10743.321718931475</v>
      </c>
      <c r="DC53" s="57">
        <v>2023</v>
      </c>
      <c r="DD53" s="58"/>
      <c r="DE53" s="58"/>
      <c r="DF53" s="57"/>
      <c r="DG53" s="59">
        <f>B53</f>
        <v>230105</v>
      </c>
      <c r="DH53" s="58"/>
      <c r="DI53" s="58"/>
      <c r="DJ53" s="60"/>
      <c r="DK53" s="58"/>
      <c r="DL53" s="61"/>
      <c r="DM53" s="24"/>
    </row>
    <row r="54" spans="1:117" ht="15" customHeight="1">
      <c r="A54" s="25">
        <f>ROW()-2</f>
        <v>52</v>
      </c>
      <c r="B54" s="26">
        <v>230201</v>
      </c>
      <c r="C54" s="27" t="s">
        <v>890</v>
      </c>
      <c r="D54" s="27"/>
      <c r="E54" s="27" t="s">
        <v>613</v>
      </c>
      <c r="F54" s="27" t="s">
        <v>196</v>
      </c>
      <c r="G54" s="27" t="s">
        <v>240</v>
      </c>
      <c r="H54" s="27" t="s">
        <v>241</v>
      </c>
      <c r="I54" s="27" t="s">
        <v>538</v>
      </c>
      <c r="J54" s="27" t="str">
        <f>+VLOOKUP($I54,[1]프로젝트현황!$I:$N,5,0)</f>
        <v>서울시</v>
      </c>
      <c r="K54" s="27" t="str">
        <f>+VLOOKUP($I54,[1]프로젝트현황!$I:$N,6,0)</f>
        <v>금천구</v>
      </c>
      <c r="L54" s="28">
        <v>44958</v>
      </c>
      <c r="M54" s="28">
        <v>44958</v>
      </c>
      <c r="N54" s="28"/>
      <c r="O54" s="29"/>
      <c r="P54" s="30" t="s">
        <v>891</v>
      </c>
      <c r="Q54" s="27" t="s">
        <v>892</v>
      </c>
      <c r="R54" s="31" t="str">
        <f>LEFT(Q54,6)</f>
        <v>041221</v>
      </c>
      <c r="S54" s="31" t="str">
        <f>MID($Q54,3,2)</f>
        <v>12</v>
      </c>
      <c r="T54" s="31" t="str">
        <f>IF(OR(MID($Q54,8,1)="1",MID($Q54,8,1)="3"),"남자",IF(OR(MID($Q54,8,1)="2",MID($Q54,8,1)="4"),"여자",""))</f>
        <v>여자</v>
      </c>
      <c r="U54" s="31">
        <f ca="1">YEAR(TODAY())-IF(OR(MID($Q54,8,1)="1",MID($Q54,8,1)="2"),19&amp;LEFT($Q54,2),IF(OR(MID($Q54,8,1)="3",MID($Q54,8,1)="4"),20&amp;LEFT($Q54,2),""))+1</f>
        <v>23</v>
      </c>
      <c r="V54" s="31" t="s">
        <v>200</v>
      </c>
      <c r="W54" s="31" t="s">
        <v>201</v>
      </c>
      <c r="X54" s="27" t="s">
        <v>893</v>
      </c>
      <c r="Y54" s="27"/>
      <c r="Z54" s="27"/>
      <c r="AA54" s="32"/>
      <c r="AB54" s="31" t="s">
        <v>203</v>
      </c>
      <c r="AC54" s="27"/>
      <c r="AD54" s="33" t="str">
        <f ca="1">QUOTIENT(SUMPRODUCT(LEFT($AE54:$AF54,FIND("년",$AE54:$AF54)-1)*12+MID($AE54:$AF54,FIND("년",$AE54:$AF54)+1,FIND("개월",$AE54:$AF54)-FIND("년",$AE54:$AF54)-1)),12)&amp;"년"&amp;MOD(SUMPRODUCT(LEFT($AE54:$AF54,FIND("년",$AE54:$AF54)-1)*12+MID($AE54:$AF54,FIND("년",$AE54:$AF54)+1,FIND("개월",$AE54:$AF54)-FIND("년",$AE54:$AF54)-1)),12)&amp;"개월"</f>
        <v>3년0개월</v>
      </c>
      <c r="AE54" s="33" t="s">
        <v>543</v>
      </c>
      <c r="AF54" s="34" t="str">
        <f ca="1">DATEDIF($L54,TODAY(),"y")&amp;"년"&amp;DATEDIF($L54,TODAY(),"ym")&amp;"개월"</f>
        <v>3년0개월</v>
      </c>
      <c r="AG54" s="35" t="s">
        <v>894</v>
      </c>
      <c r="AH54" s="35" t="s">
        <v>895</v>
      </c>
      <c r="AI54" s="30" t="s">
        <v>365</v>
      </c>
      <c r="AJ54" s="32">
        <v>44936</v>
      </c>
      <c r="AK54" s="36">
        <f ca="1">VALUE(LEFT($AD54,FIND("년",$AD54)-1))</f>
        <v>3</v>
      </c>
      <c r="AL54" s="31" t="b">
        <f>IF($ABN34="고졸",IF($AK54&lt;=11,"초급",IF($AK54&lt;=14,"중급",IF($AK54&lt;=17,"고급",IF($AK54&gt;=18,"특급")))))</f>
        <v>0</v>
      </c>
      <c r="AM54" s="31" t="str">
        <f>IF(ISNUMBER(SEARCH("산업기사",$AT54)),IF($AK54&gt;=13,"특급",IF($AK54&gt;=10,"고급",IF($AK54&gt;=7,"중급","초급"))),IF(ISNUMBER(SEARCH("기사",$AR54)),IF($AK54&gt;=10,"특급",IF($AK54&gt;=7,"고급",IF($AK54&gt;=4,"중급","초급"))),"미해당"))</f>
        <v>미해당</v>
      </c>
      <c r="AN54" s="27"/>
      <c r="AO54" s="32"/>
      <c r="AP54" s="27"/>
      <c r="AQ54" s="32"/>
      <c r="AR54" s="27"/>
      <c r="AS54" s="27"/>
      <c r="AT54" s="37"/>
      <c r="AU54" s="27"/>
      <c r="AV54" s="38"/>
      <c r="AW54" s="39"/>
      <c r="AX54" s="39"/>
      <c r="AY54" s="40" t="s">
        <v>251</v>
      </c>
      <c r="AZ54" s="41" t="s">
        <v>252</v>
      </c>
      <c r="BA54" s="30" t="s">
        <v>230</v>
      </c>
      <c r="BB54" s="30" t="s">
        <v>896</v>
      </c>
      <c r="BC54" s="42" t="s">
        <v>254</v>
      </c>
      <c r="BD54" s="42" t="s">
        <v>897</v>
      </c>
      <c r="BE54" s="43" t="s">
        <v>898</v>
      </c>
      <c r="BF54" s="42" t="s">
        <v>211</v>
      </c>
      <c r="BG54" s="42" t="s">
        <v>899</v>
      </c>
      <c r="BH54" s="35"/>
      <c r="BI54" s="44" t="s">
        <v>900</v>
      </c>
      <c r="BJ54" s="45" t="str">
        <f>IFERROR(VLOOKUP($BG54,[1]프로젝트현황!Y:Z,2,0),"기타")</f>
        <v>서남권</v>
      </c>
      <c r="BK54" s="46" t="str">
        <f>(IF(BF54="","",BF54&amp;" "))&amp;(IF(BG54="","",BG54&amp;" "))&amp;(IF(BH54="","",BH54&amp;" "))&amp;BBN34</f>
        <v xml:space="preserve">서울시 동작구 </v>
      </c>
      <c r="BL54" s="47">
        <v>30</v>
      </c>
      <c r="BM54" s="47">
        <v>30</v>
      </c>
      <c r="BN54" s="48">
        <v>27900000</v>
      </c>
      <c r="BO54" s="48">
        <f>BP54*12</f>
        <v>27900024</v>
      </c>
      <c r="BP54" s="49">
        <f>SUM(BQ54:BS54)</f>
        <v>2325002</v>
      </c>
      <c r="BQ54" s="49">
        <f>ROUNDUP(BN54/12*209/(209+BU54*1.5)/BL54*BM54,-1)-BS54</f>
        <v>1969310</v>
      </c>
      <c r="BR54" s="49">
        <f>ROUNDUP(BN54/12*(BU54*1.5)/(209+BU54*1.5)/BL54*BM54,1)</f>
        <v>155692</v>
      </c>
      <c r="BS54" s="49">
        <v>200000</v>
      </c>
      <c r="BT54" s="50">
        <v>209</v>
      </c>
      <c r="BU54" s="49">
        <f>IF($BN54="","",
IFERROR(
    IF($BN54&lt;'[1]시간외시간 기준표'!$B$2,0,
        IF($BN54&gt;LOOKUP(9.9E+307,'[1]시간외시간 기준표'!$B$2:$B$999),
            LOOKUP(9.9E+307,'[1]시간외시간 기준표'!$C$2:$C$999),
            LOOKUP($BN54,'[1]시간외시간 기준표'!$B$2:$B$999,'[1]시간외시간 기준표'!$C$2:$C$999)
        )
    ),0)
)</f>
        <v>10</v>
      </c>
      <c r="BV54" s="50">
        <f>(BQ54+BS54)/209</f>
        <v>10379.473684210527</v>
      </c>
      <c r="BW54" s="51">
        <v>30</v>
      </c>
      <c r="BX54" s="51">
        <v>30</v>
      </c>
      <c r="BY54" s="52">
        <v>27900000</v>
      </c>
      <c r="BZ54" s="52">
        <f>CA54*12</f>
        <v>27900024</v>
      </c>
      <c r="CA54" s="49">
        <f>SUM(CB54:CD54)</f>
        <v>2325002</v>
      </c>
      <c r="CB54" s="49">
        <f>ROUNDUP(BY54/12*209/(209+CF54*1.5)/BW54*BX54,-1)-CD54</f>
        <v>1954880</v>
      </c>
      <c r="CC54" s="49">
        <f>ROUNDUP(BY54/12*(CF54*1.5)/(209+CF54*1.5)/BW54*BX54,1)</f>
        <v>170122</v>
      </c>
      <c r="CD54" s="49">
        <v>200000</v>
      </c>
      <c r="CE54" s="50">
        <v>209</v>
      </c>
      <c r="CF54" s="49">
        <f>IF(BY54&lt;26000000,0,IF(BY54&lt;26500000,4,IF(BY54&lt;27000000,7,IF(BY54&lt;27500000,9,IF(BY54&lt;28000000,11,IF(BY54&lt;28500000,15,IF(BY54&lt;29000000,17,IF(BY54&lt;29500000,20,IF(BY54&lt;30000000,23,IF(BY54&lt;30500000,25,IF(BY54&lt;31000000,27,IF(BY54&lt;31500000,29,IF(BY54&lt;32000000,33,IF(BY54&lt;32500000,37,IF(BY54&lt;33000000,39,IF(BY54&lt;33500000,42,IF(BY54&lt;34000000,45,IF(BY54&lt;34500000,48,IF(BY54&lt;35000000,52,52)))))))))))))))))))</f>
        <v>11</v>
      </c>
      <c r="CG54" s="50">
        <f>(CB54+CD54)/209</f>
        <v>10310.43062200957</v>
      </c>
      <c r="CH54" s="51">
        <v>30</v>
      </c>
      <c r="CI54" s="51">
        <v>30</v>
      </c>
      <c r="CJ54" s="52">
        <v>27100000</v>
      </c>
      <c r="CK54" s="52">
        <f>CL54*12</f>
        <v>0</v>
      </c>
      <c r="CL54" s="49">
        <f>SUM(CM54:CO54)</f>
        <v>0</v>
      </c>
      <c r="CM54" s="49">
        <f>ROUNDUP(CJ54/12*209/(209+CQ54*1.5)/CH54*CBN34,-1)-CO54</f>
        <v>-200000</v>
      </c>
      <c r="CN54" s="49">
        <f>ROUNDUP(CJ54/12*(CQ54*1.5)/(209+CQ54*1.5)/CH54*CBN34,1)</f>
        <v>0</v>
      </c>
      <c r="CO54" s="50">
        <v>200000</v>
      </c>
      <c r="CP54" s="50">
        <v>209</v>
      </c>
      <c r="CQ54" s="50">
        <f>IF(CJ54&lt;26000000,0,IF(CJ54&lt;26500000,4,IF(CJ54&lt;27000000,7,IF(CJ54&lt;27500000,9,IF(CJ54&lt;28000000,11,IF(CJ54&lt;28500000,15,IF(CJ54&lt;29000000,17,IF(CJ54&lt;29500000,20,IF(CJ54&lt;30000000,23,IF(CJ54&lt;30500000,25,IF(CJ54&lt;31000000,27,IF(CJ54&lt;31500000,29,IF(CJ54&lt;32000000,33,IF(CJ54&lt;32500000,37,IF(CJ54&lt;33000000,39,IF(CJ54&lt;33500000,42,IF(CJ54&lt;34000000,45,IF(CJ54&lt;34500000,48,IF(CJ54&lt;35000000,52,52)))))))))))))))))))</f>
        <v>9</v>
      </c>
      <c r="CR54" s="50">
        <f>(CM54+CO54)/209</f>
        <v>0</v>
      </c>
      <c r="CS54" s="52">
        <v>26000000</v>
      </c>
      <c r="CT54" s="53">
        <f>IFERROR(CS54/12,"")</f>
        <v>2166666.6666666665</v>
      </c>
      <c r="CU54" s="53">
        <f>IFERROR(CT54-CV54-CW54,"")</f>
        <v>1835205.9925093632</v>
      </c>
      <c r="CV54" s="53">
        <f>IFERROR(CT54*(CY54*1.5)/(209+(CY54*1.5)),"")</f>
        <v>131460.67415730335</v>
      </c>
      <c r="CW54" s="54">
        <v>200000</v>
      </c>
      <c r="CX54" s="54">
        <v>209</v>
      </c>
      <c r="CY54" s="54">
        <v>9</v>
      </c>
      <c r="CZ54" s="55">
        <f>SUM(CX54:CY54)</f>
        <v>218</v>
      </c>
      <c r="DA54" s="55">
        <f>IFERROR((CU54/209)+(CW54-(9620*209*0.01))/209,"")</f>
        <v>9641.627715355804</v>
      </c>
      <c r="DB54" s="56">
        <f>IFERROR((CU54+CW54)/209,"")</f>
        <v>9737.8277153558047</v>
      </c>
      <c r="DC54" s="57">
        <v>2023</v>
      </c>
      <c r="DD54" s="58"/>
      <c r="DE54" s="58"/>
      <c r="DF54" s="57"/>
      <c r="DG54" s="59">
        <f>B54</f>
        <v>230201</v>
      </c>
      <c r="DH54" s="58"/>
      <c r="DI54" s="58"/>
      <c r="DJ54" s="60"/>
      <c r="DK54" s="58"/>
      <c r="DL54" s="61"/>
      <c r="DM54" s="24"/>
    </row>
    <row r="55" spans="1:117" ht="15" customHeight="1">
      <c r="A55" s="25">
        <f>ROW()-2</f>
        <v>53</v>
      </c>
      <c r="B55" s="26">
        <v>230204</v>
      </c>
      <c r="C55" s="27" t="s">
        <v>901</v>
      </c>
      <c r="D55" s="27"/>
      <c r="E55" s="27" t="s">
        <v>239</v>
      </c>
      <c r="F55" s="27" t="s">
        <v>196</v>
      </c>
      <c r="G55" s="27" t="s">
        <v>240</v>
      </c>
      <c r="H55" s="27" t="s">
        <v>260</v>
      </c>
      <c r="I55" s="27" t="s">
        <v>902</v>
      </c>
      <c r="J55" s="27" t="str">
        <f>+VLOOKUP($I55,[1]프로젝트현황!$I:$N,5,0)</f>
        <v>서울시</v>
      </c>
      <c r="K55" s="27" t="str">
        <f>+VLOOKUP($I55,[1]프로젝트현황!$I:$N,6,0)</f>
        <v>종로구</v>
      </c>
      <c r="L55" s="28">
        <v>44958</v>
      </c>
      <c r="M55" s="28">
        <v>44958</v>
      </c>
      <c r="N55" s="28"/>
      <c r="O55" s="29"/>
      <c r="P55" s="30" t="s">
        <v>903</v>
      </c>
      <c r="Q55" s="58" t="s">
        <v>904</v>
      </c>
      <c r="R55" s="31" t="str">
        <f>LEFT(Q55,6)</f>
        <v>011016</v>
      </c>
      <c r="S55" s="31" t="str">
        <f>MID($Q55,3,2)</f>
        <v>10</v>
      </c>
      <c r="T55" s="31" t="str">
        <f>IF(OR(MID($Q55,8,1)="1",MID($Q55,8,1)="3"),"남자",IF(OR(MID($Q55,8,1)="2",MID($Q55,8,1)="4"),"여자",""))</f>
        <v>여자</v>
      </c>
      <c r="U55" s="31">
        <f ca="1">YEAR(TODAY())-IF(OR(MID($Q55,8,1)="1",MID($Q55,8,1)="2"),19&amp;LEFT($Q55,2),IF(OR(MID($Q55,8,1)="3",MID($Q55,8,1)="4"),20&amp;LEFT($Q55,2),""))+1</f>
        <v>26</v>
      </c>
      <c r="V55" s="31" t="s">
        <v>200</v>
      </c>
      <c r="W55" s="31" t="s">
        <v>201</v>
      </c>
      <c r="X55" s="27" t="s">
        <v>905</v>
      </c>
      <c r="Y55" s="27"/>
      <c r="Z55" s="27"/>
      <c r="AA55" s="32"/>
      <c r="AB55" s="31" t="s">
        <v>203</v>
      </c>
      <c r="AC55" s="27"/>
      <c r="AD55" s="33" t="str">
        <f ca="1">QUOTIENT(SUMPRODUCT(LEFT($AE55:$AF55,FIND("년",$AE55:$AF55)-1)*12+MID($AE55:$AF55,FIND("년",$AE55:$AF55)+1,FIND("개월",$AE55:$AF55)-FIND("년",$AE55:$AF55)-1)),12)&amp;"년"&amp;MOD(SUMPRODUCT(LEFT($AE55:$AF55,FIND("년",$AE55:$AF55)-1)*12+MID($AE55:$AF55,FIND("년",$AE55:$AF55)+1,FIND("개월",$AE55:$AF55)-FIND("년",$AE55:$AF55)-1)),12)&amp;"개월"</f>
        <v>3년0개월</v>
      </c>
      <c r="AE55" s="33" t="s">
        <v>543</v>
      </c>
      <c r="AF55" s="34" t="str">
        <f ca="1">DATEDIF($L55,TODAY(),"y")&amp;"년"&amp;DATEDIF($L55,TODAY(),"ym")&amp;"개월"</f>
        <v>3년0개월</v>
      </c>
      <c r="AG55" s="35" t="s">
        <v>906</v>
      </c>
      <c r="AH55" s="35" t="s">
        <v>907</v>
      </c>
      <c r="AI55" s="30" t="s">
        <v>270</v>
      </c>
      <c r="AJ55" s="32">
        <v>45338</v>
      </c>
      <c r="AK55" s="36">
        <f ca="1">VALUE(LEFT($AD55,FIND("년",$AD55)-1))</f>
        <v>3</v>
      </c>
      <c r="AL55" s="31" t="e">
        <f>IF(#REF!="학사",IF($AK55&lt;=5,"초급",IF($AK55&lt;9,"중급",IF($AK55&lt;12,"고급",IF($AK55&gt;=12,"특급")))))</f>
        <v>#REF!</v>
      </c>
      <c r="AM55" s="31" t="str">
        <f>IF(ISNUMBER(SEARCH("산업기사",$AT55)),IF($AK55&gt;=13,"특급",IF($AK55&gt;=10,"고급",IF($AK55&gt;=7,"중급","초급"))),IF(ISNUMBER(SEARCH("기사",$AR55)),IF($AK55&gt;=10,"특급",IF($AK55&gt;=7,"고급",IF($AK55&gt;=4,"중급","초급"))),"미해당"))</f>
        <v>미해당</v>
      </c>
      <c r="AN55" s="27"/>
      <c r="AO55" s="32"/>
      <c r="AP55" s="27"/>
      <c r="AQ55" s="32"/>
      <c r="AR55" s="27"/>
      <c r="AS55" s="27"/>
      <c r="AT55" s="37"/>
      <c r="AU55" s="27"/>
      <c r="AV55" s="38"/>
      <c r="AW55" s="39"/>
      <c r="AX55" s="39"/>
      <c r="AY55" s="40" t="s">
        <v>251</v>
      </c>
      <c r="AZ55" s="41" t="s">
        <v>252</v>
      </c>
      <c r="BA55" s="30" t="s">
        <v>230</v>
      </c>
      <c r="BB55" s="30" t="s">
        <v>908</v>
      </c>
      <c r="BC55" s="42" t="s">
        <v>254</v>
      </c>
      <c r="BD55" s="42" t="s">
        <v>909</v>
      </c>
      <c r="BE55" s="43" t="s">
        <v>910</v>
      </c>
      <c r="BF55" s="42" t="s">
        <v>578</v>
      </c>
      <c r="BG55" s="42" t="s">
        <v>911</v>
      </c>
      <c r="BH55" s="35"/>
      <c r="BI55" s="44" t="s">
        <v>912</v>
      </c>
      <c r="BJ55" s="45" t="str">
        <f>IFERROR(VLOOKUP($BG55,[1]프로젝트현황!Y:Z,2,0),"기타")</f>
        <v>서남권</v>
      </c>
      <c r="BK55" s="46" t="e">
        <f>(IF(BF55="","",BF55&amp;" "))&amp;(IF(BG55="","",BG55&amp;" "))&amp;(IF(BH55="","",BH55&amp;" "))&amp;#REF!</f>
        <v>#REF!</v>
      </c>
      <c r="BL55" s="47">
        <v>30</v>
      </c>
      <c r="BM55" s="47">
        <v>30</v>
      </c>
      <c r="BN55" s="48">
        <v>30600000</v>
      </c>
      <c r="BO55" s="48">
        <f>BP55*12</f>
        <v>30600013.200000003</v>
      </c>
      <c r="BP55" s="49">
        <f>SUM(BQ55:BS55)</f>
        <v>2550001.1</v>
      </c>
      <c r="BQ55" s="49">
        <f>ROUNDUP(BN55/12*209/(209+BU55*1.5)/BL55*BM55,-1)-BS55</f>
        <v>1962070</v>
      </c>
      <c r="BR55" s="49">
        <f>ROUNDUP(BN55/12*(BU55*1.5)/(209+BU55*1.5)/BL55*BM55,1)</f>
        <v>387931.1</v>
      </c>
      <c r="BS55" s="49">
        <v>200000</v>
      </c>
      <c r="BT55" s="50">
        <v>209</v>
      </c>
      <c r="BU55" s="49">
        <f>IF($BN55="","",
IFERROR(
    IF($BN55&lt;'[1]시간외시간 기준표'!$B$2,0,
        IF($BN55&gt;LOOKUP(9.9E+307,'[1]시간외시간 기준표'!$B$2:$B$999),
            LOOKUP(9.9E+307,'[1]시간외시간 기준표'!$C$2:$C$999),
            LOOKUP($BN55,'[1]시간외시간 기준표'!$B$2:$B$999,'[1]시간외시간 기준표'!$C$2:$C$999)
        )
    ),0)
)</f>
        <v>25</v>
      </c>
      <c r="BV55" s="50">
        <f>(BQ55+BS55)/209</f>
        <v>10344.832535885167</v>
      </c>
      <c r="BW55" s="51">
        <v>30</v>
      </c>
      <c r="BX55" s="51">
        <v>30</v>
      </c>
      <c r="BY55" s="52">
        <v>30600000</v>
      </c>
      <c r="BZ55" s="52">
        <f>CA55*12</f>
        <v>30600094.799999997</v>
      </c>
      <c r="CA55" s="49">
        <f>SUM(CB55:CD55)</f>
        <v>2550007.9</v>
      </c>
      <c r="CB55" s="49">
        <f>ROUNDUP(BY55/12*209/(209+CF55*1.5)/BW55*BX55,-1)-CD55</f>
        <v>1936080</v>
      </c>
      <c r="CC55" s="49">
        <f>ROUNDUP(BY55/12*(CF55*1.5)/(209+CF55*1.5)/BW55*BX55,1)</f>
        <v>413927.89999999997</v>
      </c>
      <c r="CD55" s="49">
        <v>200000</v>
      </c>
      <c r="CE55" s="50">
        <v>209</v>
      </c>
      <c r="CF55" s="49">
        <f>IF(BY55&lt;26000000,0,IF(BY55&lt;26500000,4,IF(BY55&lt;27000000,7,IF(BY55&lt;27500000,9,IF(BY55&lt;28000000,11,IF(BY55&lt;28500000,15,IF(BY55&lt;29000000,17,IF(BY55&lt;29500000,20,IF(BY55&lt;30000000,23,IF(BY55&lt;30500000,25,IF(BY55&lt;31000000,27,IF(BY55&lt;31500000,29,IF(BY55&lt;32000000,33,IF(BY55&lt;32500000,37,IF(BY55&lt;33000000,39,IF(BY55&lt;33500000,42,IF(BY55&lt;34000000,45,IF(BY55&lt;34500000,48,IF(BY55&lt;35000000,52,52)))))))))))))))))))</f>
        <v>27</v>
      </c>
      <c r="CG55" s="50">
        <f>(CB55+CD55)/209</f>
        <v>10220.478468899522</v>
      </c>
      <c r="CH55" s="51">
        <v>30</v>
      </c>
      <c r="CI55" s="51">
        <v>30</v>
      </c>
      <c r="CJ55" s="52">
        <v>29100000</v>
      </c>
      <c r="CK55" s="52" t="e">
        <f>CL55*12</f>
        <v>#REF!</v>
      </c>
      <c r="CL55" s="49" t="e">
        <f>SUM(CM55:CO55)</f>
        <v>#REF!</v>
      </c>
      <c r="CM55" s="49" t="e">
        <f>ROUNDUP(CJ55/12*209/(209+CQ55*1.5)/CH55*#REF!,-1)-CO55</f>
        <v>#REF!</v>
      </c>
      <c r="CN55" s="49" t="e">
        <f>ROUNDUP(CJ55/12*(CQ55*1.5)/(209+CQ55*1.5)/CH55*#REF!,1)</f>
        <v>#REF!</v>
      </c>
      <c r="CO55" s="50">
        <v>200000</v>
      </c>
      <c r="CP55" s="50">
        <v>209</v>
      </c>
      <c r="CQ55" s="50">
        <f>IF(CJ55&lt;26000000,0,IF(CJ55&lt;26500000,4,IF(CJ55&lt;27000000,7,IF(CJ55&lt;27500000,9,IF(CJ55&lt;28000000,11,IF(CJ55&lt;28500000,15,IF(CJ55&lt;29000000,17,IF(CJ55&lt;29500000,20,IF(CJ55&lt;30000000,23,IF(CJ55&lt;30500000,25,IF(CJ55&lt;31000000,27,IF(CJ55&lt;31500000,29,IF(CJ55&lt;32000000,33,IF(CJ55&lt;32500000,37,IF(CJ55&lt;33000000,39,IF(CJ55&lt;33500000,42,IF(CJ55&lt;34000000,45,IF(CJ55&lt;34500000,48,IF(CJ55&lt;35000000,52,52)))))))))))))))))))</f>
        <v>20</v>
      </c>
      <c r="CR55" s="50" t="e">
        <f>(CM55+CO55)/209</f>
        <v>#REF!</v>
      </c>
      <c r="CS55" s="52">
        <v>28000000</v>
      </c>
      <c r="CT55" s="53">
        <f>IFERROR(CS55/12,"")</f>
        <v>2333333.3333333335</v>
      </c>
      <c r="CU55" s="53">
        <f>IFERROR(CT55-CV55-CW55,"")</f>
        <v>1840446.3040446306</v>
      </c>
      <c r="CV55" s="53">
        <f>IFERROR(CT55*(CY55*1.5)/(209+(CY55*1.5)),"")</f>
        <v>292887.02928870294</v>
      </c>
      <c r="CW55" s="54">
        <v>200000</v>
      </c>
      <c r="CX55" s="54">
        <v>209</v>
      </c>
      <c r="CY55" s="54">
        <v>20</v>
      </c>
      <c r="CZ55" s="55">
        <f>SUM(CX55:CY55)</f>
        <v>229</v>
      </c>
      <c r="DA55" s="55">
        <f>IFERROR((CU55/209)+(CW55-(9620*209*0.01))/209,"")</f>
        <v>9666.7009762900998</v>
      </c>
      <c r="DB55" s="56">
        <f>IFERROR((CU55+CW55)/209,"")</f>
        <v>9762.9009762900987</v>
      </c>
      <c r="DC55" s="57">
        <v>2023</v>
      </c>
      <c r="DD55" s="58"/>
      <c r="DE55" s="58"/>
      <c r="DF55" s="57"/>
      <c r="DG55" s="59">
        <f>B55</f>
        <v>230204</v>
      </c>
      <c r="DH55" s="58"/>
      <c r="DI55" s="58"/>
      <c r="DJ55" s="60"/>
      <c r="DK55" s="58"/>
      <c r="DL55" s="61"/>
      <c r="DM55" s="24"/>
    </row>
    <row r="56" spans="1:117" ht="15" customHeight="1">
      <c r="A56" s="25">
        <f>ROW()-2</f>
        <v>54</v>
      </c>
      <c r="B56" s="26">
        <v>230205</v>
      </c>
      <c r="C56" s="27" t="s">
        <v>913</v>
      </c>
      <c r="D56" s="27" t="s">
        <v>282</v>
      </c>
      <c r="E56" s="27" t="s">
        <v>239</v>
      </c>
      <c r="F56" s="27" t="s">
        <v>196</v>
      </c>
      <c r="G56" s="27" t="s">
        <v>240</v>
      </c>
      <c r="H56" s="27" t="s">
        <v>241</v>
      </c>
      <c r="I56" s="27" t="s">
        <v>653</v>
      </c>
      <c r="J56" s="27" t="str">
        <f>+VLOOKUP($I56,[1]프로젝트현황!$I:$N,5,0)</f>
        <v>서울시</v>
      </c>
      <c r="K56" s="27" t="str">
        <f>+VLOOKUP($I56,[1]프로젝트현황!$I:$N,6,0)</f>
        <v>강남구</v>
      </c>
      <c r="L56" s="28">
        <v>44958</v>
      </c>
      <c r="M56" s="28">
        <v>44958</v>
      </c>
      <c r="N56" s="28"/>
      <c r="O56" s="29"/>
      <c r="P56" s="30" t="s">
        <v>914</v>
      </c>
      <c r="Q56" s="27" t="s">
        <v>915</v>
      </c>
      <c r="R56" s="31" t="str">
        <f>LEFT(Q56,6)</f>
        <v>960903</v>
      </c>
      <c r="S56" s="31" t="str">
        <f>MID($Q56,3,2)</f>
        <v>09</v>
      </c>
      <c r="T56" s="31" t="str">
        <f>IF(OR(MID($Q56,8,1)="1",MID($Q56,8,1)="3"),"남자",IF(OR(MID($Q56,8,1)="2",MID($Q56,8,1)="4"),"여자",""))</f>
        <v>여자</v>
      </c>
      <c r="U56" s="31">
        <f ca="1">YEAR(TODAY())-IF(OR(MID($Q56,8,1)="1",MID($Q56,8,1)="2"),19&amp;LEFT($Q56,2),IF(OR(MID($Q56,8,1)="3",MID($Q56,8,1)="4"),20&amp;LEFT($Q56,2),""))+1</f>
        <v>31</v>
      </c>
      <c r="V56" s="31" t="s">
        <v>200</v>
      </c>
      <c r="W56" s="31" t="s">
        <v>201</v>
      </c>
      <c r="X56" s="27" t="s">
        <v>916</v>
      </c>
      <c r="Y56" s="27"/>
      <c r="Z56" s="27"/>
      <c r="AA56" s="32"/>
      <c r="AB56" s="31" t="s">
        <v>203</v>
      </c>
      <c r="AC56" s="27"/>
      <c r="AD56" s="33" t="str">
        <f ca="1">QUOTIENT(SUMPRODUCT(LEFT($AE56:$AF56,FIND("년",$AE56:$AF56)-1)*12+MID($AE56:$AF56,FIND("년",$AE56:$AF56)+1,FIND("개월",$AE56:$AF56)-FIND("년",$AE56:$AF56)-1)),12)&amp;"년"&amp;MOD(SUMPRODUCT(LEFT($AE56:$AF56,FIND("년",$AE56:$AF56)-1)*12+MID($AE56:$AF56,FIND("년",$AE56:$AF56)+1,FIND("개월",$AE56:$AF56)-FIND("년",$AE56:$AF56)-1)),12)&amp;"개월"</f>
        <v>3년0개월</v>
      </c>
      <c r="AE56" s="33" t="s">
        <v>543</v>
      </c>
      <c r="AF56" s="34" t="str">
        <f ca="1">DATEDIF($L56,TODAY(),"y")&amp;"년"&amp;DATEDIF($L56,TODAY(),"ym")&amp;"개월"</f>
        <v>3년0개월</v>
      </c>
      <c r="AG56" s="35" t="s">
        <v>917</v>
      </c>
      <c r="AH56" s="35" t="s">
        <v>918</v>
      </c>
      <c r="AI56" s="30" t="s">
        <v>270</v>
      </c>
      <c r="AJ56" s="32">
        <v>43511</v>
      </c>
      <c r="AK56" s="36">
        <f ca="1">VALUE(LEFT($AD56,FIND("년",$AD56)-1))</f>
        <v>3</v>
      </c>
      <c r="AL56" s="31" t="b">
        <f>IF($ABN36="학사",IF($AK56&lt;=5,"초급",IF($AK56&lt;9,"중급",IF($AK56&lt;12,"고급",IF($AK56&gt;=12,"특급")))))</f>
        <v>0</v>
      </c>
      <c r="AM56" s="31" t="str">
        <f ca="1">IF(ISNUMBER(SEARCH("산업기사",$AT56)),IF($AK56&gt;=13,"특급",IF($AK56&gt;=10,"고급",IF($AK56&gt;=7,"중급","초급"))),IF(ISNUMBER(SEARCH("기사",$AR56)),IF($AK56&gt;=10,"특급",IF($AK56&gt;=7,"고급",IF($AK56&gt;=4,"중급","초급"))),"미해당"))</f>
        <v>초급</v>
      </c>
      <c r="AN56" s="27" t="s">
        <v>135</v>
      </c>
      <c r="AO56" s="32">
        <v>44730</v>
      </c>
      <c r="AP56" s="27" t="s">
        <v>137</v>
      </c>
      <c r="AQ56" s="32">
        <v>45533</v>
      </c>
      <c r="AR56" s="27" t="s">
        <v>139</v>
      </c>
      <c r="AS56" s="27">
        <v>44806</v>
      </c>
      <c r="AT56" s="37"/>
      <c r="AU56" s="27"/>
      <c r="AV56" s="38" t="s">
        <v>919</v>
      </c>
      <c r="AW56" s="39"/>
      <c r="AX56" s="39"/>
      <c r="AY56" s="40" t="s">
        <v>251</v>
      </c>
      <c r="AZ56" s="41" t="s">
        <v>252</v>
      </c>
      <c r="BA56" s="30" t="s">
        <v>230</v>
      </c>
      <c r="BB56" s="30" t="s">
        <v>920</v>
      </c>
      <c r="BC56" s="42" t="s">
        <v>254</v>
      </c>
      <c r="BD56" s="42" t="s">
        <v>921</v>
      </c>
      <c r="BE56" s="43" t="s">
        <v>922</v>
      </c>
      <c r="BF56" s="42" t="s">
        <v>211</v>
      </c>
      <c r="BG56" s="42" t="s">
        <v>923</v>
      </c>
      <c r="BH56" s="35"/>
      <c r="BI56" s="44" t="s">
        <v>924</v>
      </c>
      <c r="BJ56" s="45" t="str">
        <f>IFERROR(VLOOKUP($BG56,[1]프로젝트현황!Y:Z,2,0),"기타")</f>
        <v>동북권</v>
      </c>
      <c r="BK56" s="46" t="str">
        <f>(IF(BF56="","",BF56&amp;" "))&amp;(IF(BG56="","",BG56&amp;" "))&amp;(IF(BH56="","",BH56&amp;" "))&amp;BBN36</f>
        <v xml:space="preserve">서울시 성북구 </v>
      </c>
      <c r="BL56" s="47">
        <v>30</v>
      </c>
      <c r="BM56" s="47">
        <v>30</v>
      </c>
      <c r="BN56" s="48">
        <v>31150000</v>
      </c>
      <c r="BO56" s="48">
        <f>BP56*12</f>
        <v>31150053.599999998</v>
      </c>
      <c r="BP56" s="49">
        <f>SUM(BQ56:BS56)</f>
        <v>2595837.7999999998</v>
      </c>
      <c r="BQ56" s="49">
        <f>ROUNDUP(BN56/12*209/(209+BU56*1.5)/BL56*BM56,-1)-BS56</f>
        <v>1974470</v>
      </c>
      <c r="BR56" s="49">
        <f>ROUNDUP(BN56/12*(BU56*1.5)/(209+BU56*1.5)/BL56*BM56,1)</f>
        <v>421367.8</v>
      </c>
      <c r="BS56" s="49">
        <v>200000</v>
      </c>
      <c r="BT56" s="50">
        <v>209</v>
      </c>
      <c r="BU56" s="49">
        <f>IF($BN56="","",
IFERROR(
    IF($BN56&lt;'[1]시간외시간 기준표'!$B$2,0,
        IF($BN56&gt;LOOKUP(9.9E+307,'[1]시간외시간 기준표'!$B$2:$B$999),
            LOOKUP(9.9E+307,'[1]시간외시간 기준표'!$C$2:$C$999),
            LOOKUP($BN56,'[1]시간외시간 기준표'!$B$2:$B$999,'[1]시간외시간 기준표'!$C$2:$C$999)
        )
    ),0)
)</f>
        <v>27</v>
      </c>
      <c r="BV56" s="50">
        <f>(BQ56+BS56)/209</f>
        <v>10404.162679425837</v>
      </c>
      <c r="BW56" s="51">
        <v>30</v>
      </c>
      <c r="BX56" s="51">
        <v>30</v>
      </c>
      <c r="BY56" s="52">
        <v>31150000</v>
      </c>
      <c r="BZ56" s="52">
        <f>CA56*12</f>
        <v>31150116</v>
      </c>
      <c r="CA56" s="49">
        <f>SUM(CB56:CD56)</f>
        <v>2595843</v>
      </c>
      <c r="CB56" s="49">
        <f>ROUNDUP(BY56/12*209/(209+CF56*1.5)/BW56*BX56,-1)-CD56</f>
        <v>1948640</v>
      </c>
      <c r="CC56" s="49">
        <f>ROUNDUP(BY56/12*(CF56*1.5)/(209+CF56*1.5)/BW56*BX56,1)</f>
        <v>447203</v>
      </c>
      <c r="CD56" s="49">
        <v>200000</v>
      </c>
      <c r="CE56" s="50">
        <v>209</v>
      </c>
      <c r="CF56" s="49">
        <f>IF(BY56&lt;26000000,0,IF(BY56&lt;26500000,4,IF(BY56&lt;27000000,7,IF(BY56&lt;27500000,9,IF(BY56&lt;28000000,11,IF(BY56&lt;28500000,15,IF(BY56&lt;29000000,17,IF(BY56&lt;29500000,20,IF(BY56&lt;30000000,23,IF(BY56&lt;30500000,25,IF(BY56&lt;31000000,27,IF(BY56&lt;31500000,29,IF(BY56&lt;32000000,33,IF(BY56&lt;32500000,37,IF(BY56&lt;33000000,39,IF(BY56&lt;33500000,42,IF(BY56&lt;34000000,45,IF(BY56&lt;34500000,48,IF(BY56&lt;35000000,52,52)))))))))))))))))))</f>
        <v>29</v>
      </c>
      <c r="CG56" s="50">
        <f>(CB56+CD56)/209</f>
        <v>10280.574162679426</v>
      </c>
      <c r="CH56" s="51">
        <v>30</v>
      </c>
      <c r="CI56" s="51">
        <v>30</v>
      </c>
      <c r="CJ56" s="52">
        <v>29650000</v>
      </c>
      <c r="CK56" s="52">
        <f>CL56*12</f>
        <v>0</v>
      </c>
      <c r="CL56" s="49">
        <f>SUM(CM56:CO56)</f>
        <v>0</v>
      </c>
      <c r="CM56" s="49">
        <f>ROUNDUP(CJ56/12*209/(209+CQ56*1.5)/CH56*CBN36,-1)-CO56</f>
        <v>-200000</v>
      </c>
      <c r="CN56" s="49">
        <f>ROUNDUP(CJ56/12*(CQ56*1.5)/(209+CQ56*1.5)/CH56*CBN36,1)</f>
        <v>0</v>
      </c>
      <c r="CO56" s="50">
        <v>200000</v>
      </c>
      <c r="CP56" s="50">
        <v>209</v>
      </c>
      <c r="CQ56" s="50">
        <f>IF(CJ56&lt;26000000,0,IF(CJ56&lt;26500000,4,IF(CJ56&lt;27000000,7,IF(CJ56&lt;27500000,9,IF(CJ56&lt;28000000,11,IF(CJ56&lt;28500000,15,IF(CJ56&lt;29000000,17,IF(CJ56&lt;29500000,20,IF(CJ56&lt;30000000,23,IF(CJ56&lt;30500000,25,IF(CJ56&lt;31000000,27,IF(CJ56&lt;31500000,29,IF(CJ56&lt;32000000,33,IF(CJ56&lt;32500000,37,IF(CJ56&lt;33000000,39,IF(CJ56&lt;33500000,42,IF(CJ56&lt;34000000,45,IF(CJ56&lt;34500000,48,IF(CJ56&lt;35000000,52,52)))))))))))))))))))</f>
        <v>23</v>
      </c>
      <c r="CR56" s="50">
        <f>(CM56+CO56)/209</f>
        <v>0</v>
      </c>
      <c r="CS56" s="52">
        <v>28000000</v>
      </c>
      <c r="CT56" s="53">
        <f>IFERROR(CS56/12,"")</f>
        <v>2333333.3333333335</v>
      </c>
      <c r="CU56" s="53">
        <f>IFERROR(CT56-CV56-CW56,"")</f>
        <v>1840446.3040446306</v>
      </c>
      <c r="CV56" s="53">
        <f>IFERROR(CT56*(CY56*1.5)/(209+(CY56*1.5)),"")</f>
        <v>292887.02928870294</v>
      </c>
      <c r="CW56" s="54">
        <v>200000</v>
      </c>
      <c r="CX56" s="54">
        <v>209</v>
      </c>
      <c r="CY56" s="54">
        <v>20</v>
      </c>
      <c r="CZ56" s="55">
        <f>SUM(CX56:CY56)</f>
        <v>229</v>
      </c>
      <c r="DA56" s="55">
        <f>IFERROR((CU56/209)+(CW56-(9620*209*0.01))/209,"")</f>
        <v>9666.7009762900998</v>
      </c>
      <c r="DB56" s="56">
        <f>IFERROR((CU56+CW56)/209,"")</f>
        <v>9762.9009762900987</v>
      </c>
      <c r="DC56" s="57">
        <v>2023</v>
      </c>
      <c r="DD56" s="58"/>
      <c r="DE56" s="58"/>
      <c r="DF56" s="57"/>
      <c r="DG56" s="59">
        <f>B56</f>
        <v>230205</v>
      </c>
      <c r="DH56" s="58"/>
      <c r="DI56" s="58"/>
      <c r="DJ56" s="60"/>
      <c r="DK56" s="58"/>
      <c r="DL56" s="61"/>
      <c r="DM56" s="24"/>
    </row>
    <row r="57" spans="1:117" ht="15" customHeight="1">
      <c r="A57" s="25">
        <f>ROW()-2</f>
        <v>55</v>
      </c>
      <c r="B57" s="26">
        <v>230206</v>
      </c>
      <c r="C57" s="27" t="s">
        <v>925</v>
      </c>
      <c r="D57" s="27"/>
      <c r="E57" s="27" t="s">
        <v>613</v>
      </c>
      <c r="F57" s="27" t="s">
        <v>196</v>
      </c>
      <c r="G57" s="27" t="s">
        <v>240</v>
      </c>
      <c r="H57" s="27" t="s">
        <v>241</v>
      </c>
      <c r="I57" s="27" t="s">
        <v>653</v>
      </c>
      <c r="J57" s="27" t="str">
        <f>+VLOOKUP($I57,[1]프로젝트현황!$I:$N,5,0)</f>
        <v>서울시</v>
      </c>
      <c r="K57" s="27" t="str">
        <f>+VLOOKUP($I57,[1]프로젝트현황!$I:$N,6,0)</f>
        <v>강남구</v>
      </c>
      <c r="L57" s="28">
        <v>44958</v>
      </c>
      <c r="M57" s="28">
        <v>44958</v>
      </c>
      <c r="N57" s="28"/>
      <c r="O57" s="29"/>
      <c r="P57" s="30" t="s">
        <v>926</v>
      </c>
      <c r="Q57" s="27" t="s">
        <v>927</v>
      </c>
      <c r="R57" s="31" t="str">
        <f>LEFT(Q57,6)</f>
        <v>950629</v>
      </c>
      <c r="S57" s="31" t="str">
        <f>MID($Q57,3,2)</f>
        <v>06</v>
      </c>
      <c r="T57" s="31" t="str">
        <f>IF(OR(MID($Q57,8,1)="1",MID($Q57,8,1)="3"),"남자",IF(OR(MID($Q57,8,1)="2",MID($Q57,8,1)="4"),"여자",""))</f>
        <v>남자</v>
      </c>
      <c r="U57" s="31">
        <f ca="1">YEAR(TODAY())-IF(OR(MID($Q57,8,1)="1",MID($Q57,8,1)="2"),19&amp;LEFT($Q57,2),IF(OR(MID($Q57,8,1)="3",MID($Q57,8,1)="4"),20&amp;LEFT($Q57,2),""))+1</f>
        <v>32</v>
      </c>
      <c r="V57" s="31" t="s">
        <v>200</v>
      </c>
      <c r="W57" s="31" t="s">
        <v>201</v>
      </c>
      <c r="X57" s="27" t="s">
        <v>928</v>
      </c>
      <c r="Y57" s="27"/>
      <c r="Z57" s="27"/>
      <c r="AA57" s="32"/>
      <c r="AB57" s="31" t="s">
        <v>203</v>
      </c>
      <c r="AC57" s="27"/>
      <c r="AD57" s="33" t="str">
        <f ca="1">QUOTIENT(SUMPRODUCT(LEFT($AE57:$AF57,FIND("년",$AE57:$AF57)-1)*12+MID($AE57:$AF57,FIND("년",$AE57:$AF57)+1,FIND("개월",$AE57:$AF57)-FIND("년",$AE57:$AF57)-1)),12)&amp;"년"&amp;MOD(SUMPRODUCT(LEFT($AE57:$AF57,FIND("년",$AE57:$AF57)-1)*12+MID($AE57:$AF57,FIND("년",$AE57:$AF57)+1,FIND("개월",$AE57:$AF57)-FIND("년",$AE57:$AF57)-1)),12)&amp;"개월"</f>
        <v>3년0개월</v>
      </c>
      <c r="AE57" s="33" t="s">
        <v>543</v>
      </c>
      <c r="AF57" s="34" t="str">
        <f ca="1">DATEDIF($L57,TODAY(),"y")&amp;"년"&amp;DATEDIF($L57,TODAY(),"ym")&amp;"개월"</f>
        <v>3년0개월</v>
      </c>
      <c r="AG57" s="35" t="s">
        <v>929</v>
      </c>
      <c r="AH57" s="35" t="s">
        <v>930</v>
      </c>
      <c r="AI57" s="30" t="s">
        <v>205</v>
      </c>
      <c r="AJ57" s="32">
        <v>42424</v>
      </c>
      <c r="AK57" s="36">
        <f ca="1">VALUE(LEFT($AD57,FIND("년",$AD57)-1))</f>
        <v>3</v>
      </c>
      <c r="AL57" s="31" t="b">
        <f>IF($ABN37="전문학사",IF($AK57&lt;=8,"초급",IF($AK57&lt;12,"중급",IF($AK57&lt;15,"고급",IF($AK57&gt;=15,"특급")))))</f>
        <v>0</v>
      </c>
      <c r="AM57" s="31" t="str">
        <f>IF(ISNUMBER(SEARCH("산업기사",$AT57)),IF($AK57&gt;=13,"특급",IF($AK57&gt;=10,"고급",IF($AK57&gt;=7,"중급","초급"))),IF(ISNUMBER(SEARCH("기사",$AR57)),IF($AK57&gt;=10,"특급",IF($AK57&gt;=7,"고급",IF($AK57&gt;=4,"중급","초급"))),"미해당"))</f>
        <v>미해당</v>
      </c>
      <c r="AN57" s="27"/>
      <c r="AO57" s="32"/>
      <c r="AP57" s="27"/>
      <c r="AQ57" s="32"/>
      <c r="AR57" s="27"/>
      <c r="AS57" s="27"/>
      <c r="AT57" s="37"/>
      <c r="AU57" s="27"/>
      <c r="AV57" s="38"/>
      <c r="AW57" s="39"/>
      <c r="AX57" s="39"/>
      <c r="AY57" s="40" t="s">
        <v>251</v>
      </c>
      <c r="AZ57" s="41" t="s">
        <v>252</v>
      </c>
      <c r="BA57" s="30" t="s">
        <v>230</v>
      </c>
      <c r="BB57" s="30" t="s">
        <v>931</v>
      </c>
      <c r="BC57" s="42" t="s">
        <v>275</v>
      </c>
      <c r="BD57" s="42" t="s">
        <v>932</v>
      </c>
      <c r="BE57" s="43" t="s">
        <v>933</v>
      </c>
      <c r="BF57" s="42" t="s">
        <v>234</v>
      </c>
      <c r="BG57" s="42" t="s">
        <v>934</v>
      </c>
      <c r="BH57" s="35"/>
      <c r="BI57" s="44" t="s">
        <v>935</v>
      </c>
      <c r="BJ57" s="45" t="str">
        <f>IFERROR(VLOOKUP($BG57,[1]프로젝트현황!Y:Z,2,0),"기타")</f>
        <v>서남권</v>
      </c>
      <c r="BK57" s="46" t="str">
        <f>(IF(BF57="","",BF57&amp;" "))&amp;(IF(BG57="","",BG57&amp;" "))&amp;(IF(BH57="","",BH57&amp;" "))&amp;BBN37</f>
        <v xml:space="preserve">경기도 군포시 </v>
      </c>
      <c r="BL57" s="47">
        <v>30</v>
      </c>
      <c r="BM57" s="47">
        <v>30</v>
      </c>
      <c r="BN57" s="48">
        <v>28900000</v>
      </c>
      <c r="BO57" s="48">
        <f>BP57*12</f>
        <v>28900095.599999998</v>
      </c>
      <c r="BP57" s="49">
        <f>SUM(BQ57:BS57)</f>
        <v>2408341.2999999998</v>
      </c>
      <c r="BQ57" s="49">
        <f>ROUNDUP(BN57/12*209/(209+BU57*1.5)/BL57*BM57,-1)-BS57</f>
        <v>1974270</v>
      </c>
      <c r="BR57" s="49">
        <f>ROUNDUP(BN57/12*(BU57*1.5)/(209+BU57*1.5)/BL57*BM57,1)</f>
        <v>234071.30000000002</v>
      </c>
      <c r="BS57" s="49">
        <v>200000</v>
      </c>
      <c r="BT57" s="50">
        <v>209</v>
      </c>
      <c r="BU57" s="49">
        <f>IF($BN57="","",
IFERROR(
    IF($BN57&lt;'[1]시간외시간 기준표'!$B$2,0,
        IF($BN57&gt;LOOKUP(9.9E+307,'[1]시간외시간 기준표'!$B$2:$B$999),
            LOOKUP(9.9E+307,'[1]시간외시간 기준표'!$C$2:$C$999),
            LOOKUP($BN57,'[1]시간외시간 기준표'!$B$2:$B$999,'[1]시간외시간 기준표'!$C$2:$C$999)
        )
    ),0)
)</f>
        <v>15</v>
      </c>
      <c r="BV57" s="50">
        <f>(BQ57+BS57)/209</f>
        <v>10403.205741626794</v>
      </c>
      <c r="BW57" s="51">
        <v>30</v>
      </c>
      <c r="BX57" s="51">
        <v>30</v>
      </c>
      <c r="BY57" s="52">
        <v>28900000</v>
      </c>
      <c r="BZ57" s="52">
        <f>CA57*12</f>
        <v>28900044</v>
      </c>
      <c r="CA57" s="49">
        <f>SUM(CB57:CD57)</f>
        <v>2408337</v>
      </c>
      <c r="CB57" s="49">
        <f>ROUNDUP(BY57/12*209/(209+CF57*1.5)/BW57*BX57,-1)-CD57</f>
        <v>1946450</v>
      </c>
      <c r="CC57" s="49">
        <f>ROUNDUP(BY57/12*(CF57*1.5)/(209+CF57*1.5)/BW57*BX57,1)</f>
        <v>261887</v>
      </c>
      <c r="CD57" s="49">
        <v>200000</v>
      </c>
      <c r="CE57" s="50">
        <v>209</v>
      </c>
      <c r="CF57" s="49">
        <f>IF(BY57&lt;26000000,0,IF(BY57&lt;26500000,4,IF(BY57&lt;27000000,7,IF(BY57&lt;27500000,9,IF(BY57&lt;28000000,11,IF(BY57&lt;28500000,15,IF(BY57&lt;29000000,17,IF(BY57&lt;29500000,20,IF(BY57&lt;30000000,23,IF(BY57&lt;30500000,25,IF(BY57&lt;31000000,27,IF(BY57&lt;31500000,29,IF(BY57&lt;32000000,33,IF(BY57&lt;32500000,37,IF(BY57&lt;33000000,39,IF(BY57&lt;33500000,42,IF(BY57&lt;34000000,45,IF(BY57&lt;34500000,48,IF(BY57&lt;35000000,52,52)))))))))))))))))))</f>
        <v>17</v>
      </c>
      <c r="CG57" s="50">
        <f>(CB57+CD57)/209</f>
        <v>10270.095693779904</v>
      </c>
      <c r="CH57" s="51">
        <v>30</v>
      </c>
      <c r="CI57" s="51">
        <v>30</v>
      </c>
      <c r="CJ57" s="52">
        <v>28100000</v>
      </c>
      <c r="CK57" s="52">
        <f>CL57*12</f>
        <v>0</v>
      </c>
      <c r="CL57" s="49">
        <f>SUM(CM57:CO57)</f>
        <v>0</v>
      </c>
      <c r="CM57" s="49">
        <f>ROUNDUP(CJ57/12*209/(209+CQ57*1.5)/CH57*CBN37,-1)-CO57</f>
        <v>-200000</v>
      </c>
      <c r="CN57" s="49">
        <f>ROUNDUP(CJ57/12*(CQ57*1.5)/(209+CQ57*1.5)/CH57*CBN37,1)</f>
        <v>0</v>
      </c>
      <c r="CO57" s="50">
        <v>200000</v>
      </c>
      <c r="CP57" s="50">
        <v>209</v>
      </c>
      <c r="CQ57" s="50">
        <f>IF(CJ57&lt;26000000,0,IF(CJ57&lt;26500000,4,IF(CJ57&lt;27000000,7,IF(CJ57&lt;27500000,9,IF(CJ57&lt;28000000,11,IF(CJ57&lt;28500000,15,IF(CJ57&lt;29000000,17,IF(CJ57&lt;29500000,20,IF(CJ57&lt;30000000,23,IF(CJ57&lt;30500000,25,IF(CJ57&lt;31000000,27,IF(CJ57&lt;31500000,29,IF(CJ57&lt;32000000,33,IF(CJ57&lt;32500000,37,IF(CJ57&lt;33000000,39,IF(CJ57&lt;33500000,42,IF(CJ57&lt;34000000,45,IF(CJ57&lt;34500000,48,IF(CJ57&lt;35000000,52,52)))))))))))))))))))</f>
        <v>15</v>
      </c>
      <c r="CR57" s="50">
        <f>(CM57+CO57)/209</f>
        <v>0</v>
      </c>
      <c r="CS57" s="52">
        <v>27000000</v>
      </c>
      <c r="CT57" s="53">
        <f>IFERROR(CS57/12,"")</f>
        <v>2250000</v>
      </c>
      <c r="CU57" s="53">
        <f>IFERROR(CT57-CV57-CW57,"")</f>
        <v>1831317.494600432</v>
      </c>
      <c r="CV57" s="53">
        <f>IFERROR(CT57*(CY57*1.5)/(209+(CY57*1.5)),"")</f>
        <v>218682.50539956804</v>
      </c>
      <c r="CW57" s="54">
        <v>200000</v>
      </c>
      <c r="CX57" s="54">
        <v>209</v>
      </c>
      <c r="CY57" s="54">
        <v>15</v>
      </c>
      <c r="CZ57" s="55">
        <f>SUM(CX57:CY57)</f>
        <v>224</v>
      </c>
      <c r="DA57" s="55">
        <f>IFERROR((CU57/209)+(CW57-(9620*209*0.01))/209,"")</f>
        <v>9623.0224622030255</v>
      </c>
      <c r="DB57" s="56">
        <f>IFERROR((CU57+CW57)/209,"")</f>
        <v>9719.2224622030244</v>
      </c>
      <c r="DC57" s="57">
        <v>2023</v>
      </c>
      <c r="DD57" s="58"/>
      <c r="DE57" s="58"/>
      <c r="DF57" s="57"/>
      <c r="DG57" s="59">
        <f>B57</f>
        <v>230206</v>
      </c>
      <c r="DH57" s="58"/>
      <c r="DI57" s="58"/>
      <c r="DJ57" s="60"/>
      <c r="DK57" s="58"/>
      <c r="DL57" s="61"/>
      <c r="DM57" s="24"/>
    </row>
    <row r="58" spans="1:117" ht="15" customHeight="1">
      <c r="A58" s="25">
        <f>ROW()-2</f>
        <v>56</v>
      </c>
      <c r="B58" s="26">
        <v>230207</v>
      </c>
      <c r="C58" s="27" t="s">
        <v>936</v>
      </c>
      <c r="D58" s="27"/>
      <c r="E58" s="27" t="s">
        <v>613</v>
      </c>
      <c r="F58" s="27" t="s">
        <v>196</v>
      </c>
      <c r="G58" s="27" t="s">
        <v>240</v>
      </c>
      <c r="H58" s="27" t="s">
        <v>241</v>
      </c>
      <c r="I58" s="27" t="s">
        <v>653</v>
      </c>
      <c r="J58" s="27" t="str">
        <f>+VLOOKUP($I58,[1]프로젝트현황!$I:$N,5,0)</f>
        <v>서울시</v>
      </c>
      <c r="K58" s="27" t="str">
        <f>+VLOOKUP($I58,[1]프로젝트현황!$I:$N,6,0)</f>
        <v>강남구</v>
      </c>
      <c r="L58" s="28">
        <v>44958</v>
      </c>
      <c r="M58" s="28">
        <v>44958</v>
      </c>
      <c r="N58" s="28"/>
      <c r="O58" s="29"/>
      <c r="P58" s="30" t="s">
        <v>937</v>
      </c>
      <c r="Q58" s="27" t="s">
        <v>938</v>
      </c>
      <c r="R58" s="31" t="str">
        <f>LEFT(Q58,6)</f>
        <v>980312</v>
      </c>
      <c r="S58" s="31" t="str">
        <f>MID($Q58,3,2)</f>
        <v>03</v>
      </c>
      <c r="T58" s="31" t="str">
        <f>IF(OR(MID($Q58,8,1)="1",MID($Q58,8,1)="3"),"남자",IF(OR(MID($Q58,8,1)="2",MID($Q58,8,1)="4"),"여자",""))</f>
        <v>여자</v>
      </c>
      <c r="U58" s="31">
        <f ca="1">YEAR(TODAY())-IF(OR(MID($Q58,8,1)="1",MID($Q58,8,1)="2"),19&amp;LEFT($Q58,2),IF(OR(MID($Q58,8,1)="3",MID($Q58,8,1)="4"),20&amp;LEFT($Q58,2),""))+1</f>
        <v>29</v>
      </c>
      <c r="V58" s="31" t="s">
        <v>200</v>
      </c>
      <c r="W58" s="31" t="s">
        <v>201</v>
      </c>
      <c r="X58" s="27" t="s">
        <v>939</v>
      </c>
      <c r="Y58" s="27"/>
      <c r="Z58" s="27"/>
      <c r="AA58" s="32"/>
      <c r="AB58" s="31" t="s">
        <v>203</v>
      </c>
      <c r="AC58" s="27"/>
      <c r="AD58" s="33" t="str">
        <f ca="1">QUOTIENT(SUMPRODUCT(LEFT($AE58:$AF58,FIND("년",$AE58:$AF58)-1)*12+MID($AE58:$AF58,FIND("년",$AE58:$AF58)+1,FIND("개월",$AE58:$AF58)-FIND("년",$AE58:$AF58)-1)),12)&amp;"년"&amp;MOD(SUMPRODUCT(LEFT($AE58:$AF58,FIND("년",$AE58:$AF58)-1)*12+MID($AE58:$AF58,FIND("년",$AE58:$AF58)+1,FIND("개월",$AE58:$AF58)-FIND("년",$AE58:$AF58)-1)),12)&amp;"개월"</f>
        <v>3년0개월</v>
      </c>
      <c r="AE58" s="33" t="s">
        <v>543</v>
      </c>
      <c r="AF58" s="34" t="str">
        <f ca="1">DATEDIF($L58,TODAY(),"y")&amp;"년"&amp;DATEDIF($L58,TODAY(),"ym")&amp;"개월"</f>
        <v>3년0개월</v>
      </c>
      <c r="AG58" s="35" t="s">
        <v>906</v>
      </c>
      <c r="AH58" s="35" t="s">
        <v>940</v>
      </c>
      <c r="AI58" s="30" t="s">
        <v>205</v>
      </c>
      <c r="AJ58" s="32">
        <v>44974</v>
      </c>
      <c r="AK58" s="36">
        <f ca="1">VALUE(LEFT($AD58,FIND("년",$AD58)-1))</f>
        <v>3</v>
      </c>
      <c r="AL58" s="31" t="b">
        <f>IF($ABN38="전문학사",IF($AK58&lt;=8,"초급",IF($AK58&lt;12,"중급",IF($AK58&lt;15,"고급",IF($AK58&gt;=15,"특급")))))</f>
        <v>0</v>
      </c>
      <c r="AM58" s="31" t="str">
        <f>IF(ISNUMBER(SEARCH("산업기사",$AT58)),IF($AK58&gt;=13,"특급",IF($AK58&gt;=10,"고급",IF($AK58&gt;=7,"중급","초급"))),IF(ISNUMBER(SEARCH("기사",$AR58)),IF($AK58&gt;=10,"특급",IF($AK58&gt;=7,"고급",IF($AK58&gt;=4,"중급","초급"))),"미해당"))</f>
        <v>미해당</v>
      </c>
      <c r="AN58" s="27" t="s">
        <v>135</v>
      </c>
      <c r="AO58" s="32">
        <v>2023.03</v>
      </c>
      <c r="AP58" s="27"/>
      <c r="AQ58" s="32"/>
      <c r="AR58" s="27"/>
      <c r="AS58" s="27"/>
      <c r="AT58" s="37"/>
      <c r="AU58" s="27"/>
      <c r="AV58" s="38"/>
      <c r="AW58" s="39"/>
      <c r="AX58" s="39"/>
      <c r="AY58" s="40" t="s">
        <v>251</v>
      </c>
      <c r="AZ58" s="41" t="s">
        <v>252</v>
      </c>
      <c r="BA58" s="30" t="s">
        <v>230</v>
      </c>
      <c r="BB58" s="30" t="s">
        <v>941</v>
      </c>
      <c r="BC58" s="42" t="s">
        <v>254</v>
      </c>
      <c r="BD58" s="42" t="s">
        <v>942</v>
      </c>
      <c r="BE58" s="43" t="s">
        <v>943</v>
      </c>
      <c r="BF58" s="42" t="s">
        <v>234</v>
      </c>
      <c r="BG58" s="42" t="s">
        <v>887</v>
      </c>
      <c r="BH58" s="35" t="s">
        <v>944</v>
      </c>
      <c r="BI58" s="44" t="s">
        <v>945</v>
      </c>
      <c r="BJ58" s="45" t="str">
        <f>IFERROR(VLOOKUP($BG58,[1]프로젝트현황!Y:Z,2,0),"기타")</f>
        <v>동남권</v>
      </c>
      <c r="BK58" s="46" t="str">
        <f>(IF(BF58="","",BF58&amp;" "))&amp;(IF(BG58="","",BG58&amp;" "))&amp;(IF(BH58="","",BH58&amp;" "))&amp;BBN38</f>
        <v xml:space="preserve">경기도 용인시 기흥구 </v>
      </c>
      <c r="BL58" s="47">
        <v>30</v>
      </c>
      <c r="BM58" s="47">
        <v>30</v>
      </c>
      <c r="BN58" s="48">
        <v>29900000</v>
      </c>
      <c r="BO58" s="48">
        <f>BP58*12</f>
        <v>29900056.799999997</v>
      </c>
      <c r="BP58" s="49">
        <f>SUM(BQ58:BS58)</f>
        <v>2491671.4</v>
      </c>
      <c r="BQ58" s="49">
        <f>ROUNDUP(BN58/12*209/(209+BU58*1.5)/BL58*BM58,-1)-BS58</f>
        <v>1965320</v>
      </c>
      <c r="BR58" s="49">
        <f>ROUNDUP(BN58/12*(BU58*1.5)/(209+BU58*1.5)/BL58*BM58,1)</f>
        <v>326351.39999999997</v>
      </c>
      <c r="BS58" s="49">
        <v>200000</v>
      </c>
      <c r="BT58" s="50">
        <v>209</v>
      </c>
      <c r="BU58" s="49">
        <f>IF($BN58="","",
IFERROR(
    IF($BN58&lt;'[1]시간외시간 기준표'!$B$2,0,
        IF($BN58&gt;LOOKUP(9.9E+307,'[1]시간외시간 기준표'!$B$2:$B$999),
            LOOKUP(9.9E+307,'[1]시간외시간 기준표'!$C$2:$C$999),
            LOOKUP($BN58,'[1]시간외시간 기준표'!$B$2:$B$999,'[1]시간외시간 기준표'!$C$2:$C$999)
        )
    ),0)
)</f>
        <v>21</v>
      </c>
      <c r="BV58" s="50">
        <f>(BQ58+BS58)/209</f>
        <v>10360.382775119617</v>
      </c>
      <c r="BW58" s="51">
        <v>30</v>
      </c>
      <c r="BX58" s="51">
        <v>30</v>
      </c>
      <c r="BY58" s="52">
        <v>29900000</v>
      </c>
      <c r="BZ58" s="52">
        <f>CA58*12</f>
        <v>29900025.599999998</v>
      </c>
      <c r="CA58" s="49">
        <f>SUM(CB58:CD58)</f>
        <v>2491668.7999999998</v>
      </c>
      <c r="CB58" s="49">
        <f>ROUNDUP(BY58/12*209/(209+CF58*1.5)/BW58*BX58,-1)-CD58</f>
        <v>1938640</v>
      </c>
      <c r="CC58" s="49">
        <f>ROUNDUP(BY58/12*(CF58*1.5)/(209+CF58*1.5)/BW58*BX58,1)</f>
        <v>353028.8</v>
      </c>
      <c r="CD58" s="49">
        <v>200000</v>
      </c>
      <c r="CE58" s="50">
        <v>209</v>
      </c>
      <c r="CF58" s="49">
        <f>IF(BY58&lt;26000000,0,IF(BY58&lt;26500000,4,IF(BY58&lt;27000000,7,IF(BY58&lt;27500000,9,IF(BY58&lt;28000000,11,IF(BY58&lt;28500000,15,IF(BY58&lt;29000000,17,IF(BY58&lt;29500000,20,IF(BY58&lt;30000000,23,IF(BY58&lt;30500000,25,IF(BY58&lt;31000000,27,IF(BY58&lt;31500000,29,IF(BY58&lt;32000000,33,IF(BY58&lt;32500000,37,IF(BY58&lt;33000000,39,IF(BY58&lt;33500000,42,IF(BY58&lt;34000000,45,IF(BY58&lt;34500000,48,IF(BY58&lt;35000000,52,52)))))))))))))))))))</f>
        <v>23</v>
      </c>
      <c r="CG58" s="50">
        <f>(CB58+CD58)/209</f>
        <v>10232.727272727272</v>
      </c>
      <c r="CH58" s="51">
        <v>30</v>
      </c>
      <c r="CI58" s="51">
        <v>30</v>
      </c>
      <c r="CJ58" s="52">
        <v>29100000</v>
      </c>
      <c r="CK58" s="52">
        <f>CL58*12</f>
        <v>0</v>
      </c>
      <c r="CL58" s="49">
        <f>SUM(CM58:CO58)</f>
        <v>0</v>
      </c>
      <c r="CM58" s="49">
        <f>ROUNDUP(CJ58/12*209/(209+CQ58*1.5)/CH58*CBN38,-1)-CO58</f>
        <v>-200000</v>
      </c>
      <c r="CN58" s="49">
        <f>ROUNDUP(CJ58/12*(CQ58*1.5)/(209+CQ58*1.5)/CH58*CBN38,1)</f>
        <v>0</v>
      </c>
      <c r="CO58" s="50">
        <v>200000</v>
      </c>
      <c r="CP58" s="50">
        <v>209</v>
      </c>
      <c r="CQ58" s="50">
        <f>IF(CJ58&lt;26000000,0,IF(CJ58&lt;26500000,4,IF(CJ58&lt;27000000,7,IF(CJ58&lt;27500000,9,IF(CJ58&lt;28000000,11,IF(CJ58&lt;28500000,15,IF(CJ58&lt;29000000,17,IF(CJ58&lt;29500000,20,IF(CJ58&lt;30000000,23,IF(CJ58&lt;30500000,25,IF(CJ58&lt;31000000,27,IF(CJ58&lt;31500000,29,IF(CJ58&lt;32000000,33,IF(CJ58&lt;32500000,37,IF(CJ58&lt;33000000,39,IF(CJ58&lt;33500000,42,IF(CJ58&lt;34000000,45,IF(CJ58&lt;34500000,48,IF(CJ58&lt;35000000,52,52)))))))))))))))))))</f>
        <v>20</v>
      </c>
      <c r="CR58" s="50">
        <f>(CM58+CO58)/209</f>
        <v>0</v>
      </c>
      <c r="CS58" s="52">
        <v>28000000</v>
      </c>
      <c r="CT58" s="53">
        <f>IFERROR(CS58/12,"")</f>
        <v>2333333.3333333335</v>
      </c>
      <c r="CU58" s="53">
        <f>IFERROR(CT58-CV58-CW58,"")</f>
        <v>1840446.3040446306</v>
      </c>
      <c r="CV58" s="53">
        <f>IFERROR(CT58*(CY58*1.5)/(209+(CY58*1.5)),"")</f>
        <v>292887.02928870294</v>
      </c>
      <c r="CW58" s="54">
        <v>200000</v>
      </c>
      <c r="CX58" s="54">
        <v>209</v>
      </c>
      <c r="CY58" s="54">
        <v>20</v>
      </c>
      <c r="CZ58" s="55">
        <f>SUM(CX58:CY58)</f>
        <v>229</v>
      </c>
      <c r="DA58" s="55">
        <f>IFERROR((CU58/209)+(CW58-(9620*209*0.01))/209,"")</f>
        <v>9666.7009762900998</v>
      </c>
      <c r="DB58" s="56">
        <f>IFERROR((CU58+CW58)/209,"")</f>
        <v>9762.9009762900987</v>
      </c>
      <c r="DC58" s="57">
        <v>2023</v>
      </c>
      <c r="DD58" s="58"/>
      <c r="DE58" s="58"/>
      <c r="DF58" s="57"/>
      <c r="DG58" s="59">
        <f>B58</f>
        <v>230207</v>
      </c>
      <c r="DH58" s="58"/>
      <c r="DI58" s="58"/>
      <c r="DJ58" s="60"/>
      <c r="DK58" s="58"/>
      <c r="DL58" s="61"/>
      <c r="DM58" s="24"/>
    </row>
    <row r="59" spans="1:117" ht="15" customHeight="1">
      <c r="A59" s="25">
        <f>ROW()-2</f>
        <v>57</v>
      </c>
      <c r="B59" s="26">
        <v>230208</v>
      </c>
      <c r="C59" s="27" t="s">
        <v>946</v>
      </c>
      <c r="D59" s="27" t="s">
        <v>282</v>
      </c>
      <c r="E59" s="27" t="s">
        <v>947</v>
      </c>
      <c r="F59" s="27" t="s">
        <v>196</v>
      </c>
      <c r="G59" s="27" t="s">
        <v>240</v>
      </c>
      <c r="H59" s="27" t="s">
        <v>260</v>
      </c>
      <c r="I59" s="27" t="s">
        <v>948</v>
      </c>
      <c r="J59" s="27" t="str">
        <f>+VLOOKUP($I59,[1]프로젝트현황!$I:$N,5,0)</f>
        <v>서울시</v>
      </c>
      <c r="K59" s="27" t="str">
        <f>+VLOOKUP($I59,[1]프로젝트현황!$I:$N,6,0)</f>
        <v>구로구</v>
      </c>
      <c r="L59" s="28">
        <v>44959</v>
      </c>
      <c r="M59" s="28">
        <v>44959</v>
      </c>
      <c r="N59" s="28"/>
      <c r="O59" s="29"/>
      <c r="P59" s="30" t="s">
        <v>949</v>
      </c>
      <c r="Q59" s="27" t="s">
        <v>950</v>
      </c>
      <c r="R59" s="31" t="str">
        <f>LEFT(Q59,6)</f>
        <v>770716</v>
      </c>
      <c r="S59" s="31" t="str">
        <f>MID($Q59,3,2)</f>
        <v>07</v>
      </c>
      <c r="T59" s="31" t="str">
        <f>IF(OR(MID($Q59,8,1)="1",MID($Q59,8,1)="3"),"남자",IF(OR(MID($Q59,8,1)="2",MID($Q59,8,1)="4"),"여자",""))</f>
        <v>남자</v>
      </c>
      <c r="U59" s="31">
        <f ca="1">YEAR(TODAY())-IF(OR(MID($Q59,8,1)="1",MID($Q59,8,1)="2"),19&amp;LEFT($Q59,2),IF(OR(MID($Q59,8,1)="3",MID($Q59,8,1)="4"),20&amp;LEFT($Q59,2),""))+1</f>
        <v>50</v>
      </c>
      <c r="V59" s="31" t="s">
        <v>200</v>
      </c>
      <c r="W59" s="31" t="s">
        <v>201</v>
      </c>
      <c r="X59" s="27" t="s">
        <v>951</v>
      </c>
      <c r="Y59" s="27"/>
      <c r="Z59" s="27" t="s">
        <v>222</v>
      </c>
      <c r="AA59" s="32">
        <v>45270</v>
      </c>
      <c r="AB59" s="31" t="s">
        <v>203</v>
      </c>
      <c r="AC59" s="27"/>
      <c r="AD59" s="33" t="str">
        <f ca="1">QUOTIENT(SUMPRODUCT(LEFT($AE59:$AF59,FIND("년",$AE59:$AF59)-1)*12+MID($AE59:$AF59,FIND("년",$AE59:$AF59)+1,FIND("개월",$AE59:$AF59)-FIND("년",$AE59:$AF59)-1)),12)&amp;"년"&amp;MOD(SUMPRODUCT(LEFT($AE59:$AF59,FIND("년",$AE59:$AF59)-1)*12+MID($AE59:$AF59,FIND("년",$AE59:$AF59)+1,FIND("개월",$AE59:$AF59)-FIND("년",$AE59:$AF59)-1)),12)&amp;"개월"</f>
        <v>23년5개월</v>
      </c>
      <c r="AE59" s="33" t="s">
        <v>952</v>
      </c>
      <c r="AF59" s="34" t="str">
        <f ca="1">DATEDIF($L59,TODAY(),"y")&amp;"년"&amp;DATEDIF($L59,TODAY(),"ym")&amp;"개월"</f>
        <v>3년0개월</v>
      </c>
      <c r="AG59" s="35" t="s">
        <v>953</v>
      </c>
      <c r="AH59" s="35" t="s">
        <v>954</v>
      </c>
      <c r="AI59" s="30" t="s">
        <v>205</v>
      </c>
      <c r="AJ59" s="32">
        <v>35853</v>
      </c>
      <c r="AK59" s="36">
        <f ca="1">VALUE(LEFT($AD59,FIND("년",$AD59)-1))</f>
        <v>23</v>
      </c>
      <c r="AL59" s="31" t="str">
        <f ca="1">IF($AI59="전문학사",IF($AK59&lt;=8,"초급",IF($AK59&lt;12,"중급",IF($AK59&lt;15,"고급",IF($AK59&gt;=15,"특급")))))</f>
        <v>특급</v>
      </c>
      <c r="AM59" s="31" t="str">
        <f>IF(ISNUMBER(SEARCH("산업기사",$AT59)),IF($AK59&gt;=13,"특급",IF($AK59&gt;=10,"고급",IF($AK59&gt;=7,"중급","초급"))),IF(ISNUMBER(SEARCH("기사",$AR59)),IF($AK59&gt;=10,"특급",IF($AK59&gt;=7,"고급",IF($AK59&gt;=4,"중급","초급"))),"미해당"))</f>
        <v>미해당</v>
      </c>
      <c r="AN59" s="27"/>
      <c r="AO59" s="32"/>
      <c r="AP59" s="27"/>
      <c r="AQ59" s="32"/>
      <c r="AR59" s="27"/>
      <c r="AS59" s="27"/>
      <c r="AT59" s="37"/>
      <c r="AU59" s="27"/>
      <c r="AV59" s="38" t="s">
        <v>955</v>
      </c>
      <c r="AW59" s="39"/>
      <c r="AX59" s="39"/>
      <c r="AY59" s="40" t="s">
        <v>251</v>
      </c>
      <c r="AZ59" s="41" t="s">
        <v>252</v>
      </c>
      <c r="BA59" s="30" t="s">
        <v>230</v>
      </c>
      <c r="BB59" s="30" t="s">
        <v>956</v>
      </c>
      <c r="BC59" s="42" t="s">
        <v>208</v>
      </c>
      <c r="BD59" s="42" t="s">
        <v>957</v>
      </c>
      <c r="BE59" s="43" t="s">
        <v>958</v>
      </c>
      <c r="BF59" s="42" t="s">
        <v>211</v>
      </c>
      <c r="BG59" s="42" t="s">
        <v>341</v>
      </c>
      <c r="BH59" s="35"/>
      <c r="BI59" s="44" t="s">
        <v>959</v>
      </c>
      <c r="BJ59" s="45" t="str">
        <f>IFERROR(VLOOKUP($BG59,[1]프로젝트현황!Y:Z,2,0),"기타")</f>
        <v>서남권</v>
      </c>
      <c r="BK59" s="46" t="str">
        <f>(IF(BF59="","",BF59&amp;" "))&amp;(IF(BG59="","",BG59&amp;" "))&amp;(IF(BH59="","",BH59&amp;" "))&amp;BI59</f>
        <v>서울시 구로구 신도림로 87, 105동 401호(신도림동, 신도림1차동아아파트)</v>
      </c>
      <c r="BL59" s="47">
        <v>30</v>
      </c>
      <c r="BM59" s="47">
        <v>30</v>
      </c>
      <c r="BN59" s="48">
        <v>70000000</v>
      </c>
      <c r="BO59" s="48">
        <f>BP59*12</f>
        <v>70000030.800000012</v>
      </c>
      <c r="BP59" s="49">
        <f>SUM(BQ59:BS59)</f>
        <v>5833335.9000000004</v>
      </c>
      <c r="BQ59" s="49">
        <f>ROUNDUP(BN59/12*209/(209+BU59*1.5)/BL59*BM59,-1)-BS59</f>
        <v>4047970</v>
      </c>
      <c r="BR59" s="49">
        <f>ROUNDUP(BN59/12*(BU59*1.5)/(209+BU59*1.5)/BL59*BM59,1)</f>
        <v>1585365.9000000001</v>
      </c>
      <c r="BS59" s="49">
        <v>200000</v>
      </c>
      <c r="BT59" s="50">
        <v>209</v>
      </c>
      <c r="BU59" s="49">
        <f>IF($BN59="","",
IFERROR(
    IF($BN59&lt;'[1]시간외시간 기준표'!$B$2,0,
        IF($BN59&gt;LOOKUP(9.9E+307,'[1]시간외시간 기준표'!$B$2:$B$999),
            LOOKUP(9.9E+307,'[1]시간외시간 기준표'!$C$2:$C$999),
            LOOKUP($BN59,'[1]시간외시간 기준표'!$B$2:$B$999,'[1]시간외시간 기준표'!$C$2:$C$999)
        )
    ),0)
)</f>
        <v>52</v>
      </c>
      <c r="BV59" s="50">
        <f>(BQ59+BS59)/209</f>
        <v>20325.215311004784</v>
      </c>
      <c r="BW59" s="51">
        <v>30</v>
      </c>
      <c r="BX59" s="51">
        <v>30</v>
      </c>
      <c r="BY59" s="52">
        <v>70000000</v>
      </c>
      <c r="BZ59" s="52">
        <f>CA59*12</f>
        <v>70000030.800000012</v>
      </c>
      <c r="CA59" s="49">
        <f>SUM(CB59:CD59)</f>
        <v>5833335.9000000004</v>
      </c>
      <c r="CB59" s="49">
        <f>ROUNDUP(BY59/12*209/(209+CF59*1.5)/BW59*BX59,-1)-CD59</f>
        <v>4047970</v>
      </c>
      <c r="CC59" s="49">
        <f>ROUNDUP(BY59/12*(CF59*1.5)/(209+CF59*1.5)/BW59*BX59,1)</f>
        <v>1585365.9000000001</v>
      </c>
      <c r="CD59" s="49">
        <v>200000</v>
      </c>
      <c r="CE59" s="50">
        <v>209</v>
      </c>
      <c r="CF59" s="49">
        <f>IF(BY59&lt;26000000,0,IF(BY59&lt;26500000,4,IF(BY59&lt;27000000,7,IF(BY59&lt;27500000,9,IF(BY59&lt;28000000,11,IF(BY59&lt;28500000,15,IF(BY59&lt;29000000,17,IF(BY59&lt;29500000,20,IF(BY59&lt;30000000,23,IF(BY59&lt;30500000,25,IF(BY59&lt;31000000,27,IF(BY59&lt;31500000,29,IF(BY59&lt;32000000,33,IF(BY59&lt;32500000,37,IF(BY59&lt;33000000,39,IF(BY59&lt;33500000,42,IF(BY59&lt;34000000,45,IF(BY59&lt;34500000,48,IF(BY59&lt;35000000,52,52)))))))))))))))))))</f>
        <v>52</v>
      </c>
      <c r="CG59" s="50">
        <f>(CB59+CD59)/209</f>
        <v>20325.215311004784</v>
      </c>
      <c r="CH59" s="51">
        <v>30</v>
      </c>
      <c r="CI59" s="51">
        <v>30</v>
      </c>
      <c r="CJ59" s="52">
        <v>56500000</v>
      </c>
      <c r="CK59" s="52">
        <f>CL59*12</f>
        <v>56500041.599999994</v>
      </c>
      <c r="CL59" s="49">
        <f>SUM(CM59:CO59)</f>
        <v>4708336.8</v>
      </c>
      <c r="CM59" s="49">
        <f>ROUNDUP(CJ59/12*209/(209+CQ59*1.5)/CH59*CI59,-1)-CO59</f>
        <v>3228720</v>
      </c>
      <c r="CN59" s="49">
        <f>ROUNDUP(CJ59/12*(CQ59*1.5)/(209+CQ59*1.5)/CH59*CI59,1)</f>
        <v>1279616.8</v>
      </c>
      <c r="CO59" s="50">
        <v>200000</v>
      </c>
      <c r="CP59" s="50">
        <v>209</v>
      </c>
      <c r="CQ59" s="50">
        <f>IF(CJ59&lt;26000000,0,IF(CJ59&lt;26500000,4,IF(CJ59&lt;27000000,7,IF(CJ59&lt;27500000,9,IF(CJ59&lt;28000000,11,IF(CJ59&lt;28500000,15,IF(CJ59&lt;29000000,17,IF(CJ59&lt;29500000,20,IF(CJ59&lt;30000000,23,IF(CJ59&lt;30500000,25,IF(CJ59&lt;31000000,27,IF(CJ59&lt;31500000,29,IF(CJ59&lt;32000000,33,IF(CJ59&lt;32500000,37,IF(CJ59&lt;33000000,39,IF(CJ59&lt;33500000,42,IF(CJ59&lt;34000000,45,IF(CJ59&lt;34500000,48,IF(CJ59&lt;35000000,52,52)))))))))))))))))))</f>
        <v>52</v>
      </c>
      <c r="CR59" s="50">
        <f>(CM59+CO59)/209</f>
        <v>16405.358851674642</v>
      </c>
      <c r="CS59" s="52">
        <v>55000000</v>
      </c>
      <c r="CT59" s="53">
        <f>IFERROR(CS59/12,"")</f>
        <v>4583333.333333333</v>
      </c>
      <c r="CU59" s="53">
        <f>IFERROR(CT59-CV59-CW59,"")</f>
        <v>3137688.7340301974</v>
      </c>
      <c r="CV59" s="53">
        <f>IFERROR(CT59*(CY59*1.5)/(209+(CY59*1.5)),"")</f>
        <v>1245644.5993031359</v>
      </c>
      <c r="CW59" s="54">
        <v>200000</v>
      </c>
      <c r="CX59" s="54">
        <v>209</v>
      </c>
      <c r="CY59" s="54">
        <v>52</v>
      </c>
      <c r="CZ59" s="55">
        <f>SUM(CX59:CY59)</f>
        <v>261</v>
      </c>
      <c r="DA59" s="55">
        <f>IFERROR((CU59/209)+(CW59-(9620*209*0.01))/209,"")</f>
        <v>15873.602555168407</v>
      </c>
      <c r="DB59" s="56">
        <f>IFERROR((CU59+CW59)/209,"")</f>
        <v>15969.802555168408</v>
      </c>
      <c r="DC59" s="57">
        <v>2023</v>
      </c>
      <c r="DD59" s="58"/>
      <c r="DE59" s="58"/>
      <c r="DF59" s="57"/>
      <c r="DG59" s="59">
        <f>B59</f>
        <v>230208</v>
      </c>
      <c r="DH59" s="58"/>
      <c r="DI59" s="58"/>
      <c r="DJ59" s="60"/>
      <c r="DK59" s="58"/>
      <c r="DL59" s="61"/>
      <c r="DM59" s="24"/>
    </row>
    <row r="60" spans="1:117" ht="15" customHeight="1">
      <c r="A60" s="25">
        <f>ROW()-2</f>
        <v>58</v>
      </c>
      <c r="B60" s="26">
        <v>230302</v>
      </c>
      <c r="C60" s="27" t="s">
        <v>960</v>
      </c>
      <c r="D60" s="27"/>
      <c r="E60" s="27" t="s">
        <v>613</v>
      </c>
      <c r="F60" s="27" t="s">
        <v>196</v>
      </c>
      <c r="G60" s="27" t="s">
        <v>240</v>
      </c>
      <c r="H60" s="27" t="s">
        <v>260</v>
      </c>
      <c r="I60" s="27" t="s">
        <v>948</v>
      </c>
      <c r="J60" s="27" t="str">
        <f>+VLOOKUP($I60,[1]프로젝트현황!$I:$N,5,0)</f>
        <v>서울시</v>
      </c>
      <c r="K60" s="27" t="str">
        <f>+VLOOKUP($I60,[1]프로젝트현황!$I:$N,6,0)</f>
        <v>구로구</v>
      </c>
      <c r="L60" s="28">
        <v>44991</v>
      </c>
      <c r="M60" s="28">
        <v>44991</v>
      </c>
      <c r="N60" s="28"/>
      <c r="O60" s="29"/>
      <c r="P60" s="30" t="s">
        <v>961</v>
      </c>
      <c r="Q60" s="27" t="s">
        <v>962</v>
      </c>
      <c r="R60" s="31" t="str">
        <f>LEFT(Q60,6)</f>
        <v>010104</v>
      </c>
      <c r="S60" s="31" t="str">
        <f>MID($Q60,3,2)</f>
        <v>01</v>
      </c>
      <c r="T60" s="31" t="str">
        <f>IF(OR(MID($Q60,8,1)="1",MID($Q60,8,1)="3"),"남자",IF(OR(MID($Q60,8,1)="2",MID($Q60,8,1)="4"),"여자",""))</f>
        <v>여자</v>
      </c>
      <c r="U60" s="31">
        <f ca="1">YEAR(TODAY())-IF(OR(MID($Q60,8,1)="1",MID($Q60,8,1)="2"),19&amp;LEFT($Q60,2),IF(OR(MID($Q60,8,1)="3",MID($Q60,8,1)="4"),20&amp;LEFT($Q60,2),""))+1</f>
        <v>26</v>
      </c>
      <c r="V60" s="31" t="s">
        <v>200</v>
      </c>
      <c r="W60" s="31" t="s">
        <v>201</v>
      </c>
      <c r="X60" s="27" t="s">
        <v>963</v>
      </c>
      <c r="Y60" s="27"/>
      <c r="Z60" s="27"/>
      <c r="AA60" s="32"/>
      <c r="AB60" s="31" t="s">
        <v>203</v>
      </c>
      <c r="AC60" s="27"/>
      <c r="AD60" s="33" t="str">
        <f ca="1">QUOTIENT(SUMPRODUCT(LEFT($AE60:$AF60,FIND("년",$AE60:$AF60)-1)*12+MID($AE60:$AF60,FIND("년",$AE60:$AF60)+1,FIND("개월",$AE60:$AF60)-FIND("년",$AE60:$AF60)-1)),12)&amp;"년"&amp;MOD(SUMPRODUCT(LEFT($AE60:$AF60,FIND("년",$AE60:$AF60)-1)*12+MID($AE60:$AF60,FIND("년",$AE60:$AF60)+1,FIND("개월",$AE60:$AF60)-FIND("년",$AE60:$AF60)-1)),12)&amp;"개월"</f>
        <v>2년11개월</v>
      </c>
      <c r="AE60" s="33" t="s">
        <v>543</v>
      </c>
      <c r="AF60" s="34" t="str">
        <f ca="1">DATEDIF($L60,TODAY(),"y")&amp;"년"&amp;DATEDIF($L60,TODAY(),"ym")&amp;"개월"</f>
        <v>2년11개월</v>
      </c>
      <c r="AG60" s="35" t="s">
        <v>906</v>
      </c>
      <c r="AH60" s="35" t="s">
        <v>940</v>
      </c>
      <c r="AI60" s="30" t="s">
        <v>270</v>
      </c>
      <c r="AJ60" s="32">
        <v>45338</v>
      </c>
      <c r="AK60" s="36">
        <f ca="1">VALUE(LEFT($AD60,FIND("년",$AD60)-1))</f>
        <v>2</v>
      </c>
      <c r="AL60" s="31" t="str">
        <f ca="1">IF($AI60="학사",IF($AK60&lt;=5,"초급",IF($AK60&lt;9,"중급",IF($AK60&lt;12,"고급",IF($AK60&gt;=12,"특급")))))</f>
        <v>초급</v>
      </c>
      <c r="AM60" s="31" t="str">
        <f>IF(ISNUMBER(SEARCH("산업기사",$AT60)),IF($AK60&gt;=13,"특급",IF($AK60&gt;=10,"고급",IF($AK60&gt;=7,"중급","초급"))),IF(ISNUMBER(SEARCH("기사",$AR60)),IF($AK60&gt;=10,"특급",IF($AK60&gt;=7,"고급",IF($AK60&gt;=4,"중급","초급"))),"미해당"))</f>
        <v>미해당</v>
      </c>
      <c r="AN60" s="27"/>
      <c r="AO60" s="32"/>
      <c r="AP60" s="27"/>
      <c r="AQ60" s="32"/>
      <c r="AR60" s="27"/>
      <c r="AS60" s="27"/>
      <c r="AT60" s="37"/>
      <c r="AU60" s="27"/>
      <c r="AV60" s="38"/>
      <c r="AW60" s="39"/>
      <c r="AX60" s="39"/>
      <c r="AY60" s="40" t="s">
        <v>251</v>
      </c>
      <c r="AZ60" s="41" t="s">
        <v>252</v>
      </c>
      <c r="BA60" s="30" t="s">
        <v>230</v>
      </c>
      <c r="BB60" s="30" t="s">
        <v>964</v>
      </c>
      <c r="BC60" s="42" t="s">
        <v>254</v>
      </c>
      <c r="BD60" s="42" t="s">
        <v>965</v>
      </c>
      <c r="BE60" s="43" t="s">
        <v>966</v>
      </c>
      <c r="BF60" s="42" t="s">
        <v>234</v>
      </c>
      <c r="BG60" s="42" t="s">
        <v>452</v>
      </c>
      <c r="BH60" s="35"/>
      <c r="BI60" s="44" t="s">
        <v>967</v>
      </c>
      <c r="BJ60" s="45" t="str">
        <f>IFERROR(VLOOKUP($BG60,[1]프로젝트현황!Y:Z,2,0),"기타")</f>
        <v>서북권</v>
      </c>
      <c r="BK60" s="46" t="str">
        <f>(IF(BF60="","",BF60&amp;" "))&amp;(IF(BG60="","",BG60&amp;" "))&amp;(IF(BH60="","",BH60&amp;" "))&amp;BI60</f>
        <v>경기도 파주시 시청로 85, 209동 1202호 (아동동, 신안실크밸리2차아파트)</v>
      </c>
      <c r="BL60" s="47">
        <v>30</v>
      </c>
      <c r="BM60" s="47">
        <v>30</v>
      </c>
      <c r="BN60" s="48">
        <v>29700000</v>
      </c>
      <c r="BO60" s="48">
        <f>BP60*12</f>
        <v>29700114</v>
      </c>
      <c r="BP60" s="49">
        <f>SUM(BQ60:BS60)</f>
        <v>2475009.5</v>
      </c>
      <c r="BQ60" s="49">
        <f>ROUNDUP(BN60/12*209/(209+BU60*1.5)/BL60*BM60,-1)-BS60</f>
        <v>1964340</v>
      </c>
      <c r="BR60" s="49">
        <f>ROUNDUP(BN60/12*(BU60*1.5)/(209+BU60*1.5)/BL60*BM60,1)</f>
        <v>310669.5</v>
      </c>
      <c r="BS60" s="49">
        <v>200000</v>
      </c>
      <c r="BT60" s="50">
        <v>209</v>
      </c>
      <c r="BU60" s="49">
        <f>IF($BN60="","",
IFERROR(
    IF($BN60&lt;'[1]시간외시간 기준표'!$B$2,0,
        IF($BN60&gt;LOOKUP(9.9E+307,'[1]시간외시간 기준표'!$B$2:$B$999),
            LOOKUP(9.9E+307,'[1]시간외시간 기준표'!$C$2:$C$999),
            LOOKUP($BN60,'[1]시간외시간 기준표'!$B$2:$B$999,'[1]시간외시간 기준표'!$C$2:$C$999)
        )
    ),0)
)</f>
        <v>20</v>
      </c>
      <c r="BV60" s="50">
        <f>(BQ60+BS60)/209</f>
        <v>10355.693779904306</v>
      </c>
      <c r="BW60" s="51">
        <v>30</v>
      </c>
      <c r="BX60" s="51">
        <v>30</v>
      </c>
      <c r="BY60" s="52">
        <v>29700000</v>
      </c>
      <c r="BZ60" s="52">
        <f>CA60*12</f>
        <v>29700088.799999997</v>
      </c>
      <c r="CA60" s="49">
        <f>SUM(CB60:CD60)</f>
        <v>2475007.4</v>
      </c>
      <c r="CB60" s="49">
        <f>ROUNDUP(BY60/12*209/(209+CF60*1.5)/BW60*BX60,-1)-CD60</f>
        <v>1924340</v>
      </c>
      <c r="CC60" s="49">
        <f>ROUNDUP(BY60/12*(CF60*1.5)/(209+CF60*1.5)/BW60*BX60,1)</f>
        <v>350667.39999999997</v>
      </c>
      <c r="CD60" s="49">
        <v>200000</v>
      </c>
      <c r="CE60" s="50">
        <v>209</v>
      </c>
      <c r="CF60" s="49">
        <f>IF(BY60&lt;26000000,0,IF(BY60&lt;26500000,4,IF(BY60&lt;27000000,7,IF(BY60&lt;27500000,9,IF(BY60&lt;28000000,11,IF(BY60&lt;28500000,15,IF(BY60&lt;29000000,17,IF(BY60&lt;29500000,20,IF(BY60&lt;30000000,23,IF(BY60&lt;30500000,25,IF(BY60&lt;31000000,27,IF(BY60&lt;31500000,29,IF(BY60&lt;32000000,33,IF(BY60&lt;32500000,37,IF(BY60&lt;33000000,39,IF(BY60&lt;33500000,42,IF(BY60&lt;34000000,45,IF(BY60&lt;34500000,48,IF(BY60&lt;35000000,52,52)))))))))))))))))))</f>
        <v>23</v>
      </c>
      <c r="CG60" s="50">
        <f>(CB60+CD60)/209</f>
        <v>10164.306220095694</v>
      </c>
      <c r="CH60" s="51">
        <v>30</v>
      </c>
      <c r="CI60" s="51">
        <v>30</v>
      </c>
      <c r="CJ60" s="52">
        <v>28900000</v>
      </c>
      <c r="CK60" s="52">
        <f>CL60*12</f>
        <v>28900044</v>
      </c>
      <c r="CL60" s="49">
        <f>SUM(CM60:CO60)</f>
        <v>2408337</v>
      </c>
      <c r="CM60" s="49">
        <f>ROUNDUP(CJ60/12*209/(209+CQ60*1.5)/CH60*CI60,-1)-CO60</f>
        <v>1946450</v>
      </c>
      <c r="CN60" s="49">
        <f>ROUNDUP(CJ60/12*(CQ60*1.5)/(209+CQ60*1.5)/CH60*CI60,1)</f>
        <v>261887</v>
      </c>
      <c r="CO60" s="50">
        <v>200000</v>
      </c>
      <c r="CP60" s="50">
        <v>209</v>
      </c>
      <c r="CQ60" s="50">
        <f>IF(CJ60&lt;26000000,0,IF(CJ60&lt;26500000,4,IF(CJ60&lt;27000000,7,IF(CJ60&lt;27500000,9,IF(CJ60&lt;28000000,11,IF(CJ60&lt;28500000,15,IF(CJ60&lt;29000000,17,IF(CJ60&lt;29500000,20,IF(CJ60&lt;30000000,23,IF(CJ60&lt;30500000,25,IF(CJ60&lt;31000000,27,IF(CJ60&lt;31500000,29,IF(CJ60&lt;32000000,33,IF(CJ60&lt;32500000,37,IF(CJ60&lt;33000000,39,IF(CJ60&lt;33500000,42,IF(CJ60&lt;34000000,45,IF(CJ60&lt;34500000,48,IF(CJ60&lt;35000000,52,52)))))))))))))))))))</f>
        <v>17</v>
      </c>
      <c r="CR60" s="50">
        <f>(CM60+CO60)/209</f>
        <v>10270.095693779904</v>
      </c>
      <c r="CS60" s="52">
        <v>28000000</v>
      </c>
      <c r="CT60" s="53">
        <f>IFERROR(CS60/12,"")</f>
        <v>2333333.3333333335</v>
      </c>
      <c r="CU60" s="53">
        <f>IFERROR(CT60-CV60-CW60,"")</f>
        <v>1840446.3040446306</v>
      </c>
      <c r="CV60" s="53">
        <f>IFERROR(CT60*(CY60*1.5)/(209+(CY60*1.5)),"")</f>
        <v>292887.02928870294</v>
      </c>
      <c r="CW60" s="54">
        <v>200000</v>
      </c>
      <c r="CX60" s="54">
        <v>209</v>
      </c>
      <c r="CY60" s="54">
        <v>20</v>
      </c>
      <c r="CZ60" s="55">
        <f>SUM(CX60:CY60)</f>
        <v>229</v>
      </c>
      <c r="DA60" s="55">
        <f>IFERROR((CU60/209)+(CW60-(9620*209*0.01))/209,"")</f>
        <v>9666.7009762900998</v>
      </c>
      <c r="DB60" s="56">
        <f>IFERROR((CU60+CW60)/209,"")</f>
        <v>9762.9009762900987</v>
      </c>
      <c r="DC60" s="57">
        <v>2023</v>
      </c>
      <c r="DD60" s="58"/>
      <c r="DE60" s="58"/>
      <c r="DF60" s="57"/>
      <c r="DG60" s="59">
        <f>B60</f>
        <v>230302</v>
      </c>
      <c r="DH60" s="58"/>
      <c r="DI60" s="58"/>
      <c r="DJ60" s="60"/>
      <c r="DK60" s="58"/>
      <c r="DL60" s="61"/>
      <c r="DM60" s="24"/>
    </row>
    <row r="61" spans="1:117" ht="15" customHeight="1">
      <c r="A61" s="25">
        <f>ROW()-2</f>
        <v>59</v>
      </c>
      <c r="B61" s="26">
        <v>230306</v>
      </c>
      <c r="C61" s="27" t="s">
        <v>968</v>
      </c>
      <c r="D61" s="27"/>
      <c r="E61" s="27" t="s">
        <v>613</v>
      </c>
      <c r="F61" s="27" t="s">
        <v>196</v>
      </c>
      <c r="G61" s="27" t="s">
        <v>240</v>
      </c>
      <c r="H61" s="27" t="s">
        <v>241</v>
      </c>
      <c r="I61" s="27" t="s">
        <v>653</v>
      </c>
      <c r="J61" s="27" t="str">
        <f>+VLOOKUP($I61,[1]프로젝트현황!$I:$N,5,0)</f>
        <v>서울시</v>
      </c>
      <c r="K61" s="27" t="str">
        <f>+VLOOKUP($I61,[1]프로젝트현황!$I:$N,6,0)</f>
        <v>강남구</v>
      </c>
      <c r="L61" s="28">
        <v>44991</v>
      </c>
      <c r="M61" s="28">
        <v>44991</v>
      </c>
      <c r="N61" s="28"/>
      <c r="O61" s="29"/>
      <c r="P61" s="30" t="s">
        <v>969</v>
      </c>
      <c r="Q61" s="27" t="s">
        <v>970</v>
      </c>
      <c r="R61" s="31" t="str">
        <f>LEFT(Q61,6)</f>
        <v>960201</v>
      </c>
      <c r="S61" s="31" t="str">
        <f>MID($Q61,3,2)</f>
        <v>02</v>
      </c>
      <c r="T61" s="31" t="str">
        <f>IF(OR(MID($Q61,8,1)="1",MID($Q61,8,1)="3"),"남자",IF(OR(MID($Q61,8,1)="2",MID($Q61,8,1)="4"),"여자",""))</f>
        <v>남자</v>
      </c>
      <c r="U61" s="31">
        <f ca="1">YEAR(TODAY())-IF(OR(MID($Q61,8,1)="1",MID($Q61,8,1)="2"),19&amp;LEFT($Q61,2),IF(OR(MID($Q61,8,1)="3",MID($Q61,8,1)="4"),20&amp;LEFT($Q61,2),""))+1</f>
        <v>31</v>
      </c>
      <c r="V61" s="31" t="s">
        <v>200</v>
      </c>
      <c r="W61" s="31" t="s">
        <v>201</v>
      </c>
      <c r="X61" s="27" t="s">
        <v>971</v>
      </c>
      <c r="Y61" s="27"/>
      <c r="Z61" s="27" t="s">
        <v>222</v>
      </c>
      <c r="AA61" s="32"/>
      <c r="AB61" s="31" t="s">
        <v>203</v>
      </c>
      <c r="AC61" s="27"/>
      <c r="AD61" s="33" t="str">
        <f ca="1">QUOTIENT(SUMPRODUCT(LEFT($AE61:$AF61,FIND("년",$AE61:$AF61)-1)*12+MID($AE61:$AF61,FIND("년",$AE61:$AF61)+1,FIND("개월",$AE61:$AF61)-FIND("년",$AE61:$AF61)-1)),12)&amp;"년"&amp;MOD(SUMPRODUCT(LEFT($AE61:$AF61,FIND("년",$AE61:$AF61)-1)*12+MID($AE61:$AF61,FIND("년",$AE61:$AF61)+1,FIND("개월",$AE61:$AF61)-FIND("년",$AE61:$AF61)-1)),12)&amp;"개월"</f>
        <v>4년2개월</v>
      </c>
      <c r="AE61" s="33" t="s">
        <v>806</v>
      </c>
      <c r="AF61" s="34" t="str">
        <f ca="1">DATEDIF($L61,TODAY(),"y")&amp;"년"&amp;DATEDIF($L61,TODAY(),"ym")&amp;"개월"</f>
        <v>2년11개월</v>
      </c>
      <c r="AG61" s="35" t="s">
        <v>972</v>
      </c>
      <c r="AH61" s="35" t="s">
        <v>973</v>
      </c>
      <c r="AI61" s="30" t="s">
        <v>205</v>
      </c>
      <c r="AJ61" s="32">
        <v>44246</v>
      </c>
      <c r="AK61" s="36">
        <f ca="1">VALUE(LEFT($AD61,FIND("년",$AD61)-1))</f>
        <v>4</v>
      </c>
      <c r="AL61" s="31" t="str">
        <f ca="1">IF($AI61="전문학사",IF($AK61&lt;=8,"초급",IF($AK61&lt;12,"중급",IF($AK61&lt;15,"고급",IF($AK61&gt;=15,"특급")))))</f>
        <v>초급</v>
      </c>
      <c r="AM61" s="31" t="str">
        <f>IF(ISNUMBER(SEARCH("산업기사",$AT61)),IF($AK61&gt;=13,"특급",IF($AK61&gt;=10,"고급",IF($AK61&gt;=7,"중급","초급"))),IF(ISNUMBER(SEARCH("기사",$AR61)),IF($AK61&gt;=10,"특급",IF($AK61&gt;=7,"고급",IF($AK61&gt;=4,"중급","초급"))),"미해당"))</f>
        <v>미해당</v>
      </c>
      <c r="AN61" s="27"/>
      <c r="AO61" s="32"/>
      <c r="AP61" s="27" t="s">
        <v>137</v>
      </c>
      <c r="AQ61" s="32">
        <v>45407</v>
      </c>
      <c r="AR61" s="27"/>
      <c r="AS61" s="27"/>
      <c r="AT61" s="37"/>
      <c r="AU61" s="27"/>
      <c r="AV61" s="38"/>
      <c r="AW61" s="39"/>
      <c r="AX61" s="39"/>
      <c r="AY61" s="40" t="s">
        <v>251</v>
      </c>
      <c r="AZ61" s="41" t="s">
        <v>252</v>
      </c>
      <c r="BA61" s="30" t="s">
        <v>230</v>
      </c>
      <c r="BB61" s="30" t="s">
        <v>974</v>
      </c>
      <c r="BC61" s="42" t="s">
        <v>208</v>
      </c>
      <c r="BD61" s="42" t="s">
        <v>975</v>
      </c>
      <c r="BE61" s="43" t="s">
        <v>976</v>
      </c>
      <c r="BF61" s="42" t="s">
        <v>234</v>
      </c>
      <c r="BG61" s="42" t="s">
        <v>464</v>
      </c>
      <c r="BH61" s="35"/>
      <c r="BI61" s="44" t="s">
        <v>977</v>
      </c>
      <c r="BJ61" s="45" t="str">
        <f>IFERROR(VLOOKUP($BG61,[1]프로젝트현황!Y:Z,2,0),"기타")</f>
        <v>동남권</v>
      </c>
      <c r="BK61" s="46" t="str">
        <f>(IF(BF61="","",BF61&amp;" "))&amp;(IF(BG61="","",BG61&amp;" "))&amp;(IF(BH61="","",BH61&amp;" "))&amp;BI61</f>
        <v>경기도 광주시 새말길 174-3, 202호 (신현동, 신촌하우스)</v>
      </c>
      <c r="BL61" s="47">
        <v>30</v>
      </c>
      <c r="BM61" s="47">
        <v>30</v>
      </c>
      <c r="BN61" s="48">
        <v>29700000</v>
      </c>
      <c r="BO61" s="48">
        <f>BP61*12</f>
        <v>29700114</v>
      </c>
      <c r="BP61" s="49">
        <f>SUM(BQ61:BS61)</f>
        <v>2475009.5</v>
      </c>
      <c r="BQ61" s="49">
        <f>ROUNDUP(BN61/12*209/(209+BU61*1.5)/BL61*BM61,-1)-BS61</f>
        <v>1964340</v>
      </c>
      <c r="BR61" s="49">
        <f>ROUNDUP(BN61/12*(BU61*1.5)/(209+BU61*1.5)/BL61*BM61,1)</f>
        <v>310669.5</v>
      </c>
      <c r="BS61" s="49">
        <v>200000</v>
      </c>
      <c r="BT61" s="50">
        <v>209</v>
      </c>
      <c r="BU61" s="49">
        <f>IF($BN61="","",
IFERROR(
    IF($BN61&lt;'[1]시간외시간 기준표'!$B$2,0,
        IF($BN61&gt;LOOKUP(9.9E+307,'[1]시간외시간 기준표'!$B$2:$B$999),
            LOOKUP(9.9E+307,'[1]시간외시간 기준표'!$C$2:$C$999),
            LOOKUP($BN61,'[1]시간외시간 기준표'!$B$2:$B$999,'[1]시간외시간 기준표'!$C$2:$C$999)
        )
    ),0)
)</f>
        <v>20</v>
      </c>
      <c r="BV61" s="50">
        <f>(BQ61+BS61)/209</f>
        <v>10355.693779904306</v>
      </c>
      <c r="BW61" s="51">
        <v>30</v>
      </c>
      <c r="BX61" s="51">
        <v>30</v>
      </c>
      <c r="BY61" s="52">
        <v>29700000</v>
      </c>
      <c r="BZ61" s="52">
        <f>CA61*12</f>
        <v>29700088.799999997</v>
      </c>
      <c r="CA61" s="49">
        <f>SUM(CB61:CD61)</f>
        <v>2475007.4</v>
      </c>
      <c r="CB61" s="49">
        <f>ROUNDUP(BY61/12*209/(209+CF61*1.5)/BW61*BX61,-1)-CD61</f>
        <v>1924340</v>
      </c>
      <c r="CC61" s="49">
        <f>ROUNDUP(BY61/12*(CF61*1.5)/(209+CF61*1.5)/BW61*BX61,1)</f>
        <v>350667.39999999997</v>
      </c>
      <c r="CD61" s="49">
        <v>200000</v>
      </c>
      <c r="CE61" s="50">
        <v>209</v>
      </c>
      <c r="CF61" s="49">
        <f>IF(BY61&lt;26000000,0,IF(BY61&lt;26500000,4,IF(BY61&lt;27000000,7,IF(BY61&lt;27500000,9,IF(BY61&lt;28000000,11,IF(BY61&lt;28500000,15,IF(BY61&lt;29000000,17,IF(BY61&lt;29500000,20,IF(BY61&lt;30000000,23,IF(BY61&lt;30500000,25,IF(BY61&lt;31000000,27,IF(BY61&lt;31500000,29,IF(BY61&lt;32000000,33,IF(BY61&lt;32500000,37,IF(BY61&lt;33000000,39,IF(BY61&lt;33500000,42,IF(BY61&lt;34000000,45,IF(BY61&lt;34500000,48,IF(BY61&lt;35000000,52,52)))))))))))))))))))</f>
        <v>23</v>
      </c>
      <c r="CG61" s="50">
        <f>(CB61+CD61)/209</f>
        <v>10164.306220095694</v>
      </c>
      <c r="CH61" s="51">
        <v>30</v>
      </c>
      <c r="CI61" s="51">
        <v>30</v>
      </c>
      <c r="CJ61" s="52">
        <v>28900000</v>
      </c>
      <c r="CK61" s="52">
        <f>CL61*12</f>
        <v>28900044</v>
      </c>
      <c r="CL61" s="49">
        <f>SUM(CM61:CO61)</f>
        <v>2408337</v>
      </c>
      <c r="CM61" s="49">
        <f>ROUNDUP(CJ61/12*209/(209+CQ61*1.5)/CH61*CI61,-1)-CO61</f>
        <v>1946450</v>
      </c>
      <c r="CN61" s="49">
        <f>ROUNDUP(CJ61/12*(CQ61*1.5)/(209+CQ61*1.5)/CH61*CI61,1)</f>
        <v>261887</v>
      </c>
      <c r="CO61" s="50">
        <v>200000</v>
      </c>
      <c r="CP61" s="50">
        <v>209</v>
      </c>
      <c r="CQ61" s="50">
        <f>IF(CJ61&lt;26000000,0,IF(CJ61&lt;26500000,4,IF(CJ61&lt;27000000,7,IF(CJ61&lt;27500000,9,IF(CJ61&lt;28000000,11,IF(CJ61&lt;28500000,15,IF(CJ61&lt;29000000,17,IF(CJ61&lt;29500000,20,IF(CJ61&lt;30000000,23,IF(CJ61&lt;30500000,25,IF(CJ61&lt;31000000,27,IF(CJ61&lt;31500000,29,IF(CJ61&lt;32000000,33,IF(CJ61&lt;32500000,37,IF(CJ61&lt;33000000,39,IF(CJ61&lt;33500000,42,IF(CJ61&lt;34000000,45,IF(CJ61&lt;34500000,48,IF(CJ61&lt;35000000,52,52)))))))))))))))))))</f>
        <v>17</v>
      </c>
      <c r="CR61" s="50">
        <f>(CM61+CO61)/209</f>
        <v>10270.095693779904</v>
      </c>
      <c r="CS61" s="52">
        <v>28000000</v>
      </c>
      <c r="CT61" s="53">
        <f>IFERROR(CS61/12,"")</f>
        <v>2333333.3333333335</v>
      </c>
      <c r="CU61" s="53">
        <f>IFERROR(CT61-CV61-CW61,"")</f>
        <v>1840446.3040446306</v>
      </c>
      <c r="CV61" s="53">
        <f>IFERROR(CT61*(CY61*1.5)/(209+(CY61*1.5)),"")</f>
        <v>292887.02928870294</v>
      </c>
      <c r="CW61" s="54">
        <v>200000</v>
      </c>
      <c r="CX61" s="54">
        <v>209</v>
      </c>
      <c r="CY61" s="54">
        <v>20</v>
      </c>
      <c r="CZ61" s="55">
        <f>SUM(CX61:CY61)</f>
        <v>229</v>
      </c>
      <c r="DA61" s="55">
        <f>IFERROR((CU61/209)+(CW61-(9620*209*0.01))/209,"")</f>
        <v>9666.7009762900998</v>
      </c>
      <c r="DB61" s="56">
        <f>IFERROR((CU61+CW61)/209,"")</f>
        <v>9762.9009762900987</v>
      </c>
      <c r="DC61" s="57">
        <v>2023</v>
      </c>
      <c r="DD61" s="58"/>
      <c r="DE61" s="58"/>
      <c r="DF61" s="57"/>
      <c r="DG61" s="59">
        <f>B61</f>
        <v>230306</v>
      </c>
      <c r="DH61" s="58"/>
      <c r="DI61" s="58"/>
      <c r="DJ61" s="60"/>
      <c r="DK61" s="58"/>
      <c r="DL61" s="61"/>
      <c r="DM61" s="24"/>
    </row>
    <row r="62" spans="1:117" ht="15" customHeight="1">
      <c r="A62" s="25">
        <f>ROW()-2</f>
        <v>60</v>
      </c>
      <c r="B62" s="26">
        <v>230308</v>
      </c>
      <c r="C62" s="27" t="s">
        <v>978</v>
      </c>
      <c r="D62" s="27"/>
      <c r="E62" s="27" t="s">
        <v>613</v>
      </c>
      <c r="F62" s="27" t="s">
        <v>196</v>
      </c>
      <c r="G62" s="27" t="s">
        <v>240</v>
      </c>
      <c r="H62" s="27" t="s">
        <v>241</v>
      </c>
      <c r="I62" s="27" t="s">
        <v>653</v>
      </c>
      <c r="J62" s="27" t="str">
        <f>+VLOOKUP($I62,[1]프로젝트현황!$I:$N,5,0)</f>
        <v>서울시</v>
      </c>
      <c r="K62" s="27" t="str">
        <f>+VLOOKUP($I62,[1]프로젝트현황!$I:$N,6,0)</f>
        <v>강남구</v>
      </c>
      <c r="L62" s="28">
        <v>44991</v>
      </c>
      <c r="M62" s="28">
        <v>44991</v>
      </c>
      <c r="N62" s="28"/>
      <c r="O62" s="29"/>
      <c r="P62" s="30" t="s">
        <v>979</v>
      </c>
      <c r="Q62" s="27" t="s">
        <v>980</v>
      </c>
      <c r="R62" s="31" t="str">
        <f>LEFT(Q62,6)</f>
        <v>941219</v>
      </c>
      <c r="S62" s="31" t="str">
        <f>MID($Q62,3,2)</f>
        <v>12</v>
      </c>
      <c r="T62" s="31" t="str">
        <f>IF(OR(MID($Q62,8,1)="1",MID($Q62,8,1)="3"),"남자",IF(OR(MID($Q62,8,1)="2",MID($Q62,8,1)="4"),"여자",""))</f>
        <v>남자</v>
      </c>
      <c r="U62" s="31">
        <f ca="1">YEAR(TODAY())-IF(OR(MID($Q62,8,1)="1",MID($Q62,8,1)="2"),19&amp;LEFT($Q62,2),IF(OR(MID($Q62,8,1)="3",MID($Q62,8,1)="4"),20&amp;LEFT($Q62,2),""))+1</f>
        <v>33</v>
      </c>
      <c r="V62" s="31" t="s">
        <v>200</v>
      </c>
      <c r="W62" s="31" t="s">
        <v>201</v>
      </c>
      <c r="X62" s="27" t="s">
        <v>981</v>
      </c>
      <c r="Y62" s="27"/>
      <c r="Z62" s="27"/>
      <c r="AA62" s="32"/>
      <c r="AB62" s="31" t="s">
        <v>203</v>
      </c>
      <c r="AC62" s="27"/>
      <c r="AD62" s="33" t="str">
        <f ca="1">QUOTIENT(SUMPRODUCT(LEFT($AE62:$AF62,FIND("년",$AE62:$AF62)-1)*12+MID($AE62:$AF62,FIND("년",$AE62:$AF62)+1,FIND("개월",$AE62:$AF62)-FIND("년",$AE62:$AF62)-1)),12)&amp;"년"&amp;MOD(SUMPRODUCT(LEFT($AE62:$AF62,FIND("년",$AE62:$AF62)-1)*12+MID($AE62:$AF62,FIND("년",$AE62:$AF62)+1,FIND("개월",$AE62:$AF62)-FIND("년",$AE62:$AF62)-1)),12)&amp;"개월"</f>
        <v>2년11개월</v>
      </c>
      <c r="AE62" s="33" t="s">
        <v>543</v>
      </c>
      <c r="AF62" s="34" t="str">
        <f ca="1">DATEDIF($L62,TODAY(),"y")&amp;"년"&amp;DATEDIF($L62,TODAY(),"ym")&amp;"개월"</f>
        <v>2년11개월</v>
      </c>
      <c r="AG62" s="35" t="s">
        <v>982</v>
      </c>
      <c r="AH62" s="35"/>
      <c r="AI62" s="30" t="s">
        <v>365</v>
      </c>
      <c r="AJ62" s="32">
        <v>41311</v>
      </c>
      <c r="AK62" s="36">
        <f ca="1">VALUE(LEFT($AD62,FIND("년",$AD62)-1))</f>
        <v>2</v>
      </c>
      <c r="AL62" s="31" t="str">
        <f ca="1">IF($AI62="고졸",IF($AK62&lt;=11,"초급",IF($AK62&lt;=14,"중급",IF($AK62&lt;=17,"고급",IF($AK62&gt;=18,"특급")))))</f>
        <v>초급</v>
      </c>
      <c r="AM62" s="31" t="str">
        <f>IF(ISNUMBER(SEARCH("산업기사",$AT62)),IF($AK62&gt;=13,"특급",IF($AK62&gt;=10,"고급",IF($AK62&gt;=7,"중급","초급"))),IF(ISNUMBER(SEARCH("기사",$AR62)),IF($AK62&gt;=10,"특급",IF($AK62&gt;=7,"고급",IF($AK62&gt;=4,"중급","초급"))),"미해당"))</f>
        <v>미해당</v>
      </c>
      <c r="AN62" s="27"/>
      <c r="AO62" s="32"/>
      <c r="AP62" s="27"/>
      <c r="AQ62" s="32"/>
      <c r="AR62" s="27"/>
      <c r="AS62" s="27"/>
      <c r="AT62" s="37"/>
      <c r="AU62" s="27"/>
      <c r="AV62" s="38"/>
      <c r="AW62" s="39"/>
      <c r="AX62" s="39"/>
      <c r="AY62" s="40" t="s">
        <v>251</v>
      </c>
      <c r="AZ62" s="41" t="s">
        <v>252</v>
      </c>
      <c r="BA62" s="30" t="s">
        <v>230</v>
      </c>
      <c r="BB62" s="30" t="s">
        <v>983</v>
      </c>
      <c r="BC62" s="42" t="s">
        <v>254</v>
      </c>
      <c r="BD62" s="42" t="s">
        <v>984</v>
      </c>
      <c r="BE62" s="43" t="s">
        <v>985</v>
      </c>
      <c r="BF62" s="42" t="s">
        <v>234</v>
      </c>
      <c r="BG62" s="42" t="s">
        <v>887</v>
      </c>
      <c r="BH62" s="35" t="s">
        <v>888</v>
      </c>
      <c r="BI62" s="44" t="s">
        <v>986</v>
      </c>
      <c r="BJ62" s="45" t="str">
        <f>IFERROR(VLOOKUP($BG62,[1]프로젝트현황!Y:Z,2,0),"기타")</f>
        <v>동남권</v>
      </c>
      <c r="BK62" s="46" t="str">
        <f>(IF(BF62="","",BF62&amp;" "))&amp;(IF(BG62="","",BG62&amp;" "))&amp;(IF(BH62="","",BH62&amp;" "))&amp;BI62</f>
        <v>경기도 용인시 수지구 죽전로 121, 105동 1301호(죽전동, 꽃메마을아이파크)</v>
      </c>
      <c r="BL62" s="47">
        <v>30</v>
      </c>
      <c r="BM62" s="47">
        <v>30</v>
      </c>
      <c r="BN62" s="48">
        <v>27700000</v>
      </c>
      <c r="BO62" s="48">
        <f>BP62*12</f>
        <v>27700034.400000002</v>
      </c>
      <c r="BP62" s="49">
        <f>SUM(BQ62:BS62)</f>
        <v>2308336.2000000002</v>
      </c>
      <c r="BQ62" s="49">
        <f>ROUNDUP(BN62/12*209/(209+BU62*1.5)/BL62*BM62,-1)-BS62</f>
        <v>1968280</v>
      </c>
      <c r="BR62" s="49">
        <f>ROUNDUP(BN62/12*(BU62*1.5)/(209+BU62*1.5)/BL62*BM62,1)</f>
        <v>140056.20000000001</v>
      </c>
      <c r="BS62" s="49">
        <v>200000</v>
      </c>
      <c r="BT62" s="50">
        <v>209</v>
      </c>
      <c r="BU62" s="49">
        <f>IF($BN62="","",
IFERROR(
    IF($BN62&lt;'[1]시간외시간 기준표'!$B$2,0,
        IF($BN62&gt;LOOKUP(9.9E+307,'[1]시간외시간 기준표'!$B$2:$B$999),
            LOOKUP(9.9E+307,'[1]시간외시간 기준표'!$C$2:$C$999),
            LOOKUP($BN62,'[1]시간외시간 기준표'!$B$2:$B$999,'[1]시간외시간 기준표'!$C$2:$C$999)
        )
    ),0)
)</f>
        <v>9</v>
      </c>
      <c r="BV62" s="50">
        <f>(BQ62+BS62)/209</f>
        <v>10374.545454545454</v>
      </c>
      <c r="BW62" s="51">
        <v>30</v>
      </c>
      <c r="BX62" s="51">
        <v>30</v>
      </c>
      <c r="BY62" s="52">
        <v>27700000</v>
      </c>
      <c r="BZ62" s="52">
        <f>CA62*12</f>
        <v>27700110</v>
      </c>
      <c r="CA62" s="49">
        <f>SUM(CB62:CD62)</f>
        <v>2308342.5</v>
      </c>
      <c r="CB62" s="49">
        <f>ROUNDUP(BY62/12*209/(209+CF62*1.5)/BW62*BX62,-1)-CD62</f>
        <v>1939440</v>
      </c>
      <c r="CC62" s="49">
        <f>ROUNDUP(BY62/12*(CF62*1.5)/(209+CF62*1.5)/BW62*BX62,1)</f>
        <v>168902.5</v>
      </c>
      <c r="CD62" s="49">
        <v>200000</v>
      </c>
      <c r="CE62" s="50">
        <v>209</v>
      </c>
      <c r="CF62" s="49">
        <f>IF(BY62&lt;26000000,0,IF(BY62&lt;26500000,4,IF(BY62&lt;27000000,7,IF(BY62&lt;27500000,9,IF(BY62&lt;28000000,11,IF(BY62&lt;28500000,15,IF(BY62&lt;29000000,17,IF(BY62&lt;29500000,20,IF(BY62&lt;30000000,23,IF(BY62&lt;30500000,25,IF(BY62&lt;31000000,27,IF(BY62&lt;31500000,29,IF(BY62&lt;32000000,33,IF(BY62&lt;32500000,37,IF(BY62&lt;33000000,39,IF(BY62&lt;33500000,42,IF(BY62&lt;34000000,45,IF(BY62&lt;34500000,48,IF(BY62&lt;35000000,52,52)))))))))))))))))))</f>
        <v>11</v>
      </c>
      <c r="CG62" s="50">
        <f>(CB62+CD62)/209</f>
        <v>10236.555023923445</v>
      </c>
      <c r="CH62" s="51">
        <v>30</v>
      </c>
      <c r="CI62" s="51">
        <v>30</v>
      </c>
      <c r="CJ62" s="52">
        <v>26900000</v>
      </c>
      <c r="CK62" s="52">
        <f>CL62*12</f>
        <v>26900068.799999997</v>
      </c>
      <c r="CL62" s="49">
        <f>SUM(CM62:CO62)</f>
        <v>2241672.4</v>
      </c>
      <c r="CM62" s="49">
        <f>ROUNDUP(CJ62/12*209/(209+CQ62*1.5)/CH62*CI62,-1)-CO62</f>
        <v>1934440</v>
      </c>
      <c r="CN62" s="49">
        <f>ROUNDUP(CJ62/12*(CQ62*1.5)/(209+CQ62*1.5)/CH62*CI62,1)</f>
        <v>107232.40000000001</v>
      </c>
      <c r="CO62" s="50">
        <v>200000</v>
      </c>
      <c r="CP62" s="50">
        <v>209</v>
      </c>
      <c r="CQ62" s="50">
        <f>IF(CJ62&lt;26000000,0,IF(CJ62&lt;26500000,4,IF(CJ62&lt;27000000,7,IF(CJ62&lt;27500000,9,IF(CJ62&lt;28000000,11,IF(CJ62&lt;28500000,15,IF(CJ62&lt;29000000,17,IF(CJ62&lt;29500000,20,IF(CJ62&lt;30000000,23,IF(CJ62&lt;30500000,25,IF(CJ62&lt;31000000,27,IF(CJ62&lt;31500000,29,IF(CJ62&lt;32000000,33,IF(CJ62&lt;32500000,37,IF(CJ62&lt;33000000,39,IF(CJ62&lt;33500000,42,IF(CJ62&lt;34000000,45,IF(CJ62&lt;34500000,48,IF(CJ62&lt;35000000,52,52)))))))))))))))))))</f>
        <v>7</v>
      </c>
      <c r="CR62" s="50">
        <f>(CM62+CO62)/209</f>
        <v>10212.631578947368</v>
      </c>
      <c r="CS62" s="52">
        <v>26000000</v>
      </c>
      <c r="CT62" s="53">
        <f>IFERROR(CS62/12,"")</f>
        <v>2166666.6666666665</v>
      </c>
      <c r="CU62" s="53">
        <f>IFERROR(CT62-CV62-CW62,"")</f>
        <v>1835205.9925093632</v>
      </c>
      <c r="CV62" s="53">
        <f>IFERROR(CT62*(CY62*1.5)/(209+(CY62*1.5)),"")</f>
        <v>131460.67415730335</v>
      </c>
      <c r="CW62" s="54">
        <v>200000</v>
      </c>
      <c r="CX62" s="54">
        <v>209</v>
      </c>
      <c r="CY62" s="54">
        <v>9</v>
      </c>
      <c r="CZ62" s="55">
        <f>SUM(CX62:CY62)</f>
        <v>218</v>
      </c>
      <c r="DA62" s="55">
        <f>IFERROR((CU62/209)+(CW62-(9620*209*0.01))/209,"")</f>
        <v>9641.627715355804</v>
      </c>
      <c r="DB62" s="56">
        <f>IFERROR((CU62+CW62)/209,"")</f>
        <v>9737.8277153558047</v>
      </c>
      <c r="DC62" s="57">
        <v>2023</v>
      </c>
      <c r="DD62" s="58"/>
      <c r="DE62" s="58"/>
      <c r="DF62" s="57"/>
      <c r="DG62" s="59">
        <f>B62</f>
        <v>230308</v>
      </c>
      <c r="DH62" s="58"/>
      <c r="DI62" s="58"/>
      <c r="DJ62" s="60"/>
      <c r="DK62" s="58"/>
      <c r="DL62" s="61"/>
      <c r="DM62" s="24"/>
    </row>
    <row r="63" spans="1:117" ht="15" customHeight="1">
      <c r="A63" s="25">
        <f>ROW()-2</f>
        <v>61</v>
      </c>
      <c r="B63" s="26">
        <v>230310</v>
      </c>
      <c r="C63" s="27" t="s">
        <v>987</v>
      </c>
      <c r="D63" s="27"/>
      <c r="E63" s="27" t="s">
        <v>613</v>
      </c>
      <c r="F63" s="27" t="s">
        <v>196</v>
      </c>
      <c r="G63" s="27" t="s">
        <v>240</v>
      </c>
      <c r="H63" s="27" t="s">
        <v>260</v>
      </c>
      <c r="I63" s="27" t="s">
        <v>948</v>
      </c>
      <c r="J63" s="27" t="str">
        <f>+VLOOKUP($I63,[1]프로젝트현황!$I:$N,5,0)</f>
        <v>서울시</v>
      </c>
      <c r="K63" s="27" t="str">
        <f>+VLOOKUP($I63,[1]프로젝트현황!$I:$N,6,0)</f>
        <v>구로구</v>
      </c>
      <c r="L63" s="28">
        <v>44991</v>
      </c>
      <c r="M63" s="28">
        <v>44991</v>
      </c>
      <c r="N63" s="28"/>
      <c r="O63" s="29"/>
      <c r="P63" s="30" t="s">
        <v>988</v>
      </c>
      <c r="Q63" s="27" t="s">
        <v>989</v>
      </c>
      <c r="R63" s="31" t="str">
        <f>LEFT(Q63,6)</f>
        <v>940127</v>
      </c>
      <c r="S63" s="31" t="str">
        <f>MID($Q63,3,2)</f>
        <v>01</v>
      </c>
      <c r="T63" s="31" t="str">
        <f>IF(OR(MID($Q63,8,1)="1",MID($Q63,8,1)="3"),"남자",IF(OR(MID($Q63,8,1)="2",MID($Q63,8,1)="4"),"여자",""))</f>
        <v>여자</v>
      </c>
      <c r="U63" s="31">
        <f ca="1">YEAR(TODAY())-IF(OR(MID($Q63,8,1)="1",MID($Q63,8,1)="2"),19&amp;LEFT($Q63,2),IF(OR(MID($Q63,8,1)="3",MID($Q63,8,1)="4"),20&amp;LEFT($Q63,2),""))+1</f>
        <v>33</v>
      </c>
      <c r="V63" s="31" t="s">
        <v>200</v>
      </c>
      <c r="W63" s="31" t="s">
        <v>201</v>
      </c>
      <c r="X63" s="27" t="s">
        <v>990</v>
      </c>
      <c r="Y63" s="27"/>
      <c r="Z63" s="27"/>
      <c r="AA63" s="32"/>
      <c r="AB63" s="31" t="s">
        <v>203</v>
      </c>
      <c r="AC63" s="27"/>
      <c r="AD63" s="33" t="str">
        <f ca="1">QUOTIENT(SUMPRODUCT(LEFT($AE63:$AF63,FIND("년",$AE63:$AF63)-1)*12+MID($AE63:$AF63,FIND("년",$AE63:$AF63)+1,FIND("개월",$AE63:$AF63)-FIND("년",$AE63:$AF63)-1)),12)&amp;"년"&amp;MOD(SUMPRODUCT(LEFT($AE63:$AF63,FIND("년",$AE63:$AF63)-1)*12+MID($AE63:$AF63,FIND("년",$AE63:$AF63)+1,FIND("개월",$AE63:$AF63)-FIND("년",$AE63:$AF63)-1)),12)&amp;"개월"</f>
        <v>2년11개월</v>
      </c>
      <c r="AE63" s="33" t="s">
        <v>543</v>
      </c>
      <c r="AF63" s="34" t="str">
        <f ca="1">DATEDIF($L63,TODAY(),"y")&amp;"년"&amp;DATEDIF($L63,TODAY(),"ym")&amp;"개월"</f>
        <v>2년11개월</v>
      </c>
      <c r="AG63" s="35" t="s">
        <v>991</v>
      </c>
      <c r="AH63" s="35"/>
      <c r="AI63" s="30" t="s">
        <v>365</v>
      </c>
      <c r="AJ63" s="32">
        <v>40948</v>
      </c>
      <c r="AK63" s="36">
        <f ca="1">VALUE(LEFT($AD63,FIND("년",$AD63)-1))</f>
        <v>2</v>
      </c>
      <c r="AL63" s="31" t="str">
        <f ca="1">IF($AI63="고졸",IF($AK63&lt;=11,"초급",IF($AK63&lt;=14,"중급",IF($AK63&lt;=17,"고급",IF($AK63&gt;=18,"특급")))))</f>
        <v>초급</v>
      </c>
      <c r="AM63" s="31" t="str">
        <f ca="1">IF(ISNUMBER(SEARCH("산업기사",$AT63)),IF($AK63&gt;=13,"특급",IF($AK63&gt;=10,"고급",IF($AK63&gt;=7,"중급","초급"))),IF(ISNUMBER(SEARCH("기사",$AR63)),IF($AK63&gt;=10,"특급",IF($AK63&gt;=7,"고급",IF($AK63&gt;=4,"중급","초급"))),"미해당"))</f>
        <v>초급</v>
      </c>
      <c r="AN63" s="27"/>
      <c r="AO63" s="32"/>
      <c r="AP63" s="27"/>
      <c r="AQ63" s="32"/>
      <c r="AR63" s="27"/>
      <c r="AS63" s="27"/>
      <c r="AT63" s="37" t="s">
        <v>141</v>
      </c>
      <c r="AU63" s="27">
        <v>44918</v>
      </c>
      <c r="AV63" s="38"/>
      <c r="AW63" s="39"/>
      <c r="AX63" s="39"/>
      <c r="AY63" s="40" t="s">
        <v>251</v>
      </c>
      <c r="AZ63" s="41" t="s">
        <v>252</v>
      </c>
      <c r="BA63" s="30" t="s">
        <v>230</v>
      </c>
      <c r="BB63" s="30" t="s">
        <v>992</v>
      </c>
      <c r="BC63" s="42" t="s">
        <v>254</v>
      </c>
      <c r="BD63" s="42" t="s">
        <v>993</v>
      </c>
      <c r="BE63" s="43" t="s">
        <v>994</v>
      </c>
      <c r="BF63" s="42" t="s">
        <v>211</v>
      </c>
      <c r="BG63" s="42" t="s">
        <v>995</v>
      </c>
      <c r="BH63" s="35"/>
      <c r="BI63" s="44" t="s">
        <v>996</v>
      </c>
      <c r="BJ63" s="45" t="str">
        <f>IFERROR(VLOOKUP($BG63,[1]프로젝트현황!Y:Z,2,0),"기타")</f>
        <v>서북권</v>
      </c>
      <c r="BK63" s="46" t="str">
        <f>(IF(BF63="","",BF63&amp;" "))&amp;(IF(BG63="","",BG63&amp;" "))&amp;(IF(BH63="","",BH63&amp;" "))&amp;BI63</f>
        <v>서울시 종로구 지봉로14길 8-1, 4층(숭인동)</v>
      </c>
      <c r="BL63" s="47">
        <v>30</v>
      </c>
      <c r="BM63" s="47">
        <v>30</v>
      </c>
      <c r="BN63" s="48">
        <v>29200000</v>
      </c>
      <c r="BO63" s="48">
        <f>BP63*12</f>
        <v>29200027.200000003</v>
      </c>
      <c r="BP63" s="49">
        <f>SUM(BQ63:BS63)</f>
        <v>2433335.6</v>
      </c>
      <c r="BQ63" s="49">
        <f>ROUNDUP(BN63/12*209/(209+BU63*1.5)/BL63*BM63,-1)-BS63</f>
        <v>1968730</v>
      </c>
      <c r="BR63" s="49">
        <f>ROUNDUP(BN63/12*(BU63*1.5)/(209+BU63*1.5)/BL63*BM63,1)</f>
        <v>264605.59999999998</v>
      </c>
      <c r="BS63" s="49">
        <v>200000</v>
      </c>
      <c r="BT63" s="50">
        <v>209</v>
      </c>
      <c r="BU63" s="49">
        <f>IF($BN63="","",
IFERROR(
    IF($BN63&lt;'[1]시간외시간 기준표'!$B$2,0,
        IF($BN63&gt;LOOKUP(9.9E+307,'[1]시간외시간 기준표'!$B$2:$B$999),
            LOOKUP(9.9E+307,'[1]시간외시간 기준표'!$C$2:$C$999),
            LOOKUP($BN63,'[1]시간외시간 기준표'!$B$2:$B$999,'[1]시간외시간 기준표'!$C$2:$C$999)
        )
    ),0)
)</f>
        <v>17</v>
      </c>
      <c r="BV63" s="50">
        <f>(BQ63+BS63)/209</f>
        <v>10376.698564593302</v>
      </c>
      <c r="BW63" s="51">
        <v>30</v>
      </c>
      <c r="BX63" s="51">
        <v>30</v>
      </c>
      <c r="BY63" s="52">
        <v>29200000</v>
      </c>
      <c r="BZ63" s="52">
        <f>CA63*12</f>
        <v>29200072.799999997</v>
      </c>
      <c r="CA63" s="49">
        <f>SUM(CB63:CD63)</f>
        <v>2433339.4</v>
      </c>
      <c r="CB63" s="49">
        <f>ROUNDUP(BY63/12*209/(209+CF63*1.5)/BW63*BX63,-1)-CD63</f>
        <v>1927900</v>
      </c>
      <c r="CC63" s="49">
        <f>ROUNDUP(BY63/12*(CF63*1.5)/(209+CF63*1.5)/BW63*BX63,1)</f>
        <v>305439.39999999997</v>
      </c>
      <c r="CD63" s="49">
        <v>200000</v>
      </c>
      <c r="CE63" s="50">
        <v>209</v>
      </c>
      <c r="CF63" s="49">
        <f>IF(BY63&lt;26000000,0,IF(BY63&lt;26500000,4,IF(BY63&lt;27000000,7,IF(BY63&lt;27500000,9,IF(BY63&lt;28000000,11,IF(BY63&lt;28500000,15,IF(BY63&lt;29000000,17,IF(BY63&lt;29500000,20,IF(BY63&lt;30000000,23,IF(BY63&lt;30500000,25,IF(BY63&lt;31000000,27,IF(BY63&lt;31500000,29,IF(BY63&lt;32000000,33,IF(BY63&lt;32500000,37,IF(BY63&lt;33000000,39,IF(BY63&lt;33500000,42,IF(BY63&lt;34000000,45,IF(BY63&lt;34500000,48,IF(BY63&lt;35000000,52,52)))))))))))))))))))</f>
        <v>20</v>
      </c>
      <c r="CG63" s="50">
        <f>(CB63+CD63)/209</f>
        <v>10181.33971291866</v>
      </c>
      <c r="CH63" s="51">
        <v>30</v>
      </c>
      <c r="CI63" s="51">
        <v>30</v>
      </c>
      <c r="CJ63" s="52">
        <v>28400000</v>
      </c>
      <c r="CK63" s="52">
        <f>CL63*12</f>
        <v>28400059.200000003</v>
      </c>
      <c r="CL63" s="49">
        <f>SUM(CM63:CO63)</f>
        <v>2366671.6</v>
      </c>
      <c r="CM63" s="49">
        <f>ROUNDUP(CJ63/12*209/(209+CQ63*1.5)/CH63*CI63,-1)-CO63</f>
        <v>1936650</v>
      </c>
      <c r="CN63" s="49">
        <f>ROUNDUP(CJ63/12*(CQ63*1.5)/(209+CQ63*1.5)/CH63*CI63,1)</f>
        <v>230021.6</v>
      </c>
      <c r="CO63" s="50">
        <v>200000</v>
      </c>
      <c r="CP63" s="50">
        <v>209</v>
      </c>
      <c r="CQ63" s="50">
        <f>IF(CJ63&lt;26000000,0,IF(CJ63&lt;26500000,4,IF(CJ63&lt;27000000,7,IF(CJ63&lt;27500000,9,IF(CJ63&lt;28000000,11,IF(CJ63&lt;28500000,15,IF(CJ63&lt;29000000,17,IF(CJ63&lt;29500000,20,IF(CJ63&lt;30000000,23,IF(CJ63&lt;30500000,25,IF(CJ63&lt;31000000,27,IF(CJ63&lt;31500000,29,IF(CJ63&lt;32000000,33,IF(CJ63&lt;32500000,37,IF(CJ63&lt;33000000,39,IF(CJ63&lt;33500000,42,IF(CJ63&lt;34000000,45,IF(CJ63&lt;34500000,48,IF(CJ63&lt;35000000,52,52)))))))))))))))))))</f>
        <v>15</v>
      </c>
      <c r="CR63" s="50">
        <f>(CM63+CO63)/209</f>
        <v>10223.205741626794</v>
      </c>
      <c r="CS63" s="52">
        <v>27500000</v>
      </c>
      <c r="CT63" s="53">
        <f>IFERROR(CS63/12,"")</f>
        <v>2291666.6666666665</v>
      </c>
      <c r="CU63" s="53">
        <f>IFERROR(CT63-CV63-CW63,"")</f>
        <v>1842466.2402274341</v>
      </c>
      <c r="CV63" s="53">
        <f>IFERROR(CT63*(CY63*1.5)/(209+(CY63*1.5)),"")</f>
        <v>249200.42643923237</v>
      </c>
      <c r="CW63" s="54">
        <v>200000</v>
      </c>
      <c r="CX63" s="54">
        <v>209</v>
      </c>
      <c r="CY63" s="54">
        <v>17</v>
      </c>
      <c r="CZ63" s="55">
        <f>SUM(CX63:CY63)</f>
        <v>226</v>
      </c>
      <c r="DA63" s="55">
        <f>IFERROR((CU63/209)+(CW63-(9620*209*0.01))/209,"")</f>
        <v>9676.3657427149956</v>
      </c>
      <c r="DB63" s="56">
        <f>IFERROR((CU63+CW63)/209,"")</f>
        <v>9772.5657427149963</v>
      </c>
      <c r="DC63" s="57">
        <v>2023</v>
      </c>
      <c r="DD63" s="58"/>
      <c r="DE63" s="58"/>
      <c r="DF63" s="57"/>
      <c r="DG63" s="59">
        <f>B63</f>
        <v>230310</v>
      </c>
      <c r="DH63" s="58"/>
      <c r="DI63" s="58"/>
      <c r="DJ63" s="60"/>
      <c r="DK63" s="58"/>
      <c r="DL63" s="61"/>
      <c r="DM63" s="24"/>
    </row>
    <row r="64" spans="1:117" ht="15" customHeight="1">
      <c r="A64" s="25">
        <f>ROW()-2</f>
        <v>62</v>
      </c>
      <c r="B64" s="26">
        <v>230312</v>
      </c>
      <c r="C64" s="27" t="s">
        <v>997</v>
      </c>
      <c r="D64" s="27"/>
      <c r="E64" s="27" t="s">
        <v>239</v>
      </c>
      <c r="F64" s="27" t="s">
        <v>196</v>
      </c>
      <c r="G64" s="27" t="s">
        <v>240</v>
      </c>
      <c r="H64" s="27" t="s">
        <v>241</v>
      </c>
      <c r="I64" s="27" t="s">
        <v>538</v>
      </c>
      <c r="J64" s="27" t="str">
        <f>+VLOOKUP($I64,[1]프로젝트현황!$I:$N,5,0)</f>
        <v>서울시</v>
      </c>
      <c r="K64" s="27" t="str">
        <f>+VLOOKUP($I64,[1]프로젝트현황!$I:$N,6,0)</f>
        <v>금천구</v>
      </c>
      <c r="L64" s="28">
        <v>44991</v>
      </c>
      <c r="M64" s="28">
        <v>44991</v>
      </c>
      <c r="N64" s="28"/>
      <c r="O64" s="29"/>
      <c r="P64" s="30" t="s">
        <v>998</v>
      </c>
      <c r="Q64" s="27" t="s">
        <v>999</v>
      </c>
      <c r="R64" s="31" t="str">
        <f>LEFT(Q64,6)</f>
        <v>820530</v>
      </c>
      <c r="S64" s="31" t="str">
        <f>MID($Q64,3,2)</f>
        <v>05</v>
      </c>
      <c r="T64" s="31" t="str">
        <f>IF(OR(MID($Q64,8,1)="1",MID($Q64,8,1)="3"),"남자",IF(OR(MID($Q64,8,1)="2",MID($Q64,8,1)="4"),"여자",""))</f>
        <v>여자</v>
      </c>
      <c r="U64" s="31">
        <f ca="1">YEAR(TODAY())-IF(OR(MID($Q64,8,1)="1",MID($Q64,8,1)="2"),19&amp;LEFT($Q64,2),IF(OR(MID($Q64,8,1)="3",MID($Q64,8,1)="4"),20&amp;LEFT($Q64,2),""))+1</f>
        <v>45</v>
      </c>
      <c r="V64" s="31" t="s">
        <v>200</v>
      </c>
      <c r="W64" s="31" t="s">
        <v>201</v>
      </c>
      <c r="X64" s="27" t="s">
        <v>1000</v>
      </c>
      <c r="Y64" s="27"/>
      <c r="Z64" s="27" t="s">
        <v>222</v>
      </c>
      <c r="AA64" s="32"/>
      <c r="AB64" s="31" t="s">
        <v>203</v>
      </c>
      <c r="AC64" s="27"/>
      <c r="AD64" s="33" t="str">
        <f ca="1">QUOTIENT(SUMPRODUCT(LEFT($AE64:$AF64,FIND("년",$AE64:$AF64)-1)*12+MID($AE64:$AF64,FIND("년",$AE64:$AF64)+1,FIND("개월",$AE64:$AF64)-FIND("년",$AE64:$AF64)-1)),12)&amp;"년"&amp;MOD(SUMPRODUCT(LEFT($AE64:$AF64,FIND("년",$AE64:$AF64)-1)*12+MID($AE64:$AF64,FIND("년",$AE64:$AF64)+1,FIND("개월",$AE64:$AF64)-FIND("년",$AE64:$AF64)-1)),12)&amp;"개월"</f>
        <v>2년11개월</v>
      </c>
      <c r="AE64" s="33" t="s">
        <v>543</v>
      </c>
      <c r="AF64" s="34" t="str">
        <f ca="1">DATEDIF($L64,TODAY(),"y")&amp;"년"&amp;DATEDIF($L64,TODAY(),"ym")&amp;"개월"</f>
        <v>2년11개월</v>
      </c>
      <c r="AG64" s="35" t="s">
        <v>807</v>
      </c>
      <c r="AH64" s="35" t="s">
        <v>1001</v>
      </c>
      <c r="AI64" s="30" t="s">
        <v>270</v>
      </c>
      <c r="AJ64" s="32">
        <v>39315</v>
      </c>
      <c r="AK64" s="36">
        <f ca="1">VALUE(LEFT($AD64,FIND("년",$AD64)-1))</f>
        <v>2</v>
      </c>
      <c r="AL64" s="31" t="str">
        <f ca="1">IF($AI64="학사",IF($AK64&lt;=5,"초급",IF($AK64&lt;9,"중급",IF($AK64&lt;12,"고급",IF($AK64&gt;=12,"특급")))))</f>
        <v>초급</v>
      </c>
      <c r="AM64" s="31" t="str">
        <f ca="1">IF(ISNUMBER(SEARCH("산업기사",$AT64)),IF($AK64&gt;=13,"특급",IF($AK64&gt;=10,"고급",IF($AK64&gt;=7,"중급","초급"))),IF(ISNUMBER(SEARCH("기사",$AR64)),IF($AK64&gt;=10,"특급",IF($AK64&gt;=7,"고급",IF($AK64&gt;=4,"중급","초급"))),"미해당"))</f>
        <v>초급</v>
      </c>
      <c r="AN64" s="27"/>
      <c r="AO64" s="32"/>
      <c r="AP64" s="27"/>
      <c r="AQ64" s="32"/>
      <c r="AR64" s="27" t="s">
        <v>139</v>
      </c>
      <c r="AS64" s="27">
        <v>37963</v>
      </c>
      <c r="AT64" s="37"/>
      <c r="AU64" s="27"/>
      <c r="AV64" s="38" t="s">
        <v>1002</v>
      </c>
      <c r="AW64" s="39"/>
      <c r="AX64" s="39"/>
      <c r="AY64" s="40" t="s">
        <v>251</v>
      </c>
      <c r="AZ64" s="41" t="s">
        <v>252</v>
      </c>
      <c r="BA64" s="30" t="s">
        <v>230</v>
      </c>
      <c r="BB64" s="30" t="s">
        <v>1003</v>
      </c>
      <c r="BC64" s="42" t="s">
        <v>507</v>
      </c>
      <c r="BD64" s="42" t="s">
        <v>1004</v>
      </c>
      <c r="BE64" s="43" t="s">
        <v>1005</v>
      </c>
      <c r="BF64" s="42" t="s">
        <v>211</v>
      </c>
      <c r="BG64" s="42" t="s">
        <v>718</v>
      </c>
      <c r="BH64" s="35"/>
      <c r="BI64" s="44" t="s">
        <v>1006</v>
      </c>
      <c r="BJ64" s="45" t="str">
        <f>IFERROR(VLOOKUP($BG64,[1]프로젝트현황!Y:Z,2,0),"기타")</f>
        <v>동북권</v>
      </c>
      <c r="BK64" s="46" t="str">
        <f>(IF(BF64="","",BF64&amp;" "))&amp;(IF(BG64="","",BG64&amp;" "))&amp;(IF(BH64="","",BH64&amp;" "))&amp;BI64</f>
        <v>서울시 중랑구 사가정로72길 26, 107동 303호 (면목동, 한양수자인사가정파트)</v>
      </c>
      <c r="BL64" s="47">
        <v>30</v>
      </c>
      <c r="BM64" s="47">
        <v>30</v>
      </c>
      <c r="BN64" s="48">
        <v>30200000</v>
      </c>
      <c r="BO64" s="48">
        <f>BP64*12</f>
        <v>30200050.799999997</v>
      </c>
      <c r="BP64" s="49">
        <f>SUM(BQ64:BS64)</f>
        <v>2516670.9</v>
      </c>
      <c r="BQ64" s="49">
        <f>ROUNDUP(BN64/12*209/(209+BU64*1.5)/BL64*BM64,-1)-BS64</f>
        <v>1960100</v>
      </c>
      <c r="BR64" s="49">
        <f>ROUNDUP(BN64/12*(BU64*1.5)/(209+BU64*1.5)/BL64*BM64,1)</f>
        <v>356570.89999999997</v>
      </c>
      <c r="BS64" s="49">
        <v>200000</v>
      </c>
      <c r="BT64" s="50">
        <v>209</v>
      </c>
      <c r="BU64" s="49">
        <f>IF($BN64="","",
IFERROR(
    IF($BN64&lt;'[1]시간외시간 기준표'!$B$2,0,
        IF($BN64&gt;LOOKUP(9.9E+307,'[1]시간외시간 기준표'!$B$2:$B$999),
            LOOKUP(9.9E+307,'[1]시간외시간 기준표'!$C$2:$C$999),
            LOOKUP($BN64,'[1]시간외시간 기준표'!$B$2:$B$999,'[1]시간외시간 기준표'!$C$2:$C$999)
        )
    ),0)
)</f>
        <v>23</v>
      </c>
      <c r="BV64" s="50">
        <f>(BQ64+BS64)/209</f>
        <v>10335.406698564593</v>
      </c>
      <c r="BW64" s="51">
        <v>30</v>
      </c>
      <c r="BX64" s="51">
        <v>30</v>
      </c>
      <c r="BY64" s="52">
        <v>30200000</v>
      </c>
      <c r="BZ64" s="52">
        <f>CA64*12</f>
        <v>30200041.200000003</v>
      </c>
      <c r="CA64" s="49">
        <f>SUM(CB64:CD64)</f>
        <v>2516670.1</v>
      </c>
      <c r="CB64" s="49">
        <f>ROUNDUP(BY64/12*209/(209+CF64*1.5)/BW64*BX64,-1)-CD64</f>
        <v>1933810</v>
      </c>
      <c r="CC64" s="49">
        <f>ROUNDUP(BY64/12*(CF64*1.5)/(209+CF64*1.5)/BW64*BX64,1)</f>
        <v>382860.1</v>
      </c>
      <c r="CD64" s="49">
        <v>200000</v>
      </c>
      <c r="CE64" s="50">
        <v>209</v>
      </c>
      <c r="CF64" s="49">
        <f>IF(BY64&lt;26000000,0,IF(BY64&lt;26500000,4,IF(BY64&lt;27000000,7,IF(BY64&lt;27500000,9,IF(BY64&lt;28000000,11,IF(BY64&lt;28500000,15,IF(BY64&lt;29000000,17,IF(BY64&lt;29500000,20,IF(BY64&lt;30000000,23,IF(BY64&lt;30500000,25,IF(BY64&lt;31000000,27,IF(BY64&lt;31500000,29,IF(BY64&lt;32000000,33,IF(BY64&lt;32500000,37,IF(BY64&lt;33000000,39,IF(BY64&lt;33500000,42,IF(BY64&lt;34000000,45,IF(BY64&lt;34500000,48,IF(BY64&lt;35000000,52,52)))))))))))))))))))</f>
        <v>25</v>
      </c>
      <c r="CG64" s="50">
        <f>(CB64+CD64)/209</f>
        <v>10209.617224880383</v>
      </c>
      <c r="CH64" s="51">
        <v>30</v>
      </c>
      <c r="CI64" s="51">
        <v>30</v>
      </c>
      <c r="CJ64" s="52">
        <v>29400000</v>
      </c>
      <c r="CK64" s="52">
        <f>CL64*12</f>
        <v>29400016.799999997</v>
      </c>
      <c r="CL64" s="49">
        <f>SUM(CM64:CO64)</f>
        <v>2450001.4</v>
      </c>
      <c r="CM64" s="49">
        <f>ROUNDUP(CJ64/12*209/(209+CQ64*1.5)/CH64*CI64,-1)-CO64</f>
        <v>1942470</v>
      </c>
      <c r="CN64" s="49">
        <f>ROUNDUP(CJ64/12*(CQ64*1.5)/(209+CQ64*1.5)/CH64*CI64,1)</f>
        <v>307531.39999999997</v>
      </c>
      <c r="CO64" s="50">
        <v>200000</v>
      </c>
      <c r="CP64" s="50">
        <v>209</v>
      </c>
      <c r="CQ64" s="50">
        <f>IF(CJ64&lt;26000000,0,IF(CJ64&lt;26500000,4,IF(CJ64&lt;27000000,7,IF(CJ64&lt;27500000,9,IF(CJ64&lt;28000000,11,IF(CJ64&lt;28500000,15,IF(CJ64&lt;29000000,17,IF(CJ64&lt;29500000,20,IF(CJ64&lt;30000000,23,IF(CJ64&lt;30500000,25,IF(CJ64&lt;31000000,27,IF(CJ64&lt;31500000,29,IF(CJ64&lt;32000000,33,IF(CJ64&lt;32500000,37,IF(CJ64&lt;33000000,39,IF(CJ64&lt;33500000,42,IF(CJ64&lt;34000000,45,IF(CJ64&lt;34500000,48,IF(CJ64&lt;35000000,52,52)))))))))))))))))))</f>
        <v>20</v>
      </c>
      <c r="CR64" s="50">
        <f>(CM64+CO64)/209</f>
        <v>10251.052631578947</v>
      </c>
      <c r="CS64" s="52">
        <v>28500000</v>
      </c>
      <c r="CT64" s="53">
        <f>IFERROR(CS64/12,"")</f>
        <v>2375000</v>
      </c>
      <c r="CU64" s="53">
        <f>IFERROR(CT64-CV64-CW64,"")</f>
        <v>1838501.0266940452</v>
      </c>
      <c r="CV64" s="53">
        <f>IFERROR(CT64*(CY64*1.5)/(209+(CY64*1.5)),"")</f>
        <v>336498.97330595483</v>
      </c>
      <c r="CW64" s="54">
        <v>200000</v>
      </c>
      <c r="CX64" s="54">
        <v>209</v>
      </c>
      <c r="CY64" s="54">
        <v>23</v>
      </c>
      <c r="CZ64" s="55">
        <f>SUM(CX64:CY64)</f>
        <v>232</v>
      </c>
      <c r="DA64" s="55">
        <f>IFERROR((CU64/209)+(CW64-(9620*209*0.01))/209,"")</f>
        <v>9657.3934291581099</v>
      </c>
      <c r="DB64" s="56">
        <f>IFERROR((CU64+CW64)/209,"")</f>
        <v>9753.5934291581107</v>
      </c>
      <c r="DC64" s="57">
        <v>2023</v>
      </c>
      <c r="DD64" s="58"/>
      <c r="DE64" s="58"/>
      <c r="DF64" s="57"/>
      <c r="DG64" s="59">
        <f>B64</f>
        <v>230312</v>
      </c>
      <c r="DH64" s="58"/>
      <c r="DI64" s="58"/>
      <c r="DJ64" s="60"/>
      <c r="DK64" s="58"/>
      <c r="DL64" s="61"/>
      <c r="DM64" s="24"/>
    </row>
    <row r="65" spans="1:117" ht="15" customHeight="1">
      <c r="A65" s="25">
        <f>ROW()-2</f>
        <v>63</v>
      </c>
      <c r="B65" s="26">
        <v>230314</v>
      </c>
      <c r="C65" s="27" t="s">
        <v>1007</v>
      </c>
      <c r="D65" s="27"/>
      <c r="E65" s="27" t="s">
        <v>239</v>
      </c>
      <c r="F65" s="27" t="s">
        <v>196</v>
      </c>
      <c r="G65" s="27" t="s">
        <v>240</v>
      </c>
      <c r="H65" s="27" t="s">
        <v>241</v>
      </c>
      <c r="I65" s="27" t="s">
        <v>242</v>
      </c>
      <c r="J65" s="27" t="str">
        <f>+VLOOKUP($I65,[1]프로젝트현황!$I:$N,5,0)</f>
        <v>서울시</v>
      </c>
      <c r="K65" s="27" t="str">
        <f>+VLOOKUP($I65,[1]프로젝트현황!$I:$N,6,0)</f>
        <v>영등포구</v>
      </c>
      <c r="L65" s="28">
        <v>44991</v>
      </c>
      <c r="M65" s="28">
        <v>44991</v>
      </c>
      <c r="N65" s="28"/>
      <c r="O65" s="29"/>
      <c r="P65" s="30" t="s">
        <v>1008</v>
      </c>
      <c r="Q65" s="27" t="s">
        <v>1009</v>
      </c>
      <c r="R65" s="31" t="str">
        <f>LEFT(Q65,6)</f>
        <v>951225</v>
      </c>
      <c r="S65" s="31" t="str">
        <f>MID($Q65,3,2)</f>
        <v>12</v>
      </c>
      <c r="T65" s="31" t="str">
        <f>IF(OR(MID($Q65,8,1)="1",MID($Q65,8,1)="3"),"남자",IF(OR(MID($Q65,8,1)="2",MID($Q65,8,1)="4"),"여자",""))</f>
        <v>여자</v>
      </c>
      <c r="U65" s="31">
        <f ca="1">YEAR(TODAY())-IF(OR(MID($Q65,8,1)="1",MID($Q65,8,1)="2"),19&amp;LEFT($Q65,2),IF(OR(MID($Q65,8,1)="3",MID($Q65,8,1)="4"),20&amp;LEFT($Q65,2),""))+1</f>
        <v>32</v>
      </c>
      <c r="V65" s="31" t="s">
        <v>200</v>
      </c>
      <c r="W65" s="31" t="s">
        <v>201</v>
      </c>
      <c r="X65" s="27" t="s">
        <v>1010</v>
      </c>
      <c r="Y65" s="27"/>
      <c r="Z65" s="27"/>
      <c r="AA65" s="32"/>
      <c r="AB65" s="31" t="s">
        <v>203</v>
      </c>
      <c r="AC65" s="27"/>
      <c r="AD65" s="33" t="str">
        <f ca="1">QUOTIENT(SUMPRODUCT(LEFT($AE65:$AF65,FIND("년",$AE65:$AF65)-1)*12+MID($AE65:$AF65,FIND("년",$AE65:$AF65)+1,FIND("개월",$AE65:$AF65)-FIND("년",$AE65:$AF65)-1)),12)&amp;"년"&amp;MOD(SUMPRODUCT(LEFT($AE65:$AF65,FIND("년",$AE65:$AF65)-1)*12+MID($AE65:$AF65,FIND("년",$AE65:$AF65)+1,FIND("개월",$AE65:$AF65)-FIND("년",$AE65:$AF65)-1)),12)&amp;"개월"</f>
        <v>2년11개월</v>
      </c>
      <c r="AE65" s="33" t="s">
        <v>543</v>
      </c>
      <c r="AF65" s="34" t="str">
        <f ca="1">DATEDIF($L65,TODAY(),"y")&amp;"년"&amp;DATEDIF($L65,TODAY(),"ym")&amp;"개월"</f>
        <v>2년11개월</v>
      </c>
      <c r="AG65" s="35" t="s">
        <v>870</v>
      </c>
      <c r="AH65" s="35" t="s">
        <v>1011</v>
      </c>
      <c r="AI65" s="30" t="s">
        <v>270</v>
      </c>
      <c r="AJ65" s="32">
        <v>43861</v>
      </c>
      <c r="AK65" s="36">
        <f ca="1">VALUE(LEFT($AD65,FIND("년",$AD65)-1))</f>
        <v>2</v>
      </c>
      <c r="AL65" s="31" t="str">
        <f ca="1">IF($AI65="학사",IF($AK65&lt;=5,"초급",IF($AK65&lt;9,"중급",IF($AK65&lt;12,"고급",IF($AK65&gt;=12,"특급")))))</f>
        <v>초급</v>
      </c>
      <c r="AM65" s="31" t="str">
        <f ca="1">IF(ISNUMBER(SEARCH("산업기사",$AT65)),IF($AK65&gt;=13,"특급",IF($AK65&gt;=10,"고급",IF($AK65&gt;=7,"중급","초급"))),IF(ISNUMBER(SEARCH("기사",$AR65)),IF($AK65&gt;=10,"특급",IF($AK65&gt;=7,"고급",IF($AK65&gt;=4,"중급","초급"))),"미해당"))</f>
        <v>초급</v>
      </c>
      <c r="AN65" s="27"/>
      <c r="AO65" s="32"/>
      <c r="AP65" s="27" t="s">
        <v>137</v>
      </c>
      <c r="AQ65" s="32" t="s">
        <v>1012</v>
      </c>
      <c r="AR65" s="27"/>
      <c r="AS65" s="27"/>
      <c r="AT65" s="37" t="s">
        <v>141</v>
      </c>
      <c r="AU65" s="27">
        <v>44147</v>
      </c>
      <c r="AV65" s="38"/>
      <c r="AW65" s="39"/>
      <c r="AX65" s="39"/>
      <c r="AY65" s="40" t="s">
        <v>251</v>
      </c>
      <c r="AZ65" s="41" t="s">
        <v>252</v>
      </c>
      <c r="BA65" s="30" t="s">
        <v>230</v>
      </c>
      <c r="BB65" s="30" t="s">
        <v>1013</v>
      </c>
      <c r="BC65" s="42" t="s">
        <v>254</v>
      </c>
      <c r="BD65" s="42" t="s">
        <v>1014</v>
      </c>
      <c r="BE65" s="43" t="s">
        <v>1015</v>
      </c>
      <c r="BF65" s="42" t="s">
        <v>234</v>
      </c>
      <c r="BG65" s="42" t="s">
        <v>594</v>
      </c>
      <c r="BH65" s="35"/>
      <c r="BI65" s="44" t="s">
        <v>1016</v>
      </c>
      <c r="BJ65" s="45" t="str">
        <f>IFERROR(VLOOKUP($BG65,[1]프로젝트현황!Y:Z,2,0),"기타")</f>
        <v>서남권</v>
      </c>
      <c r="BK65" s="46" t="str">
        <f>(IF(BF65="","",BF65&amp;" "))&amp;(IF(BG65="","",BG65&amp;" "))&amp;(IF(BH65="","",BH65&amp;" "))&amp;BI65</f>
        <v>경기도 화성시 병점노을1로 14, 화정병점주택 104동 603호</v>
      </c>
      <c r="BL65" s="47">
        <v>30</v>
      </c>
      <c r="BM65" s="47">
        <v>30</v>
      </c>
      <c r="BN65" s="48">
        <v>30200000</v>
      </c>
      <c r="BO65" s="48">
        <f>BP65*12</f>
        <v>30200050.799999997</v>
      </c>
      <c r="BP65" s="49">
        <f>SUM(BQ65:BS65)</f>
        <v>2516670.9</v>
      </c>
      <c r="BQ65" s="49">
        <f>ROUNDUP(BN65/12*209/(209+BU65*1.5)/BL65*BM65,-1)-BS65</f>
        <v>1960100</v>
      </c>
      <c r="BR65" s="49">
        <f>ROUNDUP(BN65/12*(BU65*1.5)/(209+BU65*1.5)/BL65*BM65,1)</f>
        <v>356570.89999999997</v>
      </c>
      <c r="BS65" s="49">
        <v>200000</v>
      </c>
      <c r="BT65" s="50">
        <v>209</v>
      </c>
      <c r="BU65" s="49">
        <f>IF($BN65="","",
IFERROR(
    IF($BN65&lt;'[1]시간외시간 기준표'!$B$2,0,
        IF($BN65&gt;LOOKUP(9.9E+307,'[1]시간외시간 기준표'!$B$2:$B$999),
            LOOKUP(9.9E+307,'[1]시간외시간 기준표'!$C$2:$C$999),
            LOOKUP($BN65,'[1]시간외시간 기준표'!$B$2:$B$999,'[1]시간외시간 기준표'!$C$2:$C$999)
        )
    ),0)
)</f>
        <v>23</v>
      </c>
      <c r="BV65" s="50">
        <f>(BQ65+BS65)/209</f>
        <v>10335.406698564593</v>
      </c>
      <c r="BW65" s="51">
        <v>30</v>
      </c>
      <c r="BX65" s="51">
        <v>30</v>
      </c>
      <c r="BY65" s="52">
        <v>30200000</v>
      </c>
      <c r="BZ65" s="52">
        <f>CA65*12</f>
        <v>30200041.200000003</v>
      </c>
      <c r="CA65" s="49">
        <f>SUM(CB65:CD65)</f>
        <v>2516670.1</v>
      </c>
      <c r="CB65" s="49">
        <f>ROUNDUP(BY65/12*209/(209+CF65*1.5)/BW65*BX65,-1)-CD65</f>
        <v>1933810</v>
      </c>
      <c r="CC65" s="49">
        <f>ROUNDUP(BY65/12*(CF65*1.5)/(209+CF65*1.5)/BW65*BX65,1)</f>
        <v>382860.1</v>
      </c>
      <c r="CD65" s="49">
        <v>200000</v>
      </c>
      <c r="CE65" s="50">
        <v>209</v>
      </c>
      <c r="CF65" s="49">
        <f>IF(BY65&lt;26000000,0,IF(BY65&lt;26500000,4,IF(BY65&lt;27000000,7,IF(BY65&lt;27500000,9,IF(BY65&lt;28000000,11,IF(BY65&lt;28500000,15,IF(BY65&lt;29000000,17,IF(BY65&lt;29500000,20,IF(BY65&lt;30000000,23,IF(BY65&lt;30500000,25,IF(BY65&lt;31000000,27,IF(BY65&lt;31500000,29,IF(BY65&lt;32000000,33,IF(BY65&lt;32500000,37,IF(BY65&lt;33000000,39,IF(BY65&lt;33500000,42,IF(BY65&lt;34000000,45,IF(BY65&lt;34500000,48,IF(BY65&lt;35000000,52,52)))))))))))))))))))</f>
        <v>25</v>
      </c>
      <c r="CG65" s="50">
        <f>(CB65+CD65)/209</f>
        <v>10209.617224880383</v>
      </c>
      <c r="CH65" s="51">
        <v>30</v>
      </c>
      <c r="CI65" s="51">
        <v>30</v>
      </c>
      <c r="CJ65" s="52">
        <v>29400000</v>
      </c>
      <c r="CK65" s="52">
        <f>CL65*12</f>
        <v>29400016.799999997</v>
      </c>
      <c r="CL65" s="49">
        <f>SUM(CM65:CO65)</f>
        <v>2450001.4</v>
      </c>
      <c r="CM65" s="49">
        <f>ROUNDUP(CJ65/12*209/(209+CQ65*1.5)/CH65*CI65,-1)-CO65</f>
        <v>1942470</v>
      </c>
      <c r="CN65" s="49">
        <f>ROUNDUP(CJ65/12*(CQ65*1.5)/(209+CQ65*1.5)/CH65*CI65,1)</f>
        <v>307531.39999999997</v>
      </c>
      <c r="CO65" s="50">
        <v>200000</v>
      </c>
      <c r="CP65" s="50">
        <v>209</v>
      </c>
      <c r="CQ65" s="50">
        <f>IF(CJ65&lt;26000000,0,IF(CJ65&lt;26500000,4,IF(CJ65&lt;27000000,7,IF(CJ65&lt;27500000,9,IF(CJ65&lt;28000000,11,IF(CJ65&lt;28500000,15,IF(CJ65&lt;29000000,17,IF(CJ65&lt;29500000,20,IF(CJ65&lt;30000000,23,IF(CJ65&lt;30500000,25,IF(CJ65&lt;31000000,27,IF(CJ65&lt;31500000,29,IF(CJ65&lt;32000000,33,IF(CJ65&lt;32500000,37,IF(CJ65&lt;33000000,39,IF(CJ65&lt;33500000,42,IF(CJ65&lt;34000000,45,IF(CJ65&lt;34500000,48,IF(CJ65&lt;35000000,52,52)))))))))))))))))))</f>
        <v>20</v>
      </c>
      <c r="CR65" s="50">
        <f>(CM65+CO65)/209</f>
        <v>10251.052631578947</v>
      </c>
      <c r="CS65" s="52">
        <v>28500000</v>
      </c>
      <c r="CT65" s="53">
        <f>IFERROR(CS65/12,"")</f>
        <v>2375000</v>
      </c>
      <c r="CU65" s="53">
        <f>IFERROR(CT65-CV65-CW65,"")</f>
        <v>1838501.0266940452</v>
      </c>
      <c r="CV65" s="53">
        <f>IFERROR(CT65*(CY65*1.5)/(209+(CY65*1.5)),"")</f>
        <v>336498.97330595483</v>
      </c>
      <c r="CW65" s="54">
        <v>200000</v>
      </c>
      <c r="CX65" s="54">
        <v>209</v>
      </c>
      <c r="CY65" s="54">
        <v>23</v>
      </c>
      <c r="CZ65" s="55">
        <f>SUM(CX65:CY65)</f>
        <v>232</v>
      </c>
      <c r="DA65" s="55">
        <f>IFERROR((CU65/209)+(CW65-(9620*209*0.01))/209,"")</f>
        <v>9657.3934291581099</v>
      </c>
      <c r="DB65" s="56">
        <f>IFERROR((CU65+CW65)/209,"")</f>
        <v>9753.5934291581107</v>
      </c>
      <c r="DC65" s="57">
        <v>2023</v>
      </c>
      <c r="DD65" s="58"/>
      <c r="DE65" s="58"/>
      <c r="DF65" s="57"/>
      <c r="DG65" s="59">
        <f>B65</f>
        <v>230314</v>
      </c>
      <c r="DH65" s="58"/>
      <c r="DI65" s="58"/>
      <c r="DJ65" s="60"/>
      <c r="DK65" s="58"/>
      <c r="DL65" s="61"/>
      <c r="DM65" s="24"/>
    </row>
    <row r="66" spans="1:117" ht="15" customHeight="1">
      <c r="A66" s="25">
        <f>ROW()-2</f>
        <v>64</v>
      </c>
      <c r="B66" s="26">
        <v>230316</v>
      </c>
      <c r="C66" s="27" t="s">
        <v>1017</v>
      </c>
      <c r="D66" s="27" t="s">
        <v>282</v>
      </c>
      <c r="E66" s="27" t="s">
        <v>283</v>
      </c>
      <c r="F66" s="27" t="s">
        <v>196</v>
      </c>
      <c r="G66" s="27" t="s">
        <v>240</v>
      </c>
      <c r="H66" s="27" t="s">
        <v>241</v>
      </c>
      <c r="I66" s="27" t="s">
        <v>1018</v>
      </c>
      <c r="J66" s="27" t="str">
        <f>+VLOOKUP($I66,[1]프로젝트현황!$I:$N,5,0)</f>
        <v>경기도</v>
      </c>
      <c r="K66" s="27" t="str">
        <f>+VLOOKUP($I66,[1]프로젝트현황!$I:$N,6,0)</f>
        <v>화성시</v>
      </c>
      <c r="L66" s="28">
        <v>45012</v>
      </c>
      <c r="M66" s="28">
        <v>45012</v>
      </c>
      <c r="N66" s="28"/>
      <c r="O66" s="29"/>
      <c r="P66" s="30" t="s">
        <v>1019</v>
      </c>
      <c r="Q66" s="27" t="s">
        <v>1020</v>
      </c>
      <c r="R66" s="31" t="str">
        <f>LEFT(Q66,6)</f>
        <v>820919</v>
      </c>
      <c r="S66" s="31" t="str">
        <f>MID($Q66,3,2)</f>
        <v>09</v>
      </c>
      <c r="T66" s="31" t="str">
        <f>IF(OR(MID($Q66,8,1)="1",MID($Q66,8,1)="3"),"남자",IF(OR(MID($Q66,8,1)="2",MID($Q66,8,1)="4"),"여자",""))</f>
        <v>남자</v>
      </c>
      <c r="U66" s="31">
        <f ca="1">YEAR(TODAY())-IF(OR(MID($Q66,8,1)="1",MID($Q66,8,1)="2"),19&amp;LEFT($Q66,2),IF(OR(MID($Q66,8,1)="3",MID($Q66,8,1)="4"),20&amp;LEFT($Q66,2),""))+1</f>
        <v>45</v>
      </c>
      <c r="V66" s="31" t="s">
        <v>200</v>
      </c>
      <c r="W66" s="31" t="s">
        <v>201</v>
      </c>
      <c r="X66" s="27" t="s">
        <v>1021</v>
      </c>
      <c r="Y66" s="27"/>
      <c r="Z66" s="27"/>
      <c r="AA66" s="32"/>
      <c r="AB66" s="31" t="s">
        <v>203</v>
      </c>
      <c r="AC66" s="27"/>
      <c r="AD66" s="33" t="str">
        <f ca="1">QUOTIENT(SUMPRODUCT(LEFT($AE66:$AF66,FIND("년",$AE66:$AF66)-1)*12+MID($AE66:$AF66,FIND("년",$AE66:$AF66)+1,FIND("개월",$AE66:$AF66)-FIND("년",$AE66:$AF66)-1)),12)&amp;"년"&amp;MOD(SUMPRODUCT(LEFT($AE66:$AF66,FIND("년",$AE66:$AF66)-1)*12+MID($AE66:$AF66,FIND("년",$AE66:$AF66)+1,FIND("개월",$AE66:$AF66)-FIND("년",$AE66:$AF66)-1)),12)&amp;"개월"</f>
        <v>17년8개월</v>
      </c>
      <c r="AE66" s="33" t="s">
        <v>1022</v>
      </c>
      <c r="AF66" s="34" t="str">
        <f ca="1">DATEDIF($L66,TODAY(),"y")&amp;"년"&amp;DATEDIF($L66,TODAY(),"ym")&amp;"개월"</f>
        <v>2년10개월</v>
      </c>
      <c r="AG66" s="35" t="s">
        <v>1023</v>
      </c>
      <c r="AH66" s="35" t="s">
        <v>1024</v>
      </c>
      <c r="AI66" s="30" t="s">
        <v>365</v>
      </c>
      <c r="AJ66" s="32">
        <v>36935</v>
      </c>
      <c r="AK66" s="36">
        <f ca="1">VALUE(LEFT($AD66,FIND("년",$AD66)-1))</f>
        <v>17</v>
      </c>
      <c r="AL66" s="31" t="str">
        <f ca="1">IF($AI66="고졸",IF($AK66&lt;=11,"초급",IF($AK66&lt;=14,"중급",IF($AK66&lt;=17,"고급",IF($AK66&gt;=18,"특급")))))</f>
        <v>고급</v>
      </c>
      <c r="AM66" s="31" t="str">
        <f>IF(ISNUMBER(SEARCH("산업기사",$AT66)),IF($AK66&gt;=13,"특급",IF($AK66&gt;=10,"고급",IF($AK66&gt;=7,"중급","초급"))),IF(ISNUMBER(SEARCH("기사",$AR66)),IF($AK66&gt;=10,"특급",IF($AK66&gt;=7,"고급",IF($AK66&gt;=4,"중급","초급"))),"미해당"))</f>
        <v>미해당</v>
      </c>
      <c r="AN66" s="27"/>
      <c r="AO66" s="32"/>
      <c r="AP66" s="27"/>
      <c r="AQ66" s="32"/>
      <c r="AR66" s="27"/>
      <c r="AS66" s="27"/>
      <c r="AT66" s="37"/>
      <c r="AU66" s="27"/>
      <c r="AV66" s="38"/>
      <c r="AW66" s="39"/>
      <c r="AX66" s="39"/>
      <c r="AY66" s="40" t="s">
        <v>251</v>
      </c>
      <c r="AZ66" s="41" t="s">
        <v>252</v>
      </c>
      <c r="BA66" s="30" t="s">
        <v>230</v>
      </c>
      <c r="BB66" s="30" t="s">
        <v>1025</v>
      </c>
      <c r="BC66" s="42" t="s">
        <v>254</v>
      </c>
      <c r="BD66" s="42" t="s">
        <v>1026</v>
      </c>
      <c r="BE66" s="43" t="s">
        <v>1027</v>
      </c>
      <c r="BF66" s="42" t="s">
        <v>211</v>
      </c>
      <c r="BG66" s="42" t="s">
        <v>371</v>
      </c>
      <c r="BH66" s="35"/>
      <c r="BI66" s="44" t="s">
        <v>1028</v>
      </c>
      <c r="BJ66" s="45" t="str">
        <f>IFERROR(VLOOKUP($BG66,[1]프로젝트현황!Y:Z,2,0),"기타")</f>
        <v>서남권</v>
      </c>
      <c r="BK66" s="46" t="str">
        <f>(IF(BF66="","",BF66&amp;" "))&amp;(IF(BG66="","",BG66&amp;" "))&amp;(IF(BH66="","",BH66&amp;" "))&amp;BI66</f>
        <v>서울시 관악구 관악로37길 20, 201동 508호(봉천동, 봉천동아아파트)</v>
      </c>
      <c r="BL66" s="47">
        <v>30</v>
      </c>
      <c r="BM66" s="47">
        <v>30</v>
      </c>
      <c r="BN66" s="48">
        <v>46700000</v>
      </c>
      <c r="BO66" s="48">
        <f>BP66*12</f>
        <v>46700107.200000003</v>
      </c>
      <c r="BP66" s="49">
        <f>SUM(BQ66:BS66)</f>
        <v>3891675.6</v>
      </c>
      <c r="BQ66" s="49">
        <f>ROUNDUP(BN66/12*209/(209+BU66*1.5)/BL66*BM66,-1)-BS66</f>
        <v>2634010</v>
      </c>
      <c r="BR66" s="49">
        <f>ROUNDUP(BN66/12*(BU66*1.5)/(209+BU66*1.5)/BL66*BM66,1)</f>
        <v>1057665.6000000001</v>
      </c>
      <c r="BS66" s="49">
        <v>200000</v>
      </c>
      <c r="BT66" s="50">
        <v>209</v>
      </c>
      <c r="BU66" s="49">
        <f>IF($BN66="","",
IFERROR(
    IF($BN66&lt;'[1]시간외시간 기준표'!$B$2,0,
        IF($BN66&gt;LOOKUP(9.9E+307,'[1]시간외시간 기준표'!$B$2:$B$999),
            LOOKUP(9.9E+307,'[1]시간외시간 기준표'!$C$2:$C$999),
            LOOKUP($BN66,'[1]시간외시간 기준표'!$B$2:$B$999,'[1]시간외시간 기준표'!$C$2:$C$999)
        )
    ),0)
)</f>
        <v>52</v>
      </c>
      <c r="BV66" s="50">
        <f>(BQ66+BS66)/209</f>
        <v>13559.856459330143</v>
      </c>
      <c r="BW66" s="51">
        <v>30</v>
      </c>
      <c r="BX66" s="51">
        <v>30</v>
      </c>
      <c r="BY66" s="52">
        <v>46700000</v>
      </c>
      <c r="BZ66" s="52">
        <f>CA66*12</f>
        <v>46700107.200000003</v>
      </c>
      <c r="CA66" s="49">
        <f>SUM(CB66:CD66)</f>
        <v>3891675.6</v>
      </c>
      <c r="CB66" s="49">
        <f>ROUNDUP(BY66/12*209/(209+CF66*1.5)/BW66*BX66,-1)-CD66</f>
        <v>2634010</v>
      </c>
      <c r="CC66" s="49">
        <f>ROUNDUP(BY66/12*(CF66*1.5)/(209+CF66*1.5)/BW66*BX66,1)</f>
        <v>1057665.6000000001</v>
      </c>
      <c r="CD66" s="49">
        <v>200000</v>
      </c>
      <c r="CE66" s="50">
        <v>209</v>
      </c>
      <c r="CF66" s="49">
        <f>IF(BY66&lt;26000000,0,IF(BY66&lt;26500000,4,IF(BY66&lt;27000000,7,IF(BY66&lt;27500000,9,IF(BY66&lt;28000000,11,IF(BY66&lt;28500000,15,IF(BY66&lt;29000000,17,IF(BY66&lt;29500000,20,IF(BY66&lt;30000000,23,IF(BY66&lt;30500000,25,IF(BY66&lt;31000000,27,IF(BY66&lt;31500000,29,IF(BY66&lt;32000000,33,IF(BY66&lt;32500000,37,IF(BY66&lt;33000000,39,IF(BY66&lt;33500000,42,IF(BY66&lt;34000000,45,IF(BY66&lt;34500000,48,IF(BY66&lt;35000000,52,52)))))))))))))))))))</f>
        <v>52</v>
      </c>
      <c r="CG66" s="50">
        <f>(CB66+CD66)/209</f>
        <v>13559.856459330143</v>
      </c>
      <c r="CH66" s="51">
        <v>30</v>
      </c>
      <c r="CI66" s="51">
        <v>30</v>
      </c>
      <c r="CJ66" s="52">
        <v>45900000</v>
      </c>
      <c r="CK66" s="52">
        <f>CL66*12</f>
        <v>45900085.200000003</v>
      </c>
      <c r="CL66" s="49">
        <f>SUM(CM66:CO66)</f>
        <v>3825007.1</v>
      </c>
      <c r="CM66" s="49">
        <f>ROUNDUP(CJ66/12*209/(209+CQ66*1.5)/CH66*CI66,-1)-CO66</f>
        <v>2585460</v>
      </c>
      <c r="CN66" s="49">
        <f>ROUNDUP(CJ66/12*(CQ66*1.5)/(209+CQ66*1.5)/CH66*CI66,1)</f>
        <v>1039547.1</v>
      </c>
      <c r="CO66" s="50">
        <v>200000</v>
      </c>
      <c r="CP66" s="50">
        <v>209</v>
      </c>
      <c r="CQ66" s="50">
        <f>IF(CJ66&lt;26000000,0,IF(CJ66&lt;26500000,4,IF(CJ66&lt;27000000,7,IF(CJ66&lt;27500000,9,IF(CJ66&lt;28000000,11,IF(CJ66&lt;28500000,15,IF(CJ66&lt;29000000,17,IF(CJ66&lt;29500000,20,IF(CJ66&lt;30000000,23,IF(CJ66&lt;30500000,25,IF(CJ66&lt;31000000,27,IF(CJ66&lt;31500000,29,IF(CJ66&lt;32000000,33,IF(CJ66&lt;32500000,37,IF(CJ66&lt;33000000,39,IF(CJ66&lt;33500000,42,IF(CJ66&lt;34000000,45,IF(CJ66&lt;34500000,48,IF(CJ66&lt;35000000,52,52)))))))))))))))))))</f>
        <v>52</v>
      </c>
      <c r="CR66" s="50">
        <f>(CM66+CO66)/209</f>
        <v>13327.559808612441</v>
      </c>
      <c r="CS66" s="52">
        <v>45000000</v>
      </c>
      <c r="CT66" s="53">
        <f>IFERROR(CS66/12,"")</f>
        <v>3750000</v>
      </c>
      <c r="CU66" s="53">
        <f>IFERROR(CT66-CV66-CW66,"")</f>
        <v>2530836.2369337981</v>
      </c>
      <c r="CV66" s="53">
        <f>IFERROR(CT66*(CY66*1.5)/(209+(CY66*1.5)),"")</f>
        <v>1019163.7630662021</v>
      </c>
      <c r="CW66" s="54">
        <v>200000</v>
      </c>
      <c r="CX66" s="54">
        <v>209</v>
      </c>
      <c r="CY66" s="54">
        <v>52</v>
      </c>
      <c r="CZ66" s="55">
        <f>SUM(CX66:CY66)</f>
        <v>261</v>
      </c>
      <c r="DA66" s="55">
        <f>IFERROR((CU66/209)+(CW66-(9620*209*0.01))/209,"")</f>
        <v>12970.002090592334</v>
      </c>
      <c r="DB66" s="56">
        <f>IFERROR((CU66+CW66)/209,"")</f>
        <v>13066.202090592335</v>
      </c>
      <c r="DC66" s="57">
        <v>2023</v>
      </c>
      <c r="DD66" s="58"/>
      <c r="DE66" s="58"/>
      <c r="DF66" s="57"/>
      <c r="DG66" s="59">
        <f>B66</f>
        <v>230316</v>
      </c>
      <c r="DH66" s="58"/>
      <c r="DI66" s="58"/>
      <c r="DJ66" s="60"/>
      <c r="DK66" s="58"/>
      <c r="DL66" s="61"/>
      <c r="DM66" s="24"/>
    </row>
    <row r="67" spans="1:117" ht="15" customHeight="1">
      <c r="A67" s="25">
        <f>ROW()-2</f>
        <v>65</v>
      </c>
      <c r="B67" s="26">
        <v>230401</v>
      </c>
      <c r="C67" s="27" t="s">
        <v>1029</v>
      </c>
      <c r="D67" s="27"/>
      <c r="E67" s="27" t="s">
        <v>239</v>
      </c>
      <c r="F67" s="27" t="s">
        <v>196</v>
      </c>
      <c r="G67" s="27" t="s">
        <v>240</v>
      </c>
      <c r="H67" s="27" t="s">
        <v>260</v>
      </c>
      <c r="I67" s="27" t="s">
        <v>1030</v>
      </c>
      <c r="J67" s="27" t="str">
        <f>+VLOOKUP($I67,[1]프로젝트현황!$I:$N,5,0)</f>
        <v>서울시</v>
      </c>
      <c r="K67" s="27" t="str">
        <f>+VLOOKUP($I67,[1]프로젝트현황!$I:$N,6,0)</f>
        <v>구로구</v>
      </c>
      <c r="L67" s="28">
        <v>45019</v>
      </c>
      <c r="M67" s="28">
        <v>45019</v>
      </c>
      <c r="N67" s="28"/>
      <c r="O67" s="29"/>
      <c r="P67" s="30" t="s">
        <v>1031</v>
      </c>
      <c r="Q67" s="27" t="s">
        <v>1032</v>
      </c>
      <c r="R67" s="31" t="str">
        <f>LEFT(Q67,6)</f>
        <v>930212</v>
      </c>
      <c r="S67" s="31" t="str">
        <f>MID($Q67,3,2)</f>
        <v>02</v>
      </c>
      <c r="T67" s="31" t="str">
        <f>IF(OR(MID($Q67,8,1)="1",MID($Q67,8,1)="3"),"남자",IF(OR(MID($Q67,8,1)="2",MID($Q67,8,1)="4"),"여자",""))</f>
        <v>남자</v>
      </c>
      <c r="U67" s="31">
        <f ca="1">YEAR(TODAY())-IF(OR(MID($Q67,8,1)="1",MID($Q67,8,1)="2"),19&amp;LEFT($Q67,2),IF(OR(MID($Q67,8,1)="3",MID($Q67,8,1)="4"),20&amp;LEFT($Q67,2),""))+1</f>
        <v>34</v>
      </c>
      <c r="V67" s="31" t="s">
        <v>200</v>
      </c>
      <c r="W67" s="31" t="s">
        <v>201</v>
      </c>
      <c r="X67" s="27" t="s">
        <v>1033</v>
      </c>
      <c r="Y67" s="27"/>
      <c r="Z67" s="27"/>
      <c r="AA67" s="32"/>
      <c r="AB67" s="31" t="s">
        <v>203</v>
      </c>
      <c r="AC67" s="27"/>
      <c r="AD67" s="33" t="str">
        <f ca="1">QUOTIENT(SUMPRODUCT(LEFT($AE67:$AF67,FIND("년",$AE67:$AF67)-1)*12+MID($AE67:$AF67,FIND("년",$AE67:$AF67)+1,FIND("개월",$AE67:$AF67)-FIND("년",$AE67:$AF67)-1)),12)&amp;"년"&amp;MOD(SUMPRODUCT(LEFT($AE67:$AF67,FIND("년",$AE67:$AF67)-1)*12+MID($AE67:$AF67,FIND("년",$AE67:$AF67)+1,FIND("개월",$AE67:$AF67)-FIND("년",$AE67:$AF67)-1)),12)&amp;"개월"</f>
        <v>5년0개월</v>
      </c>
      <c r="AE67" s="33" t="s">
        <v>1034</v>
      </c>
      <c r="AF67" s="34" t="str">
        <f ca="1">DATEDIF($L67,TODAY(),"y")&amp;"년"&amp;DATEDIF($L67,TODAY(),"ym")&amp;"개월"</f>
        <v>2년10개월</v>
      </c>
      <c r="AG67" s="35" t="s">
        <v>618</v>
      </c>
      <c r="AH67" s="35" t="s">
        <v>321</v>
      </c>
      <c r="AI67" s="30" t="s">
        <v>205</v>
      </c>
      <c r="AJ67" s="32">
        <v>43139</v>
      </c>
      <c r="AK67" s="36">
        <f ca="1">VALUE(LEFT($AD67,FIND("년",$AD67)-1))</f>
        <v>5</v>
      </c>
      <c r="AL67" s="31" t="str">
        <f ca="1">IF($AI67="전문학사",IF($AK67&lt;=8,"초급",IF($AK67&lt;12,"중급",IF($AK67&lt;15,"고급",IF($AK67&gt;=15,"특급")))))</f>
        <v>초급</v>
      </c>
      <c r="AM67" s="31" t="str">
        <f>IF(ISNUMBER(SEARCH("산업기사",$AT67)),IF($AK67&gt;=13,"특급",IF($AK67&gt;=10,"고급",IF($AK67&gt;=7,"중급","초급"))),IF(ISNUMBER(SEARCH("기사",$AR67)),IF($AK67&gt;=10,"특급",IF($AK67&gt;=7,"고급",IF($AK67&gt;=4,"중급","초급"))),"미해당"))</f>
        <v>미해당</v>
      </c>
      <c r="AN67" s="27"/>
      <c r="AO67" s="32"/>
      <c r="AP67" s="27"/>
      <c r="AQ67" s="32"/>
      <c r="AR67" s="27"/>
      <c r="AS67" s="27"/>
      <c r="AT67" s="37"/>
      <c r="AU67" s="27"/>
      <c r="AV67" s="38"/>
      <c r="AW67" s="39"/>
      <c r="AX67" s="39"/>
      <c r="AY67" s="40" t="s">
        <v>251</v>
      </c>
      <c r="AZ67" s="41" t="s">
        <v>252</v>
      </c>
      <c r="BA67" s="30" t="s">
        <v>230</v>
      </c>
      <c r="BB67" s="30" t="s">
        <v>1035</v>
      </c>
      <c r="BC67" s="42" t="s">
        <v>254</v>
      </c>
      <c r="BD67" s="42" t="s">
        <v>1036</v>
      </c>
      <c r="BE67" s="43" t="s">
        <v>1037</v>
      </c>
      <c r="BF67" s="42" t="s">
        <v>211</v>
      </c>
      <c r="BG67" s="42" t="s">
        <v>718</v>
      </c>
      <c r="BH67" s="35"/>
      <c r="BI67" s="44" t="s">
        <v>1038</v>
      </c>
      <c r="BJ67" s="45" t="str">
        <f>IFERROR(VLOOKUP($BG67,[1]프로젝트현황!Y:Z,2,0),"기타")</f>
        <v>동북권</v>
      </c>
      <c r="BK67" s="46" t="str">
        <f>(IF(BF67="","",BF67&amp;" "))&amp;(IF(BG67="","",BG67&amp;" "))&amp;(IF(BH67="","",BH67&amp;" "))&amp;BI67</f>
        <v>서울시 중랑구 상봉로1길 31-6(면목동)</v>
      </c>
      <c r="BL67" s="47">
        <v>30</v>
      </c>
      <c r="BM67" s="47">
        <v>30</v>
      </c>
      <c r="BN67" s="48">
        <v>31600000</v>
      </c>
      <c r="BO67" s="48">
        <f>BP67*12</f>
        <v>31600026</v>
      </c>
      <c r="BP67" s="49">
        <f>SUM(BQ67:BS67)</f>
        <v>2633335.5</v>
      </c>
      <c r="BQ67" s="49">
        <f>ROUNDUP(BN67/12*209/(209+BU67*1.5)/BL67*BM67,-1)-BS67</f>
        <v>1966800</v>
      </c>
      <c r="BR67" s="49">
        <f>ROUNDUP(BN67/12*(BU67*1.5)/(209+BU67*1.5)/BL67*BM67,1)</f>
        <v>466535.5</v>
      </c>
      <c r="BS67" s="49">
        <v>200000</v>
      </c>
      <c r="BT67" s="50">
        <v>209</v>
      </c>
      <c r="BU67" s="49">
        <f>IF($BN67="","",
IFERROR(
    IF($BN67&lt;'[1]시간외시간 기준표'!$B$2,0,
        IF($BN67&gt;LOOKUP(9.9E+307,'[1]시간외시간 기준표'!$B$2:$B$999),
            LOOKUP(9.9E+307,'[1]시간외시간 기준표'!$C$2:$C$999),
            LOOKUP($BN67,'[1]시간외시간 기준표'!$B$2:$B$999,'[1]시간외시간 기준표'!$C$2:$C$999)
        )
    ),0)
)</f>
        <v>30</v>
      </c>
      <c r="BV67" s="50">
        <f>(BQ67+BS67)/209</f>
        <v>10367.464114832535</v>
      </c>
      <c r="BW67" s="51">
        <v>30</v>
      </c>
      <c r="BX67" s="51">
        <v>30</v>
      </c>
      <c r="BY67" s="52">
        <v>31600000</v>
      </c>
      <c r="BZ67" s="52">
        <f>CA67*12</f>
        <v>31600024.799999997</v>
      </c>
      <c r="CA67" s="49">
        <f>SUM(CB67:CD67)</f>
        <v>2633335.4</v>
      </c>
      <c r="CB67" s="49">
        <f>ROUNDUP(BY67/12*209/(209+CF67*1.5)/BW67*BX67,-1)-CD67</f>
        <v>1929080</v>
      </c>
      <c r="CC67" s="49">
        <f>ROUNDUP(BY67/12*(CF67*1.5)/(209+CF67*1.5)/BW67*BX67,1)</f>
        <v>504255.39999999997</v>
      </c>
      <c r="CD67" s="49">
        <v>200000</v>
      </c>
      <c r="CE67" s="50">
        <v>209</v>
      </c>
      <c r="CF67" s="49">
        <f>IF(BY67&lt;26000000,0,IF(BY67&lt;26500000,4,IF(BY67&lt;27000000,7,IF(BY67&lt;27500000,9,IF(BY67&lt;28000000,11,IF(BY67&lt;28500000,15,IF(BY67&lt;29000000,17,IF(BY67&lt;29500000,20,IF(BY67&lt;30000000,23,IF(BY67&lt;30500000,25,IF(BY67&lt;31000000,27,IF(BY67&lt;31500000,29,IF(BY67&lt;32000000,33,IF(BY67&lt;32500000,37,IF(BY67&lt;33000000,39,IF(BY67&lt;33500000,42,IF(BY67&lt;34000000,45,IF(BY67&lt;34500000,48,IF(BY67&lt;35000000,52,52)))))))))))))))))))</f>
        <v>33</v>
      </c>
      <c r="CG67" s="50">
        <f>(CB67+CD67)/209</f>
        <v>10186.985645933015</v>
      </c>
      <c r="CH67" s="51">
        <v>30</v>
      </c>
      <c r="CI67" s="51">
        <v>30</v>
      </c>
      <c r="CJ67" s="52">
        <v>30800000</v>
      </c>
      <c r="CK67" s="52">
        <f>CL67*12</f>
        <v>30800079.599999998</v>
      </c>
      <c r="CL67" s="49">
        <f>SUM(CM67:CO67)</f>
        <v>2566673.2999999998</v>
      </c>
      <c r="CM67" s="49">
        <f>ROUNDUP(CJ67/12*209/(209+CQ67*1.5)/CH67*CI67,-1)-CO67</f>
        <v>1950040</v>
      </c>
      <c r="CN67" s="49">
        <f>ROUNDUP(CJ67/12*(CQ67*1.5)/(209+CQ67*1.5)/CH67*CI67,1)</f>
        <v>416633.3</v>
      </c>
      <c r="CO67" s="50">
        <v>200000</v>
      </c>
      <c r="CP67" s="50">
        <v>209</v>
      </c>
      <c r="CQ67" s="50">
        <f>IF(CJ67&lt;26000000,0,IF(CJ67&lt;26500000,4,IF(CJ67&lt;27000000,7,IF(CJ67&lt;27500000,9,IF(CJ67&lt;28000000,11,IF(CJ67&lt;28500000,15,IF(CJ67&lt;29000000,17,IF(CJ67&lt;29500000,20,IF(CJ67&lt;30000000,23,IF(CJ67&lt;30500000,25,IF(CJ67&lt;31000000,27,IF(CJ67&lt;31500000,29,IF(CJ67&lt;32000000,33,IF(CJ67&lt;32500000,37,IF(CJ67&lt;33000000,39,IF(CJ67&lt;33500000,42,IF(CJ67&lt;34000000,45,IF(CJ67&lt;34500000,48,IF(CJ67&lt;35000000,52,52)))))))))))))))))))</f>
        <v>27</v>
      </c>
      <c r="CR67" s="50">
        <f>(CM67+CO67)/209</f>
        <v>10287.272727272728</v>
      </c>
      <c r="CS67" s="52">
        <v>30000000</v>
      </c>
      <c r="CT67" s="53">
        <f>IFERROR(CS67/12,"")</f>
        <v>2500000</v>
      </c>
      <c r="CU67" s="53">
        <f>IFERROR(CT67-CV67-CW67,"")</f>
        <v>1833073.9299610895</v>
      </c>
      <c r="CV67" s="53">
        <f>IFERROR(CT67*(CY67*1.5)/(209+(CY67*1.5)),"")</f>
        <v>466926.07003891049</v>
      </c>
      <c r="CW67" s="54">
        <v>200000</v>
      </c>
      <c r="CX67" s="54">
        <v>209</v>
      </c>
      <c r="CY67" s="54">
        <v>32</v>
      </c>
      <c r="CZ67" s="55">
        <f>SUM(CX67:CY67)</f>
        <v>241</v>
      </c>
      <c r="DA67" s="55">
        <f>IFERROR((CU67/209)+(CW67-(9620*209*0.01))/209,"")</f>
        <v>9631.4264591439678</v>
      </c>
      <c r="DB67" s="56">
        <f>IFERROR((CU67+CW67)/209,"")</f>
        <v>9727.6264591439685</v>
      </c>
      <c r="DC67" s="57">
        <v>2023</v>
      </c>
      <c r="DD67" s="58"/>
      <c r="DE67" s="58"/>
      <c r="DF67" s="57"/>
      <c r="DG67" s="59">
        <f>B67</f>
        <v>230401</v>
      </c>
      <c r="DH67" s="58" t="s">
        <v>946</v>
      </c>
      <c r="DI67" s="58">
        <v>45048</v>
      </c>
      <c r="DJ67" s="60">
        <v>500000</v>
      </c>
      <c r="DK67" s="58">
        <v>45201</v>
      </c>
      <c r="DL67" s="61">
        <v>500000</v>
      </c>
      <c r="DM67" s="24"/>
    </row>
    <row r="68" spans="1:117" ht="15" customHeight="1">
      <c r="A68" s="25">
        <f>ROW()-2</f>
        <v>66</v>
      </c>
      <c r="B68" s="26">
        <v>230404</v>
      </c>
      <c r="C68" s="27" t="s">
        <v>1039</v>
      </c>
      <c r="D68" s="27" t="s">
        <v>388</v>
      </c>
      <c r="E68" s="27" t="s">
        <v>239</v>
      </c>
      <c r="F68" s="27" t="s">
        <v>196</v>
      </c>
      <c r="G68" s="27" t="s">
        <v>240</v>
      </c>
      <c r="H68" s="27" t="s">
        <v>241</v>
      </c>
      <c r="I68" s="27" t="s">
        <v>538</v>
      </c>
      <c r="J68" s="27" t="str">
        <f>+VLOOKUP($I68,[1]프로젝트현황!$I:$N,5,0)</f>
        <v>서울시</v>
      </c>
      <c r="K68" s="27" t="str">
        <f>+VLOOKUP($I68,[1]프로젝트현황!$I:$N,6,0)</f>
        <v>금천구</v>
      </c>
      <c r="L68" s="28">
        <v>45019</v>
      </c>
      <c r="M68" s="28">
        <v>45019</v>
      </c>
      <c r="N68" s="28"/>
      <c r="O68" s="29"/>
      <c r="P68" s="30" t="s">
        <v>1040</v>
      </c>
      <c r="Q68" s="27" t="s">
        <v>1041</v>
      </c>
      <c r="R68" s="31" t="str">
        <f>LEFT(Q68,6)</f>
        <v>990904</v>
      </c>
      <c r="S68" s="31" t="str">
        <f>MID($Q68,3,2)</f>
        <v>09</v>
      </c>
      <c r="T68" s="31" t="str">
        <f>IF(OR(MID($Q68,8,1)="1",MID($Q68,8,1)="3"),"남자",IF(OR(MID($Q68,8,1)="2",MID($Q68,8,1)="4"),"여자",""))</f>
        <v>여자</v>
      </c>
      <c r="U68" s="31">
        <f ca="1">YEAR(TODAY())-IF(OR(MID($Q68,8,1)="1",MID($Q68,8,1)="2"),19&amp;LEFT($Q68,2),IF(OR(MID($Q68,8,1)="3",MID($Q68,8,1)="4"),20&amp;LEFT($Q68,2),""))+1</f>
        <v>28</v>
      </c>
      <c r="V68" s="31" t="s">
        <v>200</v>
      </c>
      <c r="W68" s="31" t="s">
        <v>201</v>
      </c>
      <c r="X68" s="27" t="s">
        <v>1042</v>
      </c>
      <c r="Y68" s="27"/>
      <c r="Z68" s="27"/>
      <c r="AA68" s="32"/>
      <c r="AB68" s="31" t="s">
        <v>203</v>
      </c>
      <c r="AC68" s="27"/>
      <c r="AD68" s="33" t="str">
        <f ca="1">QUOTIENT(SUMPRODUCT(LEFT($AE68:$AF68,FIND("년",$AE68:$AF68)-1)*12+MID($AE68:$AF68,FIND("년",$AE68:$AF68)+1,FIND("개월",$AE68:$AF68)-FIND("년",$AE68:$AF68)-1)),12)&amp;"년"&amp;MOD(SUMPRODUCT(LEFT($AE68:$AF68,FIND("년",$AE68:$AF68)-1)*12+MID($AE68:$AF68,FIND("년",$AE68:$AF68)+1,FIND("개월",$AE68:$AF68)-FIND("년",$AE68:$AF68)-1)),12)&amp;"개월"</f>
        <v>3년6개월</v>
      </c>
      <c r="AE68" s="33" t="s">
        <v>1043</v>
      </c>
      <c r="AF68" s="34" t="str">
        <f ca="1">DATEDIF($L68,TODAY(),"y")&amp;"년"&amp;DATEDIF($L68,TODAY(),"ym")&amp;"개월"</f>
        <v>2년10개월</v>
      </c>
      <c r="AG68" s="35" t="s">
        <v>1044</v>
      </c>
      <c r="AH68" s="35" t="s">
        <v>1045</v>
      </c>
      <c r="AI68" s="30" t="s">
        <v>270</v>
      </c>
      <c r="AJ68" s="32">
        <v>44979</v>
      </c>
      <c r="AK68" s="36">
        <f ca="1">VALUE(LEFT($AD68,FIND("년",$AD68)-1))</f>
        <v>3</v>
      </c>
      <c r="AL68" s="31" t="str">
        <f ca="1">IF($AI68="학사",IF($AK68&lt;=5,"초급",IF($AK68&lt;9,"중급",IF($AK68&lt;12,"고급",IF($AK68&gt;=12,"특급")))))</f>
        <v>초급</v>
      </c>
      <c r="AM68" s="31" t="str">
        <f>IF(ISNUMBER(SEARCH("산업기사",$AT68)),IF($AK68&gt;=13,"특급",IF($AK68&gt;=10,"고급",IF($AK68&gt;=7,"중급","초급"))),IF(ISNUMBER(SEARCH("기사",$AR68)),IF($AK68&gt;=10,"특급",IF($AK68&gt;=7,"고급",IF($AK68&gt;=4,"중급","초급"))),"미해당"))</f>
        <v>미해당</v>
      </c>
      <c r="AN68" s="27"/>
      <c r="AO68" s="32"/>
      <c r="AP68" s="27"/>
      <c r="AQ68" s="32"/>
      <c r="AR68" s="27"/>
      <c r="AS68" s="27"/>
      <c r="AT68" s="37"/>
      <c r="AU68" s="27"/>
      <c r="AV68" s="38"/>
      <c r="AW68" s="39"/>
      <c r="AX68" s="39"/>
      <c r="AY68" s="40" t="s">
        <v>251</v>
      </c>
      <c r="AZ68" s="41" t="s">
        <v>252</v>
      </c>
      <c r="BA68" s="30" t="s">
        <v>230</v>
      </c>
      <c r="BB68" s="30" t="s">
        <v>1046</v>
      </c>
      <c r="BC68" s="42" t="s">
        <v>254</v>
      </c>
      <c r="BD68" s="42" t="s">
        <v>1047</v>
      </c>
      <c r="BE68" s="43" t="s">
        <v>1048</v>
      </c>
      <c r="BF68" s="42" t="s">
        <v>211</v>
      </c>
      <c r="BG68" s="42" t="s">
        <v>899</v>
      </c>
      <c r="BH68" s="35"/>
      <c r="BI68" s="44" t="s">
        <v>1049</v>
      </c>
      <c r="BJ68" s="45" t="str">
        <f>IFERROR(VLOOKUP($BG68,[1]프로젝트현황!Y:Z,2,0),"기타")</f>
        <v>서남권</v>
      </c>
      <c r="BK68" s="46" t="str">
        <f>(IF(BF68="","",BF68&amp;" "))&amp;(IF(BG68="","",BG68&amp;" "))&amp;(IF(BH68="","",BH68&amp;" "))&amp;BI68</f>
        <v>서울시 동작구 동작대로9다길 24(사당동)</v>
      </c>
      <c r="BL68" s="47">
        <v>30</v>
      </c>
      <c r="BM68" s="47">
        <v>30</v>
      </c>
      <c r="BN68" s="48">
        <v>30300000</v>
      </c>
      <c r="BO68" s="48">
        <f>BP68*12</f>
        <v>30300019.200000003</v>
      </c>
      <c r="BP68" s="49">
        <f>SUM(BQ68:BS68)</f>
        <v>2525001.6</v>
      </c>
      <c r="BQ68" s="49">
        <f>ROUNDUP(BN68/12*209/(209+BU68*1.5)/BL68*BM68,-1)-BS68</f>
        <v>1967250</v>
      </c>
      <c r="BR68" s="49">
        <f>ROUNDUP(BN68/12*(BU68*1.5)/(209+BU68*1.5)/BL68*BM68,1)</f>
        <v>357751.6</v>
      </c>
      <c r="BS68" s="49">
        <v>200000</v>
      </c>
      <c r="BT68" s="50">
        <v>209</v>
      </c>
      <c r="BU68" s="49">
        <f>IF($BN68="","",
IFERROR(
    IF($BN68&lt;'[1]시간외시간 기준표'!$B$2,0,
        IF($BN68&gt;LOOKUP(9.9E+307,'[1]시간외시간 기준표'!$B$2:$B$999),
            LOOKUP(9.9E+307,'[1]시간외시간 기준표'!$C$2:$C$999),
            LOOKUP($BN68,'[1]시간외시간 기준표'!$B$2:$B$999,'[1]시간외시간 기준표'!$C$2:$C$999)
        )
    ),0)
)</f>
        <v>23</v>
      </c>
      <c r="BV68" s="50">
        <f>(BQ68+BS68)/209</f>
        <v>10369.617224880383</v>
      </c>
      <c r="BW68" s="51">
        <v>30</v>
      </c>
      <c r="BX68" s="51">
        <v>30</v>
      </c>
      <c r="BY68" s="52">
        <v>30300000</v>
      </c>
      <c r="BZ68" s="52">
        <f>CA68*12</f>
        <v>30300093.599999998</v>
      </c>
      <c r="CA68" s="49">
        <f>SUM(CB68:CD68)</f>
        <v>2525007.7999999998</v>
      </c>
      <c r="CB68" s="49">
        <f>ROUNDUP(BY68/12*209/(209+CF68*1.5)/BW68*BX68,-1)-CD68</f>
        <v>1940880</v>
      </c>
      <c r="CC68" s="49">
        <f>ROUNDUP(BY68/12*(CF68*1.5)/(209+CF68*1.5)/BW68*BX68,1)</f>
        <v>384127.8</v>
      </c>
      <c r="CD68" s="49">
        <v>200000</v>
      </c>
      <c r="CE68" s="50">
        <v>209</v>
      </c>
      <c r="CF68" s="49">
        <f>IF(BY68&lt;26000000,0,IF(BY68&lt;26500000,4,IF(BY68&lt;27000000,7,IF(BY68&lt;27500000,9,IF(BY68&lt;28000000,11,IF(BY68&lt;28500000,15,IF(BY68&lt;29000000,17,IF(BY68&lt;29500000,20,IF(BY68&lt;30000000,23,IF(BY68&lt;30500000,25,IF(BY68&lt;31000000,27,IF(BY68&lt;31500000,29,IF(BY68&lt;32000000,33,IF(BY68&lt;32500000,37,IF(BY68&lt;33000000,39,IF(BY68&lt;33500000,42,IF(BY68&lt;34000000,45,IF(BY68&lt;34500000,48,IF(BY68&lt;35000000,52,52)))))))))))))))))))</f>
        <v>25</v>
      </c>
      <c r="CG68" s="50">
        <f>(CB68+CD68)/209</f>
        <v>10243.444976076555</v>
      </c>
      <c r="CH68" s="51">
        <v>30</v>
      </c>
      <c r="CI68" s="51">
        <v>30</v>
      </c>
      <c r="CJ68" s="52">
        <v>28800000</v>
      </c>
      <c r="CK68" s="52">
        <f>CL68*12</f>
        <v>28800010.799999997</v>
      </c>
      <c r="CL68" s="49">
        <f>SUM(CM68:CO68)</f>
        <v>2400000.9</v>
      </c>
      <c r="CM68" s="49">
        <f>ROUNDUP(CJ68/12*209/(209+CQ68*1.5)/CH68*CI68,-1)-CO68</f>
        <v>1939020</v>
      </c>
      <c r="CN68" s="49">
        <f>ROUNDUP(CJ68/12*(CQ68*1.5)/(209+CQ68*1.5)/CH68*CI68,1)</f>
        <v>260980.9</v>
      </c>
      <c r="CO68" s="50">
        <v>200000</v>
      </c>
      <c r="CP68" s="50">
        <v>209</v>
      </c>
      <c r="CQ68" s="50">
        <f>IF(CJ68&lt;26000000,0,IF(CJ68&lt;26500000,4,IF(CJ68&lt;27000000,7,IF(CJ68&lt;27500000,9,IF(CJ68&lt;28000000,11,IF(CJ68&lt;28500000,15,IF(CJ68&lt;29000000,17,IF(CJ68&lt;29500000,20,IF(CJ68&lt;30000000,23,IF(CJ68&lt;30500000,25,IF(CJ68&lt;31000000,27,IF(CJ68&lt;31500000,29,IF(CJ68&lt;32000000,33,IF(CJ68&lt;32500000,37,IF(CJ68&lt;33000000,39,IF(CJ68&lt;33500000,42,IF(CJ68&lt;34000000,45,IF(CJ68&lt;34500000,48,IF(CJ68&lt;35000000,52,52)))))))))))))))))))</f>
        <v>17</v>
      </c>
      <c r="CR68" s="50">
        <f>(CM68+CO68)/209</f>
        <v>10234.545454545454</v>
      </c>
      <c r="CS68" s="52">
        <v>28000000</v>
      </c>
      <c r="CT68" s="53">
        <f>IFERROR(CS68/12,"")</f>
        <v>2333333.3333333335</v>
      </c>
      <c r="CU68" s="53">
        <f>IFERROR(CT68-CV68-CW68,"")</f>
        <v>1840446.3040446306</v>
      </c>
      <c r="CV68" s="53">
        <f>IFERROR(CT68*(CY68*1.5)/(209+(CY68*1.5)),"")</f>
        <v>292887.02928870294</v>
      </c>
      <c r="CW68" s="54">
        <v>200000</v>
      </c>
      <c r="CX68" s="54">
        <v>209</v>
      </c>
      <c r="CY68" s="54">
        <v>20</v>
      </c>
      <c r="CZ68" s="55">
        <f>SUM(CX68:CY68)</f>
        <v>229</v>
      </c>
      <c r="DA68" s="55">
        <f>IFERROR((CU68/209)+(CW68-(9620*209*0.01))/209,"")</f>
        <v>9666.7009762900998</v>
      </c>
      <c r="DB68" s="56">
        <f>IFERROR((CU68+CW68)/209,"")</f>
        <v>9762.9009762900987</v>
      </c>
      <c r="DC68" s="57">
        <v>2023</v>
      </c>
      <c r="DD68" s="58"/>
      <c r="DE68" s="58"/>
      <c r="DF68" s="57"/>
      <c r="DG68" s="59">
        <f>B68</f>
        <v>230404</v>
      </c>
      <c r="DH68" s="58"/>
      <c r="DI68" s="58"/>
      <c r="DJ68" s="60"/>
      <c r="DK68" s="58"/>
      <c r="DL68" s="61"/>
      <c r="DM68" s="24"/>
    </row>
    <row r="69" spans="1:117" ht="15" customHeight="1">
      <c r="A69" s="25">
        <f>ROW()-2</f>
        <v>67</v>
      </c>
      <c r="B69" s="26">
        <v>230502</v>
      </c>
      <c r="C69" s="27" t="s">
        <v>1050</v>
      </c>
      <c r="D69" s="27"/>
      <c r="E69" s="27" t="s">
        <v>283</v>
      </c>
      <c r="F69" s="27" t="s">
        <v>196</v>
      </c>
      <c r="G69" s="27" t="s">
        <v>1051</v>
      </c>
      <c r="H69" s="27" t="s">
        <v>217</v>
      </c>
      <c r="I69" s="27" t="s">
        <v>1052</v>
      </c>
      <c r="J69" s="27" t="str">
        <f>+VLOOKUP($I69,[1]프로젝트현황!$I:$N,5,0)</f>
        <v>서울시</v>
      </c>
      <c r="K69" s="27" t="str">
        <f>+VLOOKUP($I69,[1]프로젝트현황!$I:$N,6,0)</f>
        <v>서초구</v>
      </c>
      <c r="L69" s="28">
        <v>45064</v>
      </c>
      <c r="M69" s="28">
        <v>45064</v>
      </c>
      <c r="N69" s="28"/>
      <c r="O69" s="29"/>
      <c r="P69" s="30" t="s">
        <v>1053</v>
      </c>
      <c r="Q69" s="27" t="s">
        <v>1054</v>
      </c>
      <c r="R69" s="31" t="str">
        <f>LEFT(Q69,6)</f>
        <v>770123</v>
      </c>
      <c r="S69" s="31" t="str">
        <f>MID($Q69,3,2)</f>
        <v>01</v>
      </c>
      <c r="T69" s="31" t="str">
        <f>IF(OR(MID($Q69,8,1)="1",MID($Q69,8,1)="3"),"남자",IF(OR(MID($Q69,8,1)="2",MID($Q69,8,1)="4"),"여자",""))</f>
        <v>여자</v>
      </c>
      <c r="U69" s="31">
        <f ca="1">YEAR(TODAY())-IF(OR(MID($Q69,8,1)="1",MID($Q69,8,1)="2"),19&amp;LEFT($Q69,2),IF(OR(MID($Q69,8,1)="3",MID($Q69,8,1)="4"),20&amp;LEFT($Q69,2),""))+1</f>
        <v>50</v>
      </c>
      <c r="V69" s="31" t="s">
        <v>200</v>
      </c>
      <c r="W69" s="31" t="s">
        <v>201</v>
      </c>
      <c r="X69" s="27" t="s">
        <v>1055</v>
      </c>
      <c r="Y69" s="27"/>
      <c r="Z69" s="27"/>
      <c r="AA69" s="32"/>
      <c r="AB69" s="31" t="s">
        <v>203</v>
      </c>
      <c r="AC69" s="27"/>
      <c r="AD69" s="33" t="str">
        <f ca="1">QUOTIENT(SUMPRODUCT(LEFT($AE69:$AF69,FIND("년",$AE69:$AF69)-1)*12+MID($AE69:$AF69,FIND("년",$AE69:$AF69)+1,FIND("개월",$AE69:$AF69)-FIND("년",$AE69:$AF69)-1)),12)&amp;"년"&amp;MOD(SUMPRODUCT(LEFT($AE69:$AF69,FIND("년",$AE69:$AF69)-1)*12+MID($AE69:$AF69,FIND("년",$AE69:$AF69)+1,FIND("개월",$AE69:$AF69)-FIND("년",$AE69:$AF69)-1)),12)&amp;"개월"</f>
        <v>14년2개월</v>
      </c>
      <c r="AE69" s="33" t="s">
        <v>1056</v>
      </c>
      <c r="AF69" s="34" t="str">
        <f ca="1">DATEDIF($L69,TODAY(),"y")&amp;"년"&amp;DATEDIF($L69,TODAY(),"ym")&amp;"개월"</f>
        <v>2년8개월</v>
      </c>
      <c r="AG69" s="35" t="s">
        <v>1057</v>
      </c>
      <c r="AH69" s="35" t="s">
        <v>1058</v>
      </c>
      <c r="AI69" s="30" t="s">
        <v>270</v>
      </c>
      <c r="AJ69" s="32">
        <v>36581</v>
      </c>
      <c r="AK69" s="36">
        <f ca="1">VALUE(LEFT($AD69,FIND("년",$AD69)-1))</f>
        <v>14</v>
      </c>
      <c r="AL69" s="31" t="str">
        <f ca="1">IF($AI69="학사",IF($AK69&lt;=5,"초급",IF($AK69&lt;9,"중급",IF($AK69&lt;12,"고급",IF($AK69&gt;=12,"특급")))))</f>
        <v>특급</v>
      </c>
      <c r="AM69" s="31" t="str">
        <f>IF(ISNUMBER(SEARCH("산업기사",$AT69)),IF($AK69&gt;=13,"특급",IF($AK69&gt;=10,"고급",IF($AK69&gt;=7,"중급","초급"))),IF(ISNUMBER(SEARCH("기사",$AR69)),IF($AK69&gt;=10,"특급",IF($AK69&gt;=7,"고급",IF($AK69&gt;=4,"중급","초급"))),"미해당"))</f>
        <v>미해당</v>
      </c>
      <c r="AN69" s="27"/>
      <c r="AO69" s="32"/>
      <c r="AP69" s="27" t="s">
        <v>137</v>
      </c>
      <c r="AQ69" s="32">
        <v>45029</v>
      </c>
      <c r="AR69" s="27"/>
      <c r="AS69" s="27"/>
      <c r="AT69" s="37"/>
      <c r="AU69" s="27"/>
      <c r="AV69" s="38"/>
      <c r="AW69" s="39"/>
      <c r="AX69" s="39"/>
      <c r="AY69" s="40" t="s">
        <v>251</v>
      </c>
      <c r="AZ69" s="41" t="s">
        <v>252</v>
      </c>
      <c r="BA69" s="30" t="s">
        <v>230</v>
      </c>
      <c r="BB69" s="30" t="s">
        <v>1059</v>
      </c>
      <c r="BC69" s="42" t="s">
        <v>507</v>
      </c>
      <c r="BD69" s="42" t="s">
        <v>1060</v>
      </c>
      <c r="BE69" s="43" t="s">
        <v>1061</v>
      </c>
      <c r="BF69" s="42" t="s">
        <v>234</v>
      </c>
      <c r="BG69" s="42" t="s">
        <v>887</v>
      </c>
      <c r="BH69" s="35" t="s">
        <v>888</v>
      </c>
      <c r="BI69" s="44" t="s">
        <v>1062</v>
      </c>
      <c r="BJ69" s="45" t="str">
        <f>IFERROR(VLOOKUP($BG69,[1]프로젝트현황!Y:Z,2,0),"기타")</f>
        <v>동남권</v>
      </c>
      <c r="BK69" s="46" t="str">
        <f>(IF(BF69="","",BF69&amp;" "))&amp;(IF(BG69="","",BG69&amp;" "))&amp;(IF(BH69="","",BH69&amp;" "))&amp;BI69</f>
        <v>경기도 용인시 수지구 진산로 24, 119동 803호 (상현동, 진산마을성원상떼빌아파트)</v>
      </c>
      <c r="BL69" s="47">
        <v>30</v>
      </c>
      <c r="BM69" s="47">
        <v>30</v>
      </c>
      <c r="BN69" s="48">
        <v>57550000</v>
      </c>
      <c r="BO69" s="48">
        <f>BP69*12</f>
        <v>57550047.599999994</v>
      </c>
      <c r="BP69" s="49">
        <f>SUM(BQ69:BS69)</f>
        <v>4795837.3</v>
      </c>
      <c r="BQ69" s="49">
        <f>ROUNDUP(BN69/12*209/(209+BU69*1.5)/BL69*BM69,-1)-BS69</f>
        <v>3292440</v>
      </c>
      <c r="BR69" s="49">
        <f>ROUNDUP(BN69/12*(BU69*1.5)/(209+BU69*1.5)/BL69*BM69,1)</f>
        <v>1303397.3</v>
      </c>
      <c r="BS69" s="49">
        <v>200000</v>
      </c>
      <c r="BT69" s="50">
        <v>209</v>
      </c>
      <c r="BU69" s="49">
        <f>IF($BN69="","",
IFERROR(
    IF($BN69&lt;'[1]시간외시간 기준표'!$B$2,0,
        IF($BN69&gt;LOOKUP(9.9E+307,'[1]시간외시간 기준표'!$B$2:$B$999),
            LOOKUP(9.9E+307,'[1]시간외시간 기준표'!$C$2:$C$999),
            LOOKUP($BN69,'[1]시간외시간 기준표'!$B$2:$B$999,'[1]시간외시간 기준표'!$C$2:$C$999)
        )
    ),0)
)</f>
        <v>52</v>
      </c>
      <c r="BV69" s="50">
        <f>(BQ69+BS69)/209</f>
        <v>16710.23923444976</v>
      </c>
      <c r="BW69" s="51">
        <v>30</v>
      </c>
      <c r="BX69" s="51">
        <v>30</v>
      </c>
      <c r="BY69" s="52">
        <v>57550000</v>
      </c>
      <c r="BZ69" s="52">
        <f>CA69*12</f>
        <v>57550047.599999994</v>
      </c>
      <c r="CA69" s="49">
        <f>SUM(CB69:CD69)</f>
        <v>4795837.3</v>
      </c>
      <c r="CB69" s="49">
        <f>ROUNDUP(BY69/12*209/(209+CF69*1.5)/BW69*BX69,-1)-CD69</f>
        <v>3292440</v>
      </c>
      <c r="CC69" s="49">
        <f>ROUNDUP(BY69/12*(CF69*1.5)/(209+CF69*1.5)/BW69*BX69,1)</f>
        <v>1303397.3</v>
      </c>
      <c r="CD69" s="49">
        <v>200000</v>
      </c>
      <c r="CE69" s="50">
        <v>209</v>
      </c>
      <c r="CF69" s="49">
        <f>IF(BY69&lt;26000000,0,IF(BY69&lt;26500000,4,IF(BY69&lt;27000000,7,IF(BY69&lt;27500000,9,IF(BY69&lt;28000000,11,IF(BY69&lt;28500000,15,IF(BY69&lt;29000000,17,IF(BY69&lt;29500000,20,IF(BY69&lt;30000000,23,IF(BY69&lt;30500000,25,IF(BY69&lt;31000000,27,IF(BY69&lt;31500000,29,IF(BY69&lt;32000000,33,IF(BY69&lt;32500000,37,IF(BY69&lt;33000000,39,IF(BY69&lt;33500000,42,IF(BY69&lt;34000000,45,IF(BY69&lt;34500000,48,IF(BY69&lt;35000000,52,52)))))))))))))))))))</f>
        <v>52</v>
      </c>
      <c r="CG69" s="50">
        <f>(CB69+CD69)/209</f>
        <v>16710.23923444976</v>
      </c>
      <c r="CH69" s="51">
        <v>30</v>
      </c>
      <c r="CI69" s="51">
        <v>30</v>
      </c>
      <c r="CJ69" s="52">
        <v>56050000</v>
      </c>
      <c r="CK69" s="52">
        <f>CL69*12</f>
        <v>56050021.199999996</v>
      </c>
      <c r="CL69" s="49">
        <f>SUM(CM69:CO69)</f>
        <v>4670835.0999999996</v>
      </c>
      <c r="CM69" s="49">
        <f>ROUNDUP(CJ69/12*209/(209+CQ69*1.5)/CH69*CI69,-1)-CO69</f>
        <v>3201410</v>
      </c>
      <c r="CN69" s="49">
        <f>ROUNDUP(CJ69/12*(CQ69*1.5)/(209+CQ69*1.5)/CH69*CI69,1)</f>
        <v>1269425.1000000001</v>
      </c>
      <c r="CO69" s="50">
        <v>200000</v>
      </c>
      <c r="CP69" s="50">
        <v>209</v>
      </c>
      <c r="CQ69" s="50">
        <f>IF(CJ69&lt;26000000,0,IF(CJ69&lt;26500000,4,IF(CJ69&lt;27000000,7,IF(CJ69&lt;27500000,9,IF(CJ69&lt;28000000,11,IF(CJ69&lt;28500000,15,IF(CJ69&lt;29000000,17,IF(CJ69&lt;29500000,20,IF(CJ69&lt;30000000,23,IF(CJ69&lt;30500000,25,IF(CJ69&lt;31000000,27,IF(CJ69&lt;31500000,29,IF(CJ69&lt;32000000,33,IF(CJ69&lt;32500000,37,IF(CJ69&lt;33000000,39,IF(CJ69&lt;33500000,42,IF(CJ69&lt;34000000,45,IF(CJ69&lt;34500000,48,IF(CJ69&lt;35000000,52,52)))))))))))))))))))</f>
        <v>52</v>
      </c>
      <c r="CR69" s="50">
        <f>(CM69+CO69)/209</f>
        <v>16274.688995215311</v>
      </c>
      <c r="CS69" s="52">
        <v>55000000</v>
      </c>
      <c r="CT69" s="53">
        <f>IFERROR(CS69/12,"")</f>
        <v>4583333.333333333</v>
      </c>
      <c r="CU69" s="53">
        <f>IFERROR(CT69-CV69-CW69,"")</f>
        <v>3137688.7340301974</v>
      </c>
      <c r="CV69" s="53">
        <f>IFERROR(CT69*(CY69*1.5)/(209+(CY69*1.5)),"")</f>
        <v>1245644.5993031359</v>
      </c>
      <c r="CW69" s="54">
        <v>200000</v>
      </c>
      <c r="CX69" s="54">
        <v>209</v>
      </c>
      <c r="CY69" s="54">
        <v>52</v>
      </c>
      <c r="CZ69" s="55">
        <f>SUM(CX69:CY69)</f>
        <v>261</v>
      </c>
      <c r="DA69" s="55" t="str">
        <f>IFERROR((CU69/인사기본정보!#REF!)+(CW69-(9620*인사기본정보!#REF!*0.01))/인사기본정보!#REF!,"")</f>
        <v/>
      </c>
      <c r="DB69" s="56">
        <f>IFERROR((CU69+CW69)/209,"")</f>
        <v>15969.802555168408</v>
      </c>
      <c r="DC69" s="57">
        <v>2023</v>
      </c>
      <c r="DD69" s="58"/>
      <c r="DE69" s="58"/>
      <c r="DF69" s="57"/>
      <c r="DG69" s="59">
        <f>B69</f>
        <v>230502</v>
      </c>
      <c r="DH69" s="58"/>
      <c r="DI69" s="58"/>
      <c r="DJ69" s="60"/>
      <c r="DK69" s="58"/>
      <c r="DL69" s="61"/>
      <c r="DM69" s="24"/>
    </row>
    <row r="70" spans="1:117" ht="15" customHeight="1">
      <c r="A70" s="25">
        <f>ROW()-2</f>
        <v>68</v>
      </c>
      <c r="B70" s="26">
        <v>230503</v>
      </c>
      <c r="C70" s="27" t="s">
        <v>1063</v>
      </c>
      <c r="D70" s="27"/>
      <c r="E70" s="27" t="s">
        <v>613</v>
      </c>
      <c r="F70" s="27" t="s">
        <v>196</v>
      </c>
      <c r="G70" s="27" t="s">
        <v>240</v>
      </c>
      <c r="H70" s="27" t="s">
        <v>260</v>
      </c>
      <c r="I70" s="27" t="s">
        <v>1064</v>
      </c>
      <c r="J70" s="27" t="str">
        <f>+VLOOKUP($I70,[1]프로젝트현황!$I:$N,5,0)</f>
        <v>서울시</v>
      </c>
      <c r="K70" s="27" t="str">
        <f>+VLOOKUP($I70,[1]프로젝트현황!$I:$N,6,0)</f>
        <v>영등포구</v>
      </c>
      <c r="L70" s="28">
        <v>45076</v>
      </c>
      <c r="M70" s="28">
        <v>45076</v>
      </c>
      <c r="N70" s="28"/>
      <c r="O70" s="29"/>
      <c r="P70" s="30" t="s">
        <v>1065</v>
      </c>
      <c r="Q70" s="27" t="s">
        <v>1066</v>
      </c>
      <c r="R70" s="31" t="str">
        <f>LEFT(Q70,6)</f>
        <v>790206</v>
      </c>
      <c r="S70" s="31" t="str">
        <f>MID($Q70,3,2)</f>
        <v>02</v>
      </c>
      <c r="T70" s="31" t="str">
        <f>IF(OR(MID($Q70,8,1)="1",MID($Q70,8,1)="3"),"남자",IF(OR(MID($Q70,8,1)="2",MID($Q70,8,1)="4"),"여자",""))</f>
        <v>여자</v>
      </c>
      <c r="U70" s="31">
        <f ca="1">YEAR(TODAY())-IF(OR(MID($Q70,8,1)="1",MID($Q70,8,1)="2"),19&amp;LEFT($Q70,2),IF(OR(MID($Q70,8,1)="3",MID($Q70,8,1)="4"),20&amp;LEFT($Q70,2),""))+1</f>
        <v>48</v>
      </c>
      <c r="V70" s="31" t="s">
        <v>200</v>
      </c>
      <c r="W70" s="31" t="s">
        <v>201</v>
      </c>
      <c r="X70" s="27" t="s">
        <v>1067</v>
      </c>
      <c r="Y70" s="27"/>
      <c r="Z70" s="27"/>
      <c r="AA70" s="32"/>
      <c r="AB70" s="31" t="s">
        <v>203</v>
      </c>
      <c r="AC70" s="27"/>
      <c r="AD70" s="33" t="str">
        <f ca="1">QUOTIENT(SUMPRODUCT(LEFT($AE70:$AF70,FIND("년",$AE70:$AF70)-1)*12+MID($AE70:$AF70,FIND("년",$AE70:$AF70)+1,FIND("개월",$AE70:$AF70)-FIND("년",$AE70:$AF70)-1)),12)&amp;"년"&amp;MOD(SUMPRODUCT(LEFT($AE70:$AF70,FIND("년",$AE70:$AF70)-1)*12+MID($AE70:$AF70,FIND("년",$AE70:$AF70)+1,FIND("개월",$AE70:$AF70)-FIND("년",$AE70:$AF70)-1)),12)&amp;"개월"</f>
        <v>2년8개월</v>
      </c>
      <c r="AE70" s="33" t="s">
        <v>543</v>
      </c>
      <c r="AF70" s="34" t="str">
        <f ca="1">DATEDIF($L70,TODAY(),"y")&amp;"년"&amp;DATEDIF($L70,TODAY(),"ym")&amp;"개월"</f>
        <v>2년8개월</v>
      </c>
      <c r="AG70" s="35" t="s">
        <v>870</v>
      </c>
      <c r="AH70" s="35" t="s">
        <v>1068</v>
      </c>
      <c r="AI70" s="30" t="s">
        <v>205</v>
      </c>
      <c r="AJ70" s="32">
        <v>36203</v>
      </c>
      <c r="AK70" s="36">
        <f ca="1">VALUE(LEFT($AD70,FIND("년",$AD70)-1))</f>
        <v>2</v>
      </c>
      <c r="AL70" s="31" t="str">
        <f ca="1">IF($AI70="전문학사",IF($AK70&lt;=8,"초급",IF($AK70&lt;12,"중급",IF($AK70&lt;15,"고급",IF($AK70&gt;=15,"특급")))))</f>
        <v>초급</v>
      </c>
      <c r="AM70" s="31" t="str">
        <f>IF(ISNUMBER(SEARCH("산업기사",$AT70)),IF($AK70&gt;=13,"특급",IF($AK70&gt;=10,"고급",IF($AK70&gt;=7,"중급","초급"))),IF(ISNUMBER(SEARCH("기사",$AR70)),IF($AK70&gt;=10,"특급",IF($AK70&gt;=7,"고급",IF($AK70&gt;=4,"중급","초급"))),"미해당"))</f>
        <v>미해당</v>
      </c>
      <c r="AN70" s="27" t="s">
        <v>135</v>
      </c>
      <c r="AO70" s="32">
        <v>45157</v>
      </c>
      <c r="AP70" s="27"/>
      <c r="AQ70" s="32"/>
      <c r="AR70" s="27"/>
      <c r="AS70" s="27"/>
      <c r="AT70" s="37"/>
      <c r="AU70" s="27"/>
      <c r="AV70" s="38"/>
      <c r="AW70" s="39"/>
      <c r="AX70" s="39"/>
      <c r="AY70" s="40" t="s">
        <v>251</v>
      </c>
      <c r="AZ70" s="41" t="s">
        <v>252</v>
      </c>
      <c r="BA70" s="30" t="s">
        <v>230</v>
      </c>
      <c r="BB70" s="30" t="s">
        <v>1069</v>
      </c>
      <c r="BC70" s="42" t="s">
        <v>507</v>
      </c>
      <c r="BD70" s="42" t="s">
        <v>1070</v>
      </c>
      <c r="BE70" s="43" t="s">
        <v>1071</v>
      </c>
      <c r="BF70" s="42" t="s">
        <v>234</v>
      </c>
      <c r="BG70" s="42" t="s">
        <v>672</v>
      </c>
      <c r="BH70" s="35"/>
      <c r="BI70" s="44" t="s">
        <v>1072</v>
      </c>
      <c r="BJ70" s="45" t="str">
        <f>IFERROR(VLOOKUP($BG70,[1]프로젝트현황!Y:Z,2,0),"기타")</f>
        <v>서남권</v>
      </c>
      <c r="BK70" s="46" t="str">
        <f>(IF(BF70="","",BF70&amp;" "))&amp;(IF(BG70="","",BG70&amp;" "))&amp;(IF(BH70="","",BH70&amp;" "))&amp;BI70</f>
        <v>경기도 김포시 태장로845,135동 1302호(장기동, 한강센트럴자이)</v>
      </c>
      <c r="BL70" s="47">
        <v>30</v>
      </c>
      <c r="BM70" s="47">
        <v>30</v>
      </c>
      <c r="BN70" s="48">
        <v>31500000</v>
      </c>
      <c r="BO70" s="48">
        <f>BP70*12</f>
        <v>31500093.599999998</v>
      </c>
      <c r="BP70" s="49">
        <f>SUM(BQ70:BS70)</f>
        <v>2625007.7999999998</v>
      </c>
      <c r="BQ70" s="49">
        <f>ROUNDUP(BN70/12*209/(209+BU70*1.5)/BL70*BM70,-1)-BS70</f>
        <v>1972780</v>
      </c>
      <c r="BR70" s="49">
        <f>ROUNDUP(BN70/12*(BU70*1.5)/(209+BU70*1.5)/BL70*BM70,1)</f>
        <v>452227.8</v>
      </c>
      <c r="BS70" s="49">
        <v>200000</v>
      </c>
      <c r="BT70" s="50">
        <v>209</v>
      </c>
      <c r="BU70" s="49">
        <f>IF($BN70="","",
IFERROR(
    IF($BN70&lt;'[1]시간외시간 기준표'!$B$2,0,
        IF($BN70&gt;LOOKUP(9.9E+307,'[1]시간외시간 기준표'!$B$2:$B$999),
            LOOKUP(9.9E+307,'[1]시간외시간 기준표'!$C$2:$C$999),
            LOOKUP($BN70,'[1]시간외시간 기준표'!$B$2:$B$999,'[1]시간외시간 기준표'!$C$2:$C$999)
        )
    ),0)
)</f>
        <v>29</v>
      </c>
      <c r="BV70" s="50">
        <f>(BQ70+BS70)/209</f>
        <v>10396.076555023923</v>
      </c>
      <c r="BW70" s="51">
        <v>30</v>
      </c>
      <c r="BX70" s="51">
        <v>30</v>
      </c>
      <c r="BY70" s="52">
        <v>31500000</v>
      </c>
      <c r="BZ70" s="52">
        <f>CA70*12</f>
        <v>31500115.200000003</v>
      </c>
      <c r="CA70" s="49">
        <f>SUM(CB70:CD70)</f>
        <v>2625009.6</v>
      </c>
      <c r="CB70" s="49">
        <f>ROUNDUP(BY70/12*209/(209+CF70*1.5)/BW70*BX70,-1)-CD70</f>
        <v>1922350</v>
      </c>
      <c r="CC70" s="49">
        <f>ROUNDUP(BY70/12*(CF70*1.5)/(209+CF70*1.5)/BW70*BX70,1)</f>
        <v>502659.6</v>
      </c>
      <c r="CD70" s="49">
        <v>200000</v>
      </c>
      <c r="CE70" s="50">
        <v>209</v>
      </c>
      <c r="CF70" s="49">
        <f>IF(BY70&lt;26000000,0,IF(BY70&lt;26500000,4,IF(BY70&lt;27000000,7,IF(BY70&lt;27500000,9,IF(BY70&lt;28000000,11,IF(BY70&lt;28500000,15,IF(BY70&lt;29000000,17,IF(BY70&lt;29500000,20,IF(BY70&lt;30000000,23,IF(BY70&lt;30500000,25,IF(BY70&lt;31000000,27,IF(BY70&lt;31500000,29,IF(BY70&lt;32000000,33,IF(BY70&lt;32500000,37,IF(BY70&lt;33000000,39,IF(BY70&lt;33500000,42,IF(BY70&lt;34000000,45,IF(BY70&lt;34500000,48,IF(BY70&lt;35000000,52,52)))))))))))))))))))</f>
        <v>33</v>
      </c>
      <c r="CG70" s="50">
        <f>(CB70+CD70)/209</f>
        <v>10154.784688995216</v>
      </c>
      <c r="CH70" s="51">
        <v>30</v>
      </c>
      <c r="CI70" s="51">
        <v>30</v>
      </c>
      <c r="CJ70" s="52">
        <v>30700000</v>
      </c>
      <c r="CK70" s="52">
        <f>CL70*12</f>
        <v>30700087.200000003</v>
      </c>
      <c r="CL70" s="49">
        <f>SUM(CM70:CO70)</f>
        <v>2558340.6</v>
      </c>
      <c r="CM70" s="49">
        <f>ROUNDUP(CJ70/12*209/(209+CQ70*1.5)/CH70*CI70,-1)-CO70</f>
        <v>1943060</v>
      </c>
      <c r="CN70" s="49">
        <f>ROUNDUP(CJ70/12*(CQ70*1.5)/(209+CQ70*1.5)/CH70*CI70,1)</f>
        <v>415280.6</v>
      </c>
      <c r="CO70" s="50">
        <v>200000</v>
      </c>
      <c r="CP70" s="50">
        <v>209</v>
      </c>
      <c r="CQ70" s="50">
        <f>IF(CJ70&lt;26000000,0,IF(CJ70&lt;26500000,4,IF(CJ70&lt;27000000,7,IF(CJ70&lt;27500000,9,IF(CJ70&lt;28000000,11,IF(CJ70&lt;28500000,15,IF(CJ70&lt;29000000,17,IF(CJ70&lt;29500000,20,IF(CJ70&lt;30000000,23,IF(CJ70&lt;30500000,25,IF(CJ70&lt;31000000,27,IF(CJ70&lt;31500000,29,IF(CJ70&lt;32000000,33,IF(CJ70&lt;32500000,37,IF(CJ70&lt;33000000,39,IF(CJ70&lt;33500000,42,IF(CJ70&lt;34000000,45,IF(CJ70&lt;34500000,48,IF(CJ70&lt;35000000,52,52)))))))))))))))))))</f>
        <v>27</v>
      </c>
      <c r="CR70" s="50">
        <f>(CM70+CO70)/209</f>
        <v>10253.875598086124</v>
      </c>
      <c r="CS70" s="52">
        <v>30000000</v>
      </c>
      <c r="CT70" s="53">
        <f>IFERROR(CS70/12,"")</f>
        <v>2500000</v>
      </c>
      <c r="CU70" s="53">
        <f>IFERROR(CT70-CV70-CW70,"")</f>
        <v>1833073.9299610895</v>
      </c>
      <c r="CV70" s="53">
        <f>IFERROR(CT70*(CY70*1.5)/(209+(CY70*1.5)),"")</f>
        <v>466926.07003891049</v>
      </c>
      <c r="CW70" s="54">
        <v>200000</v>
      </c>
      <c r="CX70" s="54">
        <v>209</v>
      </c>
      <c r="CY70" s="54">
        <v>32</v>
      </c>
      <c r="CZ70" s="55">
        <f>SUM(CX70:CY70)</f>
        <v>241</v>
      </c>
      <c r="DA70" s="55">
        <f>IFERROR((CU70/209)+(CW70-(9620*209*0.01))/209,"")</f>
        <v>9631.4264591439678</v>
      </c>
      <c r="DB70" s="56">
        <f>IFERROR((CU70+CW70)/209,"")</f>
        <v>9727.6264591439685</v>
      </c>
      <c r="DC70" s="57">
        <v>2023</v>
      </c>
      <c r="DD70" s="58"/>
      <c r="DE70" s="58"/>
      <c r="DF70" s="57"/>
      <c r="DG70" s="59">
        <f>B70</f>
        <v>230503</v>
      </c>
      <c r="DH70" s="58"/>
      <c r="DI70" s="58"/>
      <c r="DJ70" s="60"/>
      <c r="DK70" s="58"/>
      <c r="DL70" s="61"/>
      <c r="DM70" s="24"/>
    </row>
    <row r="71" spans="1:117" ht="15" customHeight="1">
      <c r="A71" s="25">
        <f>ROW()-2</f>
        <v>69</v>
      </c>
      <c r="B71" s="26">
        <v>230504</v>
      </c>
      <c r="C71" s="27" t="s">
        <v>1073</v>
      </c>
      <c r="D71" s="27"/>
      <c r="E71" s="27" t="s">
        <v>239</v>
      </c>
      <c r="F71" s="27" t="s">
        <v>196</v>
      </c>
      <c r="G71" s="27" t="s">
        <v>240</v>
      </c>
      <c r="H71" s="27" t="s">
        <v>217</v>
      </c>
      <c r="I71" s="27" t="s">
        <v>432</v>
      </c>
      <c r="J71" s="27" t="str">
        <f>+VLOOKUP($I71,[1]프로젝트현황!$I:$N,5,0)</f>
        <v>서울시</v>
      </c>
      <c r="K71" s="27" t="str">
        <f>+VLOOKUP($I71,[1]프로젝트현황!$I:$N,6,0)</f>
        <v>중구</v>
      </c>
      <c r="L71" s="28">
        <v>45076</v>
      </c>
      <c r="M71" s="28">
        <v>45076</v>
      </c>
      <c r="N71" s="28"/>
      <c r="O71" s="29"/>
      <c r="P71" s="30" t="s">
        <v>1074</v>
      </c>
      <c r="Q71" s="27" t="s">
        <v>1075</v>
      </c>
      <c r="R71" s="31" t="str">
        <f>LEFT(Q71,6)</f>
        <v>910809</v>
      </c>
      <c r="S71" s="31" t="str">
        <f>MID($Q71,3,2)</f>
        <v>08</v>
      </c>
      <c r="T71" s="31" t="str">
        <f>IF(OR(MID($Q71,8,1)="1",MID($Q71,8,1)="3"),"남자",IF(OR(MID($Q71,8,1)="2",MID($Q71,8,1)="4"),"여자",""))</f>
        <v>남자</v>
      </c>
      <c r="U71" s="31">
        <f ca="1">YEAR(TODAY())-IF(OR(MID($Q71,8,1)="1",MID($Q71,8,1)="2"),19&amp;LEFT($Q71,2),IF(OR(MID($Q71,8,1)="3",MID($Q71,8,1)="4"),20&amp;LEFT($Q71,2),""))+1</f>
        <v>36</v>
      </c>
      <c r="V71" s="31" t="s">
        <v>200</v>
      </c>
      <c r="W71" s="31" t="s">
        <v>201</v>
      </c>
      <c r="X71" s="27" t="s">
        <v>1076</v>
      </c>
      <c r="Y71" s="27"/>
      <c r="Z71" s="27"/>
      <c r="AA71" s="32"/>
      <c r="AB71" s="31" t="s">
        <v>203</v>
      </c>
      <c r="AC71" s="27"/>
      <c r="AD71" s="33" t="str">
        <f ca="1">QUOTIENT(SUMPRODUCT(LEFT($AE71:$AF71,FIND("년",$AE71:$AF71)-1)*12+MID($AE71:$AF71,FIND("년",$AE71:$AF71)+1,FIND("개월",$AE71:$AF71)-FIND("년",$AE71:$AF71)-1)),12)&amp;"년"&amp;MOD(SUMPRODUCT(LEFT($AE71:$AF71,FIND("년",$AE71:$AF71)-1)*12+MID($AE71:$AF71,FIND("년",$AE71:$AF71)+1,FIND("개월",$AE71:$AF71)-FIND("년",$AE71:$AF71)-1)),12)&amp;"개월"</f>
        <v>7년1개월</v>
      </c>
      <c r="AE71" s="33" t="s">
        <v>570</v>
      </c>
      <c r="AF71" s="34" t="str">
        <f ca="1">DATEDIF($L71,TODAY(),"y")&amp;"년"&amp;DATEDIF($L71,TODAY(),"ym")&amp;"개월"</f>
        <v>2년8개월</v>
      </c>
      <c r="AG71" s="35" t="s">
        <v>691</v>
      </c>
      <c r="AH71" s="35" t="s">
        <v>1077</v>
      </c>
      <c r="AI71" s="30" t="s">
        <v>270</v>
      </c>
      <c r="AJ71" s="32">
        <v>42788</v>
      </c>
      <c r="AK71" s="36">
        <f ca="1">VALUE(LEFT($AD71,FIND("년",$AD71)-1))</f>
        <v>7</v>
      </c>
      <c r="AL71" s="31" t="str">
        <f ca="1">IF($AI71="학사",IF($AK71&lt;=5,"초급",IF($AK71&lt;9,"중급",IF($AK71&lt;12,"고급",IF($AK71&gt;=12,"특급")))))</f>
        <v>중급</v>
      </c>
      <c r="AM71" s="31" t="str">
        <f>IF(ISNUMBER(SEARCH("산업기사",$AT71)),IF($AK71&gt;=13,"특급",IF($AK71&gt;=10,"고급",IF($AK71&gt;=7,"중급","초급"))),IF(ISNUMBER(SEARCH("기사",$AR71)),IF($AK71&gt;=10,"특급",IF($AK71&gt;=7,"고급",IF($AK71&gt;=4,"중급","초급"))),"미해당"))</f>
        <v>미해당</v>
      </c>
      <c r="AN71" s="27"/>
      <c r="AO71" s="32"/>
      <c r="AP71" s="27" t="s">
        <v>137</v>
      </c>
      <c r="AQ71" s="32">
        <v>45267</v>
      </c>
      <c r="AR71" s="27"/>
      <c r="AS71" s="27"/>
      <c r="AT71" s="37"/>
      <c r="AU71" s="27"/>
      <c r="AV71" s="38"/>
      <c r="AW71" s="39"/>
      <c r="AX71" s="39"/>
      <c r="AY71" s="40" t="s">
        <v>251</v>
      </c>
      <c r="AZ71" s="41" t="s">
        <v>252</v>
      </c>
      <c r="BA71" s="30" t="s">
        <v>230</v>
      </c>
      <c r="BB71" s="30" t="s">
        <v>1078</v>
      </c>
      <c r="BC71" s="42" t="s">
        <v>254</v>
      </c>
      <c r="BD71" s="42" t="s">
        <v>1079</v>
      </c>
      <c r="BE71" s="43" t="s">
        <v>1080</v>
      </c>
      <c r="BF71" s="42" t="s">
        <v>234</v>
      </c>
      <c r="BG71" s="42" t="s">
        <v>863</v>
      </c>
      <c r="BH71" s="35"/>
      <c r="BI71" s="44" t="s">
        <v>1081</v>
      </c>
      <c r="BJ71" s="45" t="str">
        <f>IFERROR(VLOOKUP($BG71,[1]프로젝트현황!Y:Z,2,0),"기타")</f>
        <v>동북권</v>
      </c>
      <c r="BK71" s="46" t="str">
        <f>(IF(BF71="","",BF71&amp;" "))&amp;(IF(BG71="","",BG71&amp;" "))&amp;(IF(BH71="","",BH71&amp;" "))&amp;BI71</f>
        <v>경기도 남양주시 경춘로1015번길 26-5, 103동 108호 (금곡동, 한림주택)</v>
      </c>
      <c r="BL71" s="47">
        <v>30</v>
      </c>
      <c r="BM71" s="47">
        <v>30</v>
      </c>
      <c r="BN71" s="48">
        <v>34000000</v>
      </c>
      <c r="BO71" s="48">
        <f>BP71*12</f>
        <v>34000082.400000006</v>
      </c>
      <c r="BP71" s="49">
        <f>SUM(BQ71:BS71)</f>
        <v>2833340.2</v>
      </c>
      <c r="BQ71" s="49">
        <f>ROUNDUP(BN71/12*209/(209+BU71*1.5)/BL71*BM71,-1)-BS71</f>
        <v>1965150</v>
      </c>
      <c r="BR71" s="49">
        <f>ROUNDUP(BN71/12*(BU71*1.5)/(209+BU71*1.5)/BL71*BM71,1)</f>
        <v>668190.19999999995</v>
      </c>
      <c r="BS71" s="49">
        <v>200000</v>
      </c>
      <c r="BT71" s="50">
        <v>209</v>
      </c>
      <c r="BU71" s="49">
        <f>IF($BN71="","",
IFERROR(
    IF($BN71&lt;'[1]시간외시간 기준표'!$B$2,0,
        IF($BN71&gt;LOOKUP(9.9E+307,'[1]시간외시간 기준표'!$B$2:$B$999),
            LOOKUP(9.9E+307,'[1]시간외시간 기준표'!$C$2:$C$999),
            LOOKUP($BN71,'[1]시간외시간 기준표'!$B$2:$B$999,'[1]시간외시간 기준표'!$C$2:$C$999)
        )
    ),0)
)</f>
        <v>43</v>
      </c>
      <c r="BV71" s="50">
        <f>(BQ71+BS71)/209</f>
        <v>10359.56937799043</v>
      </c>
      <c r="BW71" s="51">
        <v>30</v>
      </c>
      <c r="BX71" s="51">
        <v>30</v>
      </c>
      <c r="BY71" s="52">
        <v>34000000</v>
      </c>
      <c r="BZ71" s="52">
        <f>CA71*12</f>
        <v>34000064.400000006</v>
      </c>
      <c r="CA71" s="49">
        <f>SUM(CB71:CD71)</f>
        <v>2833338.7</v>
      </c>
      <c r="CB71" s="49">
        <f>ROUNDUP(BY71/12*209/(209+CF71*1.5)/BW71*BX71,-1)-CD71</f>
        <v>1907360</v>
      </c>
      <c r="CC71" s="49">
        <f>ROUNDUP(BY71/12*(CF71*1.5)/(209+CF71*1.5)/BW71*BX71,1)</f>
        <v>725978.7</v>
      </c>
      <c r="CD71" s="49">
        <v>200000</v>
      </c>
      <c r="CE71" s="50">
        <v>209</v>
      </c>
      <c r="CF71" s="49">
        <f>IF(BY71&lt;26000000,0,IF(BY71&lt;26500000,4,IF(BY71&lt;27000000,7,IF(BY71&lt;27500000,9,IF(BY71&lt;28000000,11,IF(BY71&lt;28500000,15,IF(BY71&lt;29000000,17,IF(BY71&lt;29500000,20,IF(BY71&lt;30000000,23,IF(BY71&lt;30500000,25,IF(BY71&lt;31000000,27,IF(BY71&lt;31500000,29,IF(BY71&lt;32000000,33,IF(BY71&lt;32500000,37,IF(BY71&lt;33000000,39,IF(BY71&lt;33500000,42,IF(BY71&lt;34000000,45,IF(BY71&lt;34500000,48,IF(BY71&lt;35000000,52,52)))))))))))))))))))</f>
        <v>48</v>
      </c>
      <c r="CG71" s="50">
        <f>(CB71+CD71)/209</f>
        <v>10083.062200956938</v>
      </c>
      <c r="CH71" s="51">
        <v>30</v>
      </c>
      <c r="CI71" s="51">
        <v>30</v>
      </c>
      <c r="CJ71" s="52">
        <v>33200000</v>
      </c>
      <c r="CK71" s="52">
        <f>CL71*12</f>
        <v>33200026.799999997</v>
      </c>
      <c r="CL71" s="49">
        <f>SUM(CM71:CO71)</f>
        <v>2766668.9</v>
      </c>
      <c r="CM71" s="49">
        <f>ROUNDUP(CJ71/12*209/(209+CQ71*1.5)/CH71*CI71,-1)-CO71</f>
        <v>1925860</v>
      </c>
      <c r="CN71" s="49">
        <f>ROUNDUP(CJ71/12*(CQ71*1.5)/(209+CQ71*1.5)/CH71*CI71,1)</f>
        <v>640808.9</v>
      </c>
      <c r="CO71" s="50">
        <v>200000</v>
      </c>
      <c r="CP71" s="50">
        <v>209</v>
      </c>
      <c r="CQ71" s="50">
        <f>IF(CJ71&lt;26000000,0,IF(CJ71&lt;26500000,4,IF(CJ71&lt;27000000,7,IF(CJ71&lt;27500000,9,IF(CJ71&lt;28000000,11,IF(CJ71&lt;28500000,15,IF(CJ71&lt;29000000,17,IF(CJ71&lt;29500000,20,IF(CJ71&lt;30000000,23,IF(CJ71&lt;30500000,25,IF(CJ71&lt;31000000,27,IF(CJ71&lt;31500000,29,IF(CJ71&lt;32000000,33,IF(CJ71&lt;32500000,37,IF(CJ71&lt;33000000,39,IF(CJ71&lt;33500000,42,IF(CJ71&lt;34000000,45,IF(CJ71&lt;34500000,48,IF(CJ71&lt;35000000,52,52)))))))))))))))))))</f>
        <v>42</v>
      </c>
      <c r="CR71" s="50">
        <f>(CM71+CO71)/209</f>
        <v>10171.578947368422</v>
      </c>
      <c r="CS71" s="52">
        <v>32500000</v>
      </c>
      <c r="CT71" s="53">
        <f>IFERROR(CS71/12,"")</f>
        <v>2708333.3333333335</v>
      </c>
      <c r="CU71" s="53">
        <f>IFERROR(CT71-CV71-CW71,"")</f>
        <v>1836121.103117506</v>
      </c>
      <c r="CV71" s="53">
        <f>IFERROR(CT71*(CY71*1.5)/(209+(CY71*1.5)),"")</f>
        <v>672212.23021582735</v>
      </c>
      <c r="CW71" s="54">
        <v>200000</v>
      </c>
      <c r="CX71" s="54">
        <v>209</v>
      </c>
      <c r="CY71" s="54">
        <v>46</v>
      </c>
      <c r="CZ71" s="55">
        <f>SUM(CX71:CY71)</f>
        <v>255</v>
      </c>
      <c r="DA71" s="55">
        <f>IFERROR((CU71/209)+(CW71-(9620*209*0.01))/209,"")</f>
        <v>9646.0062350119915</v>
      </c>
      <c r="DB71" s="56">
        <f>IFERROR((CU71+CW71)/209,"")</f>
        <v>9742.2062350119904</v>
      </c>
      <c r="DC71" s="57">
        <v>2023</v>
      </c>
      <c r="DD71" s="58"/>
      <c r="DE71" s="58"/>
      <c r="DF71" s="57"/>
      <c r="DG71" s="59">
        <f>B71</f>
        <v>230504</v>
      </c>
      <c r="DH71" s="58"/>
      <c r="DI71" s="58"/>
      <c r="DJ71" s="60"/>
      <c r="DK71" s="58"/>
      <c r="DL71" s="61"/>
      <c r="DM71" s="24"/>
    </row>
    <row r="72" spans="1:117" ht="15" customHeight="1">
      <c r="A72" s="25">
        <f>ROW()-2</f>
        <v>70</v>
      </c>
      <c r="B72" s="26">
        <v>230604</v>
      </c>
      <c r="C72" s="27" t="s">
        <v>1082</v>
      </c>
      <c r="D72" s="27"/>
      <c r="E72" s="27" t="s">
        <v>239</v>
      </c>
      <c r="F72" s="27" t="s">
        <v>196</v>
      </c>
      <c r="G72" s="27" t="s">
        <v>240</v>
      </c>
      <c r="H72" s="27" t="s">
        <v>217</v>
      </c>
      <c r="I72" s="27" t="s">
        <v>359</v>
      </c>
      <c r="J72" s="27" t="str">
        <f>+VLOOKUP($I72,[1]프로젝트현황!$I:$N,5,0)</f>
        <v>서울시</v>
      </c>
      <c r="K72" s="27" t="str">
        <f>+VLOOKUP($I72,[1]프로젝트현황!$I:$N,6,0)</f>
        <v>금천구</v>
      </c>
      <c r="L72" s="28">
        <v>45084</v>
      </c>
      <c r="M72" s="28">
        <v>45084</v>
      </c>
      <c r="N72" s="28"/>
      <c r="O72" s="29"/>
      <c r="P72" s="30" t="s">
        <v>1083</v>
      </c>
      <c r="Q72" s="27" t="s">
        <v>1084</v>
      </c>
      <c r="R72" s="31" t="str">
        <f>LEFT(Q72,6)</f>
        <v>960124</v>
      </c>
      <c r="S72" s="31" t="str">
        <f>MID($Q72,3,2)</f>
        <v>01</v>
      </c>
      <c r="T72" s="31" t="str">
        <f>IF(OR(MID($Q72,8,1)="1",MID($Q72,8,1)="3"),"남자",IF(OR(MID($Q72,8,1)="2",MID($Q72,8,1)="4"),"여자",""))</f>
        <v>여자</v>
      </c>
      <c r="U72" s="31">
        <f ca="1">YEAR(TODAY())-IF(OR(MID($Q72,8,1)="1",MID($Q72,8,1)="2"),19&amp;LEFT($Q72,2),IF(OR(MID($Q72,8,1)="3",MID($Q72,8,1)="4"),20&amp;LEFT($Q72,2),""))+1</f>
        <v>31</v>
      </c>
      <c r="V72" s="31" t="s">
        <v>200</v>
      </c>
      <c r="W72" s="31" t="s">
        <v>201</v>
      </c>
      <c r="X72" s="27" t="s">
        <v>1085</v>
      </c>
      <c r="Y72" s="27"/>
      <c r="Z72" s="27"/>
      <c r="AA72" s="32"/>
      <c r="AB72" s="31" t="s">
        <v>203</v>
      </c>
      <c r="AC72" s="27"/>
      <c r="AD72" s="33" t="str">
        <f ca="1">QUOTIENT(SUMPRODUCT(LEFT($AE72:$AF72,FIND("년",$AE72:$AF72)-1)*12+MID($AE72:$AF72,FIND("년",$AE72:$AF72)+1,FIND("개월",$AE72:$AF72)-FIND("년",$AE72:$AF72)-1)),12)&amp;"년"&amp;MOD(SUMPRODUCT(LEFT($AE72:$AF72,FIND("년",$AE72:$AF72)-1)*12+MID($AE72:$AF72,FIND("년",$AE72:$AF72)+1,FIND("개월",$AE72:$AF72)-FIND("년",$AE72:$AF72)-1)),12)&amp;"개월"</f>
        <v>3년7개월</v>
      </c>
      <c r="AE72" s="33" t="s">
        <v>1086</v>
      </c>
      <c r="AF72" s="34" t="str">
        <f ca="1">DATEDIF($L72,TODAY(),"y")&amp;"년"&amp;DATEDIF($L72,TODAY(),"ym")&amp;"개월"</f>
        <v>2년8개월</v>
      </c>
      <c r="AG72" s="35" t="s">
        <v>1087</v>
      </c>
      <c r="AH72" s="35" t="s">
        <v>321</v>
      </c>
      <c r="AI72" s="30" t="s">
        <v>205</v>
      </c>
      <c r="AJ72" s="32">
        <v>43144</v>
      </c>
      <c r="AK72" s="36">
        <f ca="1">VALUE(LEFT($AD72,FIND("년",$AD72)-1))</f>
        <v>3</v>
      </c>
      <c r="AL72" s="31" t="str">
        <f ca="1">IF($AI72="전문학사",IF($AK72&lt;=8,"초급",IF($AK72&lt;12,"중급",IF($AK72&lt;15,"고급",IF($AK72&gt;=15,"특급")))))</f>
        <v>초급</v>
      </c>
      <c r="AM72" s="31" t="str">
        <f>IF(ISNUMBER(SEARCH("산업기사",$AT72)),IF($AK72&gt;=13,"특급",IF($AK72&gt;=10,"고급",IF($AK72&gt;=7,"중급","초급"))),IF(ISNUMBER(SEARCH("기사",$AR72)),IF($AK72&gt;=10,"특급",IF($AK72&gt;=7,"고급",IF($AK72&gt;=4,"중급","초급"))),"미해당"))</f>
        <v>미해당</v>
      </c>
      <c r="AN72" s="27"/>
      <c r="AO72" s="32"/>
      <c r="AP72" s="27"/>
      <c r="AQ72" s="32"/>
      <c r="AR72" s="27"/>
      <c r="AS72" s="27"/>
      <c r="AT72" s="37"/>
      <c r="AU72" s="27"/>
      <c r="AV72" s="38"/>
      <c r="AW72" s="39"/>
      <c r="AX72" s="39"/>
      <c r="AY72" s="40" t="s">
        <v>251</v>
      </c>
      <c r="AZ72" s="41" t="s">
        <v>252</v>
      </c>
      <c r="BA72" s="30" t="s">
        <v>230</v>
      </c>
      <c r="BB72" s="30" t="s">
        <v>1088</v>
      </c>
      <c r="BC72" s="42" t="s">
        <v>254</v>
      </c>
      <c r="BD72" s="42" t="s">
        <v>1089</v>
      </c>
      <c r="BE72" s="43" t="s">
        <v>1090</v>
      </c>
      <c r="BF72" s="42" t="s">
        <v>578</v>
      </c>
      <c r="BG72" s="42" t="s">
        <v>763</v>
      </c>
      <c r="BH72" s="35"/>
      <c r="BI72" s="44" t="s">
        <v>1091</v>
      </c>
      <c r="BJ72" s="45" t="str">
        <f>IFERROR(VLOOKUP($BG72,[1]프로젝트현황!Y:Z,2,0),"기타")</f>
        <v>서남권</v>
      </c>
      <c r="BK72" s="46" t="str">
        <f>(IF(BF72="","",BF72&amp;" "))&amp;(IF(BG72="","",BG72&amp;" "))&amp;(IF(BH72="","",BH72&amp;" "))&amp;BI72</f>
        <v>인천시 서구 청라한울로 95, 310동 2402호(청라동, 청라제일풍경채)</v>
      </c>
      <c r="BL72" s="47">
        <v>30</v>
      </c>
      <c r="BM72" s="47">
        <v>30</v>
      </c>
      <c r="BN72" s="48">
        <v>32400000</v>
      </c>
      <c r="BO72" s="48">
        <f>BP72*12</f>
        <v>32400061.200000003</v>
      </c>
      <c r="BP72" s="49">
        <f>SUM(BQ72:BS72)</f>
        <v>2700005.1</v>
      </c>
      <c r="BQ72" s="49">
        <f>ROUNDUP(BN72/12*209/(209+BU72*1.5)/BL72*BM72,-1)-BS72</f>
        <v>1957940</v>
      </c>
      <c r="BR72" s="49">
        <f>ROUNDUP(BN72/12*(BU72*1.5)/(209+BU72*1.5)/BL72*BM72,1)</f>
        <v>542065.1</v>
      </c>
      <c r="BS72" s="49">
        <v>200000</v>
      </c>
      <c r="BT72" s="50">
        <v>209</v>
      </c>
      <c r="BU72" s="49">
        <f>IF($BN72="","",
IFERROR(
    IF($BN72&lt;'[1]시간외시간 기준표'!$B$2,0,
        IF($BN72&gt;LOOKUP(9.9E+307,'[1]시간외시간 기준표'!$B$2:$B$999),
            LOOKUP(9.9E+307,'[1]시간외시간 기준표'!$C$2:$C$999),
            LOOKUP($BN72,'[1]시간외시간 기준표'!$B$2:$B$999,'[1]시간외시간 기준표'!$C$2:$C$999)
        )
    ),0)
)</f>
        <v>35</v>
      </c>
      <c r="BV72" s="50">
        <f>(BQ72+BS72)/209</f>
        <v>10325.071770334927</v>
      </c>
      <c r="BW72" s="51">
        <v>30</v>
      </c>
      <c r="BX72" s="51">
        <v>30</v>
      </c>
      <c r="BY72" s="52">
        <v>32400000</v>
      </c>
      <c r="BZ72" s="52">
        <f>CA72*12</f>
        <v>32400008.400000002</v>
      </c>
      <c r="CA72" s="49">
        <f>SUM(CB72:CD72)</f>
        <v>2700000.7</v>
      </c>
      <c r="CB72" s="49">
        <f>ROUNDUP(BY72/12*209/(209+CF72*1.5)/BW72*BX72,-1)-CD72</f>
        <v>1933460</v>
      </c>
      <c r="CC72" s="49">
        <f>ROUNDUP(BY72/12*(CF72*1.5)/(209+CF72*1.5)/BW72*BX72,1)</f>
        <v>566540.69999999995</v>
      </c>
      <c r="CD72" s="49">
        <v>200000</v>
      </c>
      <c r="CE72" s="50">
        <v>209</v>
      </c>
      <c r="CF72" s="49">
        <f>IF(BY72&lt;26000000,0,IF(BY72&lt;26500000,4,IF(BY72&lt;27000000,7,IF(BY72&lt;27500000,9,IF(BY72&lt;28000000,11,IF(BY72&lt;28500000,15,IF(BY72&lt;29000000,17,IF(BY72&lt;29500000,20,IF(BY72&lt;30000000,23,IF(BY72&lt;30500000,25,IF(BY72&lt;31000000,27,IF(BY72&lt;31500000,29,IF(BY72&lt;32000000,33,IF(BY72&lt;32500000,37,IF(BY72&lt;33000000,39,IF(BY72&lt;33500000,42,IF(BY72&lt;34000000,45,IF(BY72&lt;34500000,48,IF(BY72&lt;35000000,52,52)))))))))))))))))))</f>
        <v>37</v>
      </c>
      <c r="CG72" s="50">
        <f>(CB72+CD72)/209</f>
        <v>10207.942583732058</v>
      </c>
      <c r="CH72" s="51">
        <v>30</v>
      </c>
      <c r="CI72" s="51">
        <v>30</v>
      </c>
      <c r="CJ72" s="52">
        <v>30900000</v>
      </c>
      <c r="CK72" s="52">
        <f>CL72*12</f>
        <v>30900072</v>
      </c>
      <c r="CL72" s="49">
        <f>SUM(CM72:CO72)</f>
        <v>2575006</v>
      </c>
      <c r="CM72" s="49">
        <f>ROUNDUP(CJ72/12*209/(209+CQ72*1.5)/CH72*CI72,-1)-CO72</f>
        <v>1957020</v>
      </c>
      <c r="CN72" s="49">
        <f>ROUNDUP(CJ72/12*(CQ72*1.5)/(209+CQ72*1.5)/CH72*CI72,1)</f>
        <v>417986</v>
      </c>
      <c r="CO72" s="50">
        <v>200000</v>
      </c>
      <c r="CP72" s="50">
        <v>209</v>
      </c>
      <c r="CQ72" s="50">
        <f>IF(CJ72&lt;26000000,0,IF(CJ72&lt;26500000,4,IF(CJ72&lt;27000000,7,IF(CJ72&lt;27500000,9,IF(CJ72&lt;28000000,11,IF(CJ72&lt;28500000,15,IF(CJ72&lt;29000000,17,IF(CJ72&lt;29500000,20,IF(CJ72&lt;30000000,23,IF(CJ72&lt;30500000,25,IF(CJ72&lt;31000000,27,IF(CJ72&lt;31500000,29,IF(CJ72&lt;32000000,33,IF(CJ72&lt;32500000,37,IF(CJ72&lt;33000000,39,IF(CJ72&lt;33500000,42,IF(CJ72&lt;34000000,45,IF(CJ72&lt;34500000,48,IF(CJ72&lt;35000000,52,52)))))))))))))))))))</f>
        <v>27</v>
      </c>
      <c r="CR72" s="50">
        <f>(CM72+CO72)/209</f>
        <v>10320.66985645933</v>
      </c>
      <c r="CS72" s="52">
        <v>30000000</v>
      </c>
      <c r="CT72" s="53">
        <f>IFERROR(CS72/12,"")</f>
        <v>2500000</v>
      </c>
      <c r="CU72" s="53">
        <f>IFERROR(CT72-CV72-CW72,"")</f>
        <v>1833073.9299610895</v>
      </c>
      <c r="CV72" s="53">
        <f>IFERROR(CT72*(CY72*1.5)/(209+(CY72*1.5)),"")</f>
        <v>466926.07003891049</v>
      </c>
      <c r="CW72" s="54">
        <v>200000</v>
      </c>
      <c r="CX72" s="54">
        <v>209</v>
      </c>
      <c r="CY72" s="54">
        <v>32</v>
      </c>
      <c r="CZ72" s="55">
        <f>SUM(CX72:CY72)</f>
        <v>241</v>
      </c>
      <c r="DA72" s="55">
        <f>IFERROR((CU72/209)+(CW72-(9620*209*0.01))/209,"")</f>
        <v>9631.4264591439678</v>
      </c>
      <c r="DB72" s="56">
        <f>IFERROR((CU72+CW72)/209,"")</f>
        <v>9727.6264591439685</v>
      </c>
      <c r="DC72" s="57">
        <v>2023</v>
      </c>
      <c r="DD72" s="58"/>
      <c r="DE72" s="58"/>
      <c r="DF72" s="57"/>
      <c r="DG72" s="59">
        <f>B72</f>
        <v>230604</v>
      </c>
      <c r="DH72" s="58"/>
      <c r="DI72" s="58"/>
      <c r="DJ72" s="60"/>
      <c r="DK72" s="58"/>
      <c r="DL72" s="61"/>
      <c r="DM72" s="24"/>
    </row>
    <row r="73" spans="1:117" ht="15" customHeight="1">
      <c r="A73" s="25">
        <f>ROW()-2</f>
        <v>71</v>
      </c>
      <c r="B73" s="26">
        <v>230605</v>
      </c>
      <c r="C73" s="27" t="s">
        <v>1092</v>
      </c>
      <c r="D73" s="27"/>
      <c r="E73" s="27" t="s">
        <v>613</v>
      </c>
      <c r="F73" s="27" t="s">
        <v>196</v>
      </c>
      <c r="G73" s="27" t="s">
        <v>240</v>
      </c>
      <c r="H73" s="27" t="s">
        <v>260</v>
      </c>
      <c r="I73" s="27" t="s">
        <v>261</v>
      </c>
      <c r="J73" s="27" t="str">
        <f>+VLOOKUP($I73,[1]프로젝트현황!$I:$N,5,0)</f>
        <v>서울시</v>
      </c>
      <c r="K73" s="27" t="str">
        <f>+VLOOKUP($I73,[1]프로젝트현황!$I:$N,6,0)</f>
        <v>중구</v>
      </c>
      <c r="L73" s="28">
        <v>45089</v>
      </c>
      <c r="M73" s="28">
        <v>45089</v>
      </c>
      <c r="N73" s="28"/>
      <c r="O73" s="29"/>
      <c r="P73" s="30" t="s">
        <v>1093</v>
      </c>
      <c r="Q73" s="27" t="s">
        <v>1094</v>
      </c>
      <c r="R73" s="31" t="str">
        <f>LEFT(Q73,6)</f>
        <v>951015</v>
      </c>
      <c r="S73" s="31" t="str">
        <f>MID($Q73,3,2)</f>
        <v>10</v>
      </c>
      <c r="T73" s="31" t="str">
        <f>IF(OR(MID($Q73,8,1)="1",MID($Q73,8,1)="3"),"남자",IF(OR(MID($Q73,8,1)="2",MID($Q73,8,1)="4"),"여자",""))</f>
        <v>남자</v>
      </c>
      <c r="U73" s="31">
        <f ca="1">YEAR(TODAY())-IF(OR(MID($Q73,8,1)="1",MID($Q73,8,1)="2"),19&amp;LEFT($Q73,2),IF(OR(MID($Q73,8,1)="3",MID($Q73,8,1)="4"),20&amp;LEFT($Q73,2),""))+1</f>
        <v>32</v>
      </c>
      <c r="V73" s="31" t="s">
        <v>200</v>
      </c>
      <c r="W73" s="31" t="s">
        <v>201</v>
      </c>
      <c r="X73" s="27" t="s">
        <v>1095</v>
      </c>
      <c r="Y73" s="27"/>
      <c r="Z73" s="27"/>
      <c r="AA73" s="32"/>
      <c r="AB73" s="31" t="s">
        <v>203</v>
      </c>
      <c r="AC73" s="27"/>
      <c r="AD73" s="33" t="str">
        <f ca="1">QUOTIENT(SUMPRODUCT(LEFT($AE73:$AF73,FIND("년",$AE73:$AF73)-1)*12+MID($AE73:$AF73,FIND("년",$AE73:$AF73)+1,FIND("개월",$AE73:$AF73)-FIND("년",$AE73:$AF73)-1)),12)&amp;"년"&amp;MOD(SUMPRODUCT(LEFT($AE73:$AF73,FIND("년",$AE73:$AF73)-1)*12+MID($AE73:$AF73,FIND("년",$AE73:$AF73)+1,FIND("개월",$AE73:$AF73)-FIND("년",$AE73:$AF73)-1)),12)&amp;"개월"</f>
        <v>2년7개월</v>
      </c>
      <c r="AE73" s="33" t="s">
        <v>543</v>
      </c>
      <c r="AF73" s="34" t="str">
        <f ca="1">DATEDIF($L73,TODAY(),"y")&amp;"년"&amp;DATEDIF($L73,TODAY(),"ym")&amp;"개월"</f>
        <v>2년7개월</v>
      </c>
      <c r="AG73" s="35" t="s">
        <v>1096</v>
      </c>
      <c r="AH73" s="35"/>
      <c r="AI73" s="30" t="s">
        <v>365</v>
      </c>
      <c r="AJ73" s="32">
        <v>41681</v>
      </c>
      <c r="AK73" s="36">
        <f ca="1">VALUE(LEFT($AD73,FIND("년",$AD73)-1))</f>
        <v>2</v>
      </c>
      <c r="AL73" s="31" t="str">
        <f ca="1">IF($AI73="고졸",IF($AK73&lt;=11,"초급",IF($AK73&lt;=14,"중급",IF($AK73&lt;=17,"고급",IF($AK73&gt;=18,"특급")))))</f>
        <v>초급</v>
      </c>
      <c r="AM73" s="31" t="str">
        <f>IF(ISNUMBER(SEARCH("산업기사",$AT73)),IF($AK73&gt;=13,"특급",IF($AK73&gt;=10,"고급",IF($AK73&gt;=7,"중급","초급"))),IF(ISNUMBER(SEARCH("기사",$AR73)),IF($AK73&gt;=10,"특급",IF($AK73&gt;=7,"고급",IF($AK73&gt;=4,"중급","초급"))),"미해당"))</f>
        <v>미해당</v>
      </c>
      <c r="AN73" s="27" t="s">
        <v>135</v>
      </c>
      <c r="AO73" s="32">
        <v>45248</v>
      </c>
      <c r="AP73" s="27"/>
      <c r="AQ73" s="32"/>
      <c r="AR73" s="27"/>
      <c r="AS73" s="27"/>
      <c r="AT73" s="37"/>
      <c r="AU73" s="27"/>
      <c r="AV73" s="38"/>
      <c r="AW73" s="39"/>
      <c r="AX73" s="39"/>
      <c r="AY73" s="40" t="s">
        <v>251</v>
      </c>
      <c r="AZ73" s="41" t="s">
        <v>252</v>
      </c>
      <c r="BA73" s="30" t="s">
        <v>230</v>
      </c>
      <c r="BB73" s="30" t="s">
        <v>1097</v>
      </c>
      <c r="BC73" s="42" t="s">
        <v>254</v>
      </c>
      <c r="BD73" s="42" t="s">
        <v>1098</v>
      </c>
      <c r="BE73" s="43" t="s">
        <v>1099</v>
      </c>
      <c r="BF73" s="42" t="s">
        <v>234</v>
      </c>
      <c r="BG73" s="42" t="s">
        <v>1100</v>
      </c>
      <c r="BH73" s="35"/>
      <c r="BI73" s="44" t="s">
        <v>1101</v>
      </c>
      <c r="BJ73" s="45" t="str">
        <f>IFERROR(VLOOKUP($BG73,[1]프로젝트현황!Y:Z,2,0),"기타")</f>
        <v>동북권</v>
      </c>
      <c r="BK73" s="46" t="str">
        <f>(IF(BF73="","",BF73&amp;" "))&amp;(IF(BG73="","",BG73&amp;" "))&amp;(IF(BH73="","",BH73&amp;" "))&amp;BI73</f>
        <v>경기도 의정부시 장곡로226번길 83, 101동 401호(장암동,장암더샵포레스트)</v>
      </c>
      <c r="BL73" s="47">
        <v>30</v>
      </c>
      <c r="BM73" s="47">
        <v>30</v>
      </c>
      <c r="BN73" s="48">
        <v>29000000</v>
      </c>
      <c r="BO73" s="48">
        <f>BP73*12</f>
        <v>29000005.200000003</v>
      </c>
      <c r="BP73" s="49">
        <f>SUM(BQ73:BS73)</f>
        <v>2416667.1</v>
      </c>
      <c r="BQ73" s="49">
        <f>ROUNDUP(BN73/12*209/(209+BU73*1.5)/BL73*BM73,-1)-BS73</f>
        <v>1967740</v>
      </c>
      <c r="BR73" s="49">
        <f>ROUNDUP(BN73/12*(BU73*1.5)/(209+BU73*1.5)/BL73*BM73,1)</f>
        <v>248927.1</v>
      </c>
      <c r="BS73" s="49">
        <v>200000</v>
      </c>
      <c r="BT73" s="50">
        <v>209</v>
      </c>
      <c r="BU73" s="49">
        <f>IF($BN73="","",
IFERROR(
    IF($BN73&lt;'[1]시간외시간 기준표'!$B$2,0,
        IF($BN73&gt;LOOKUP(9.9E+307,'[1]시간외시간 기준표'!$B$2:$B$999),
            LOOKUP(9.9E+307,'[1]시간외시간 기준표'!$C$2:$C$999),
            LOOKUP($BN73,'[1]시간외시간 기준표'!$B$2:$B$999,'[1]시간외시간 기준표'!$C$2:$C$999)
        )
    ),0)
)</f>
        <v>16</v>
      </c>
      <c r="BV73" s="50">
        <f>(BQ73+BS73)/209</f>
        <v>10371.961722488039</v>
      </c>
      <c r="BW73" s="51">
        <v>30</v>
      </c>
      <c r="BX73" s="51">
        <v>30</v>
      </c>
      <c r="BY73" s="52">
        <v>29000000</v>
      </c>
      <c r="BZ73" s="52">
        <f>CA73*12</f>
        <v>29000007.599999998</v>
      </c>
      <c r="CA73" s="49">
        <f>SUM(CB73:CD73)</f>
        <v>2416667.2999999998</v>
      </c>
      <c r="CB73" s="49">
        <f>ROUNDUP(BY73/12*209/(209+CF73*1.5)/BW73*BX73,-1)-CD73</f>
        <v>1913320</v>
      </c>
      <c r="CC73" s="49">
        <f>ROUNDUP(BY73/12*(CF73*1.5)/(209+CF73*1.5)/BW73*BX73,1)</f>
        <v>303347.3</v>
      </c>
      <c r="CD73" s="49">
        <v>200000</v>
      </c>
      <c r="CE73" s="50">
        <v>209</v>
      </c>
      <c r="CF73" s="49">
        <f>IF(BY73&lt;26000000,0,IF(BY73&lt;26500000,4,IF(BY73&lt;27000000,7,IF(BY73&lt;27500000,9,IF(BY73&lt;28000000,11,IF(BY73&lt;28500000,15,IF(BY73&lt;29000000,17,IF(BY73&lt;29500000,20,IF(BY73&lt;30000000,23,IF(BY73&lt;30500000,25,IF(BY73&lt;31000000,27,IF(BY73&lt;31500000,29,IF(BY73&lt;32000000,33,IF(BY73&lt;32500000,37,IF(BY73&lt;33000000,39,IF(BY73&lt;33500000,42,IF(BY73&lt;34000000,45,IF(BY73&lt;34500000,48,IF(BY73&lt;35000000,52,52)))))))))))))))))))</f>
        <v>20</v>
      </c>
      <c r="CG73" s="50">
        <f>(CB73+CD73)/209</f>
        <v>10111.578947368422</v>
      </c>
      <c r="CH73" s="51">
        <v>30</v>
      </c>
      <c r="CI73" s="51">
        <v>30</v>
      </c>
      <c r="CJ73" s="52">
        <v>26600000</v>
      </c>
      <c r="CK73" s="52">
        <f>CL73*12</f>
        <v>26600118</v>
      </c>
      <c r="CL73" s="49">
        <f>SUM(CM73:CO73)</f>
        <v>2216676.5</v>
      </c>
      <c r="CM73" s="49">
        <f>ROUNDUP(CJ73/12*209/(209+CQ73*1.5)/CH73*CI73,-1)-CO73</f>
        <v>1910640</v>
      </c>
      <c r="CN73" s="49">
        <f>ROUNDUP(CJ73/12*(CQ73*1.5)/(209+CQ73*1.5)/CH73*CI73,1)</f>
        <v>106036.5</v>
      </c>
      <c r="CO73" s="50">
        <v>200000</v>
      </c>
      <c r="CP73" s="50">
        <v>209</v>
      </c>
      <c r="CQ73" s="50">
        <f>IF(CJ73&lt;26000000,0,IF(CJ73&lt;26500000,4,IF(CJ73&lt;27000000,7,IF(CJ73&lt;27500000,9,IF(CJ73&lt;28000000,11,IF(CJ73&lt;28500000,15,IF(CJ73&lt;29000000,17,IF(CJ73&lt;29500000,20,IF(CJ73&lt;30000000,23,IF(CJ73&lt;30500000,25,IF(CJ73&lt;31000000,27,IF(CJ73&lt;31500000,29,IF(CJ73&lt;32000000,33,IF(CJ73&lt;32500000,37,IF(CJ73&lt;33000000,39,IF(CJ73&lt;33500000,42,IF(CJ73&lt;34000000,45,IF(CJ73&lt;34500000,48,IF(CJ73&lt;35000000,52,52)))))))))))))))))))</f>
        <v>7</v>
      </c>
      <c r="CR73" s="50">
        <f>(CM73+CO73)/209</f>
        <v>10098.755980861244</v>
      </c>
      <c r="CS73" s="52">
        <v>26000000</v>
      </c>
      <c r="CT73" s="53">
        <f>IFERROR(CS73/12,"")</f>
        <v>2166666.6666666665</v>
      </c>
      <c r="CU73" s="53">
        <f>IFERROR(CT73-CV73-CW73,"")</f>
        <v>1835205.9925093632</v>
      </c>
      <c r="CV73" s="53">
        <f>IFERROR(CT73*(CY73*1.5)/(209+(CY73*1.5)),"")</f>
        <v>131460.67415730335</v>
      </c>
      <c r="CW73" s="54">
        <v>200000</v>
      </c>
      <c r="CX73" s="54">
        <v>209</v>
      </c>
      <c r="CY73" s="54">
        <v>9</v>
      </c>
      <c r="CZ73" s="55">
        <f>SUM(CX73:CY73)</f>
        <v>218</v>
      </c>
      <c r="DA73" s="55">
        <f>IFERROR((CU73/209)+(CW73-(9620*209*0.01))/209,"")</f>
        <v>9641.627715355804</v>
      </c>
      <c r="DB73" s="56">
        <f>IFERROR((CU73+CW73)/209,"")</f>
        <v>9737.8277153558047</v>
      </c>
      <c r="DC73" s="57">
        <v>2023</v>
      </c>
      <c r="DD73" s="58"/>
      <c r="DE73" s="58"/>
      <c r="DF73" s="57"/>
      <c r="DG73" s="59">
        <f>B73</f>
        <v>230605</v>
      </c>
      <c r="DH73" s="58"/>
      <c r="DI73" s="58"/>
      <c r="DJ73" s="60"/>
      <c r="DK73" s="58"/>
      <c r="DL73" s="61"/>
      <c r="DM73" s="24"/>
    </row>
    <row r="74" spans="1:117" ht="15" customHeight="1">
      <c r="A74" s="25">
        <f>ROW()-2</f>
        <v>72</v>
      </c>
      <c r="B74" s="26">
        <v>230606</v>
      </c>
      <c r="C74" s="27" t="s">
        <v>1102</v>
      </c>
      <c r="D74" s="27"/>
      <c r="E74" s="27" t="s">
        <v>613</v>
      </c>
      <c r="F74" s="27" t="s">
        <v>196</v>
      </c>
      <c r="G74" s="27" t="s">
        <v>240</v>
      </c>
      <c r="H74" s="27" t="s">
        <v>241</v>
      </c>
      <c r="I74" s="27" t="s">
        <v>242</v>
      </c>
      <c r="J74" s="27" t="str">
        <f>+VLOOKUP($I74,[1]프로젝트현황!$I:$N,5,0)</f>
        <v>서울시</v>
      </c>
      <c r="K74" s="27" t="str">
        <f>+VLOOKUP($I74,[1]프로젝트현황!$I:$N,6,0)</f>
        <v>영등포구</v>
      </c>
      <c r="L74" s="28">
        <v>45089</v>
      </c>
      <c r="M74" s="28">
        <v>45089</v>
      </c>
      <c r="N74" s="28"/>
      <c r="O74" s="29"/>
      <c r="P74" s="30" t="s">
        <v>1103</v>
      </c>
      <c r="Q74" s="27" t="s">
        <v>1104</v>
      </c>
      <c r="R74" s="31" t="str">
        <f>LEFT(Q74,6)</f>
        <v>970319</v>
      </c>
      <c r="S74" s="31" t="str">
        <f>MID($Q74,3,2)</f>
        <v>03</v>
      </c>
      <c r="T74" s="31" t="str">
        <f>IF(OR(MID($Q74,8,1)="1",MID($Q74,8,1)="3"),"남자",IF(OR(MID($Q74,8,1)="2",MID($Q74,8,1)="4"),"여자",""))</f>
        <v>여자</v>
      </c>
      <c r="U74" s="31">
        <f ca="1">YEAR(TODAY())-IF(OR(MID($Q74,8,1)="1",MID($Q74,8,1)="2"),19&amp;LEFT($Q74,2),IF(OR(MID($Q74,8,1)="3",MID($Q74,8,1)="4"),20&amp;LEFT($Q74,2),""))+1</f>
        <v>30</v>
      </c>
      <c r="V74" s="31" t="s">
        <v>200</v>
      </c>
      <c r="W74" s="31" t="s">
        <v>201</v>
      </c>
      <c r="X74" s="27" t="s">
        <v>1105</v>
      </c>
      <c r="Y74" s="27"/>
      <c r="Z74" s="27"/>
      <c r="AA74" s="32"/>
      <c r="AB74" s="31" t="s">
        <v>203</v>
      </c>
      <c r="AC74" s="27"/>
      <c r="AD74" s="33" t="str">
        <f ca="1">QUOTIENT(SUMPRODUCT(LEFT($AE74:$AF74,FIND("년",$AE74:$AF74)-1)*12+MID($AE74:$AF74,FIND("년",$AE74:$AF74)+1,FIND("개월",$AE74:$AF74)-FIND("년",$AE74:$AF74)-1)),12)&amp;"년"&amp;MOD(SUMPRODUCT(LEFT($AE74:$AF74,FIND("년",$AE74:$AF74)-1)*12+MID($AE74:$AF74,FIND("년",$AE74:$AF74)+1,FIND("개월",$AE74:$AF74)-FIND("년",$AE74:$AF74)-1)),12)&amp;"개월"</f>
        <v>2년7개월</v>
      </c>
      <c r="AE74" s="33" t="s">
        <v>543</v>
      </c>
      <c r="AF74" s="34" t="str">
        <f ca="1">DATEDIF($L74,TODAY(),"y")&amp;"년"&amp;DATEDIF($L74,TODAY(),"ym")&amp;"개월"</f>
        <v>2년7개월</v>
      </c>
      <c r="AG74" s="35" t="s">
        <v>1106</v>
      </c>
      <c r="AH74" s="35"/>
      <c r="AI74" s="30" t="s">
        <v>365</v>
      </c>
      <c r="AJ74" s="32">
        <v>42405</v>
      </c>
      <c r="AK74" s="36">
        <f ca="1">VALUE(LEFT($AD74,FIND("년",$AD74)-1))</f>
        <v>2</v>
      </c>
      <c r="AL74" s="31" t="str">
        <f ca="1">IF($AI74="고졸",IF($AK74&lt;=11,"초급",IF($AK74&lt;=14,"중급",IF($AK74&lt;=17,"고급",IF($AK74&gt;=18,"특급")))))</f>
        <v>초급</v>
      </c>
      <c r="AM74" s="31" t="str">
        <f>IF(ISNUMBER(SEARCH("산업기사",$AT74)),IF($AK74&gt;=13,"특급",IF($AK74&gt;=10,"고급",IF($AK74&gt;=7,"중급","초급"))),IF(ISNUMBER(SEARCH("기사",$AR74)),IF($AK74&gt;=10,"특급",IF($AK74&gt;=7,"고급",IF($AK74&gt;=4,"중급","초급"))),"미해당"))</f>
        <v>미해당</v>
      </c>
      <c r="AN74" s="27"/>
      <c r="AO74" s="32"/>
      <c r="AP74" s="27"/>
      <c r="AQ74" s="32"/>
      <c r="AR74" s="27"/>
      <c r="AS74" s="27"/>
      <c r="AT74" s="37"/>
      <c r="AU74" s="27"/>
      <c r="AV74" s="38"/>
      <c r="AW74" s="39"/>
      <c r="AX74" s="39"/>
      <c r="AY74" s="40" t="s">
        <v>251</v>
      </c>
      <c r="AZ74" s="41" t="s">
        <v>252</v>
      </c>
      <c r="BA74" s="30" t="s">
        <v>230</v>
      </c>
      <c r="BB74" s="30" t="s">
        <v>1107</v>
      </c>
      <c r="BC74" s="42" t="s">
        <v>275</v>
      </c>
      <c r="BD74" s="42" t="s">
        <v>1108</v>
      </c>
      <c r="BE74" s="43" t="s">
        <v>1109</v>
      </c>
      <c r="BF74" s="42" t="s">
        <v>211</v>
      </c>
      <c r="BG74" s="42" t="s">
        <v>371</v>
      </c>
      <c r="BH74" s="35"/>
      <c r="BI74" s="44" t="s">
        <v>1110</v>
      </c>
      <c r="BJ74" s="45" t="str">
        <f>IFERROR(VLOOKUP($BG74,[1]프로젝트현황!Y:Z,2,0),"기타")</f>
        <v>서남권</v>
      </c>
      <c r="BK74" s="46" t="str">
        <f>(IF(BF74="","",BF74&amp;" "))&amp;(IF(BG74="","",BG74&amp;" "))&amp;(IF(BH74="","",BH74&amp;" "))&amp;BI74</f>
        <v>서울시 관악구 신림로58길 47 한아름마을 402호</v>
      </c>
      <c r="BL74" s="47">
        <v>30</v>
      </c>
      <c r="BM74" s="47">
        <v>30</v>
      </c>
      <c r="BN74" s="48">
        <v>27400000</v>
      </c>
      <c r="BO74" s="48">
        <f>BP74*12</f>
        <v>27400104</v>
      </c>
      <c r="BP74" s="49">
        <f>SUM(BQ74:BS74)</f>
        <v>2283342</v>
      </c>
      <c r="BQ74" s="49">
        <f>ROUNDUP(BN74/12*209/(209+BU74*1.5)/BL74*BM74,-1)-BS74</f>
        <v>1959360</v>
      </c>
      <c r="BR74" s="49">
        <f>ROUNDUP(BN74/12*(BU74*1.5)/(209+BU74*1.5)/BL74*BM74,1)</f>
        <v>123982</v>
      </c>
      <c r="BS74" s="49">
        <v>200000</v>
      </c>
      <c r="BT74" s="50">
        <v>209</v>
      </c>
      <c r="BU74" s="49">
        <f>IF($BN74="","",
IFERROR(
    IF($BN74&lt;'[1]시간외시간 기준표'!$B$2,0,
        IF($BN74&gt;LOOKUP(9.9E+307,'[1]시간외시간 기준표'!$B$2:$B$999),
            LOOKUP(9.9E+307,'[1]시간외시간 기준표'!$C$2:$C$999),
            LOOKUP($BN74,'[1]시간외시간 기준표'!$B$2:$B$999,'[1]시간외시간 기준표'!$C$2:$C$999)
        )
    ),0)
)</f>
        <v>8</v>
      </c>
      <c r="BV74" s="50">
        <f>(BQ74+BS74)/209</f>
        <v>10331.866028708135</v>
      </c>
      <c r="BW74" s="51">
        <v>30</v>
      </c>
      <c r="BX74" s="51">
        <v>30</v>
      </c>
      <c r="BY74" s="52">
        <v>27400000</v>
      </c>
      <c r="BZ74" s="52">
        <f>CA74*12</f>
        <v>27400072.799999997</v>
      </c>
      <c r="CA74" s="49">
        <f>SUM(CB74:CD74)</f>
        <v>2283339.4</v>
      </c>
      <c r="CB74" s="49">
        <f>ROUNDUP(BY74/12*209/(209+CF74*1.5)/BW74*BX74,-1)-CD74</f>
        <v>1944800</v>
      </c>
      <c r="CC74" s="49">
        <f>ROUNDUP(BY74/12*(CF74*1.5)/(209+CF74*1.5)/BW74*BX74,1)</f>
        <v>138539.4</v>
      </c>
      <c r="CD74" s="49">
        <v>200000</v>
      </c>
      <c r="CE74" s="50">
        <v>209</v>
      </c>
      <c r="CF74" s="49">
        <f>IF(BY74&lt;26000000,0,IF(BY74&lt;26500000,4,IF(BY74&lt;27000000,7,IF(BY74&lt;27500000,9,IF(BY74&lt;28000000,11,IF(BY74&lt;28500000,15,IF(BY74&lt;29000000,17,IF(BY74&lt;29500000,20,IF(BY74&lt;30000000,23,IF(BY74&lt;30500000,25,IF(BY74&lt;31000000,27,IF(BY74&lt;31500000,29,IF(BY74&lt;32000000,33,IF(BY74&lt;32500000,37,IF(BY74&lt;33000000,39,IF(BY74&lt;33500000,42,IF(BY74&lt;34000000,45,IF(BY74&lt;34500000,48,IF(BY74&lt;35000000,52,52)))))))))))))))))))</f>
        <v>9</v>
      </c>
      <c r="CG74" s="50">
        <f>(CB74+CD74)/209</f>
        <v>10262.200956937799</v>
      </c>
      <c r="CH74" s="51">
        <v>30</v>
      </c>
      <c r="CI74" s="51">
        <v>30</v>
      </c>
      <c r="CJ74" s="52">
        <v>26600000</v>
      </c>
      <c r="CK74" s="52">
        <f>CL74*12</f>
        <v>26600118</v>
      </c>
      <c r="CL74" s="49">
        <f>SUM(CM74:CO74)</f>
        <v>2216676.5</v>
      </c>
      <c r="CM74" s="49">
        <f>ROUNDUP(CJ74/12*209/(209+CQ74*1.5)/CH74*CI74,-1)-CO74</f>
        <v>1910640</v>
      </c>
      <c r="CN74" s="49">
        <f>ROUNDUP(CJ74/12*(CQ74*1.5)/(209+CQ74*1.5)/CH74*CI74,1)</f>
        <v>106036.5</v>
      </c>
      <c r="CO74" s="50">
        <v>200000</v>
      </c>
      <c r="CP74" s="50">
        <v>209</v>
      </c>
      <c r="CQ74" s="50">
        <f>IF(CJ74&lt;26000000,0,IF(CJ74&lt;26500000,4,IF(CJ74&lt;27000000,7,IF(CJ74&lt;27500000,9,IF(CJ74&lt;28000000,11,IF(CJ74&lt;28500000,15,IF(CJ74&lt;29000000,17,IF(CJ74&lt;29500000,20,IF(CJ74&lt;30000000,23,IF(CJ74&lt;30500000,25,IF(CJ74&lt;31000000,27,IF(CJ74&lt;31500000,29,IF(CJ74&lt;32000000,33,IF(CJ74&lt;32500000,37,IF(CJ74&lt;33000000,39,IF(CJ74&lt;33500000,42,IF(CJ74&lt;34000000,45,IF(CJ74&lt;34500000,48,IF(CJ74&lt;35000000,52,52)))))))))))))))))))</f>
        <v>7</v>
      </c>
      <c r="CR74" s="50">
        <f>(CM74+CO74)/209</f>
        <v>10098.755980861244</v>
      </c>
      <c r="CS74" s="52">
        <v>26000000</v>
      </c>
      <c r="CT74" s="53">
        <f>IFERROR(CS74/12,"")</f>
        <v>2166666.6666666665</v>
      </c>
      <c r="CU74" s="53">
        <f>IFERROR(CT74-CV74-CW74,"")</f>
        <v>1835205.9925093632</v>
      </c>
      <c r="CV74" s="53">
        <f>IFERROR(CT74*(CY74*1.5)/(209+(CY74*1.5)),"")</f>
        <v>131460.67415730335</v>
      </c>
      <c r="CW74" s="54">
        <v>200000</v>
      </c>
      <c r="CX74" s="54">
        <v>209</v>
      </c>
      <c r="CY74" s="54">
        <v>9</v>
      </c>
      <c r="CZ74" s="55">
        <f>SUM(CX74:CY74)</f>
        <v>218</v>
      </c>
      <c r="DA74" s="55">
        <f>IFERROR((CU74/209)+(CW74-(9620*209*0.01))/209,"")</f>
        <v>9641.627715355804</v>
      </c>
      <c r="DB74" s="56">
        <f>IFERROR((CU74+CW74)/209,"")</f>
        <v>9737.8277153558047</v>
      </c>
      <c r="DC74" s="57">
        <v>2023</v>
      </c>
      <c r="DD74" s="58"/>
      <c r="DE74" s="58"/>
      <c r="DF74" s="57"/>
      <c r="DG74" s="59">
        <f>B74</f>
        <v>230606</v>
      </c>
      <c r="DH74" s="58"/>
      <c r="DI74" s="58"/>
      <c r="DJ74" s="60"/>
      <c r="DK74" s="58"/>
      <c r="DL74" s="61"/>
      <c r="DM74" s="24"/>
    </row>
    <row r="75" spans="1:117" ht="15" customHeight="1">
      <c r="A75" s="25">
        <f>ROW()-2</f>
        <v>73</v>
      </c>
      <c r="B75" s="26">
        <v>230610</v>
      </c>
      <c r="C75" s="27" t="s">
        <v>1111</v>
      </c>
      <c r="D75" s="27"/>
      <c r="E75" s="27" t="s">
        <v>239</v>
      </c>
      <c r="F75" s="27" t="s">
        <v>196</v>
      </c>
      <c r="G75" s="27" t="s">
        <v>240</v>
      </c>
      <c r="H75" s="27" t="s">
        <v>241</v>
      </c>
      <c r="I75" s="27" t="s">
        <v>538</v>
      </c>
      <c r="J75" s="27" t="str">
        <f>+VLOOKUP($I75,[1]프로젝트현황!$I:$N,5,0)</f>
        <v>서울시</v>
      </c>
      <c r="K75" s="27" t="str">
        <f>+VLOOKUP($I75,[1]프로젝트현황!$I:$N,6,0)</f>
        <v>금천구</v>
      </c>
      <c r="L75" s="28">
        <v>45096</v>
      </c>
      <c r="M75" s="28">
        <v>45096</v>
      </c>
      <c r="N75" s="28"/>
      <c r="O75" s="29"/>
      <c r="P75" s="30" t="s">
        <v>1112</v>
      </c>
      <c r="Q75" s="27" t="s">
        <v>1113</v>
      </c>
      <c r="R75" s="31" t="str">
        <f>LEFT(Q75,6)</f>
        <v>000824</v>
      </c>
      <c r="S75" s="31" t="str">
        <f>MID($Q75,3,2)</f>
        <v>08</v>
      </c>
      <c r="T75" s="31" t="str">
        <f>IF(OR(MID($Q75,8,1)="1",MID($Q75,8,1)="3"),"남자",IF(OR(MID($Q75,8,1)="2",MID($Q75,8,1)="4"),"여자",""))</f>
        <v>여자</v>
      </c>
      <c r="U75" s="31">
        <f ca="1">YEAR(TODAY())-IF(OR(MID($Q75,8,1)="1",MID($Q75,8,1)="2"),19&amp;LEFT($Q75,2),IF(OR(MID($Q75,8,1)="3",MID($Q75,8,1)="4"),20&amp;LEFT($Q75,2),""))+1</f>
        <v>27</v>
      </c>
      <c r="V75" s="31" t="s">
        <v>200</v>
      </c>
      <c r="W75" s="31" t="s">
        <v>201</v>
      </c>
      <c r="X75" s="27" t="s">
        <v>1114</v>
      </c>
      <c r="Y75" s="27"/>
      <c r="Z75" s="27"/>
      <c r="AA75" s="32"/>
      <c r="AB75" s="31" t="s">
        <v>203</v>
      </c>
      <c r="AC75" s="27"/>
      <c r="AD75" s="33" t="str">
        <f ca="1">QUOTIENT(SUMPRODUCT(LEFT($AE75:$AF75,FIND("년",$AE75:$AF75)-1)*12+MID($AE75:$AF75,FIND("년",$AE75:$AF75)+1,FIND("개월",$AE75:$AF75)-FIND("년",$AE75:$AF75)-1)),12)&amp;"년"&amp;MOD(SUMPRODUCT(LEFT($AE75:$AF75,FIND("년",$AE75:$AF75)-1)*12+MID($AE75:$AF75,FIND("년",$AE75:$AF75)+1,FIND("개월",$AE75:$AF75)-FIND("년",$AE75:$AF75)-1)),12)&amp;"개월"</f>
        <v>3년6개월</v>
      </c>
      <c r="AE75" s="33" t="s">
        <v>1086</v>
      </c>
      <c r="AF75" s="34" t="str">
        <f ca="1">DATEDIF($L75,TODAY(),"y")&amp;"년"&amp;DATEDIF($L75,TODAY(),"ym")&amp;"개월"</f>
        <v>2년7개월</v>
      </c>
      <c r="AG75" s="35" t="s">
        <v>1115</v>
      </c>
      <c r="AH75" s="35" t="s">
        <v>1045</v>
      </c>
      <c r="AI75" s="30" t="s">
        <v>270</v>
      </c>
      <c r="AJ75" s="32">
        <v>44979</v>
      </c>
      <c r="AK75" s="36">
        <f ca="1">VALUE(LEFT($AD75,FIND("년",$AD75)-1))</f>
        <v>3</v>
      </c>
      <c r="AL75" s="31" t="str">
        <f ca="1">IF($AI75="학사",IF($AK75&lt;=5,"초급",IF($AK75&lt;9,"중급",IF($AK75&lt;12,"고급",IF($AK75&gt;=12,"특급")))))</f>
        <v>초급</v>
      </c>
      <c r="AM75" s="31" t="str">
        <f>IF(ISNUMBER(SEARCH("산업기사",$AT75)),IF($AK75&gt;=13,"특급",IF($AK75&gt;=10,"고급",IF($AK75&gt;=7,"중급","초급"))),IF(ISNUMBER(SEARCH("기사",$AR75)),IF($AK75&gt;=10,"특급",IF($AK75&gt;=7,"고급",IF($AK75&gt;=4,"중급","초급"))),"미해당"))</f>
        <v>미해당</v>
      </c>
      <c r="AN75" s="27"/>
      <c r="AO75" s="32"/>
      <c r="AP75" s="27"/>
      <c r="AQ75" s="32"/>
      <c r="AR75" s="27"/>
      <c r="AS75" s="27"/>
      <c r="AT75" s="37"/>
      <c r="AU75" s="27"/>
      <c r="AV75" s="38"/>
      <c r="AW75" s="39"/>
      <c r="AX75" s="39"/>
      <c r="AY75" s="40" t="s">
        <v>251</v>
      </c>
      <c r="AZ75" s="41" t="s">
        <v>252</v>
      </c>
      <c r="BA75" s="30" t="s">
        <v>230</v>
      </c>
      <c r="BB75" s="30" t="s">
        <v>1116</v>
      </c>
      <c r="BC75" s="42" t="s">
        <v>1117</v>
      </c>
      <c r="BD75" s="42" t="s">
        <v>1118</v>
      </c>
      <c r="BE75" s="43" t="s">
        <v>1119</v>
      </c>
      <c r="BF75" s="42" t="s">
        <v>211</v>
      </c>
      <c r="BG75" s="42" t="s">
        <v>899</v>
      </c>
      <c r="BH75" s="35"/>
      <c r="BI75" s="44" t="s">
        <v>1120</v>
      </c>
      <c r="BJ75" s="45" t="str">
        <f>IFERROR(VLOOKUP($BG75,[1]프로젝트현황!Y:Z,2,0),"기타")</f>
        <v>서남권</v>
      </c>
      <c r="BK75" s="46" t="str">
        <f>(IF(BF75="","",BF75&amp;" "))&amp;(IF(BG75="","",BG75&amp;" "))&amp;(IF(BH75="","",BH75&amp;" "))&amp;BI75</f>
        <v>서울시 동작구 매봉로 134 본동신동아아파트 6동 605호</v>
      </c>
      <c r="BL75" s="47">
        <v>30</v>
      </c>
      <c r="BM75" s="47">
        <v>30</v>
      </c>
      <c r="BN75" s="48">
        <v>30400000</v>
      </c>
      <c r="BO75" s="48">
        <f>BP75*12</f>
        <v>30400018.799999997</v>
      </c>
      <c r="BP75" s="49">
        <f>SUM(BQ75:BS75)</f>
        <v>2533334.9</v>
      </c>
      <c r="BQ75" s="49">
        <f>ROUNDUP(BN75/12*209/(209+BU75*1.5)/BL75*BM75,-1)-BS75</f>
        <v>1961090</v>
      </c>
      <c r="BR75" s="49">
        <f>ROUNDUP(BN75/12*(BU75*1.5)/(209+BU75*1.5)/BL75*BM75,1)</f>
        <v>372244.89999999997</v>
      </c>
      <c r="BS75" s="49">
        <v>200000</v>
      </c>
      <c r="BT75" s="50">
        <v>209</v>
      </c>
      <c r="BU75" s="49">
        <f>IF($BN75="","",
IFERROR(
    IF($BN75&lt;'[1]시간외시간 기준표'!$B$2,0,
        IF($BN75&gt;LOOKUP(9.9E+307,'[1]시간외시간 기준표'!$B$2:$B$999),
            LOOKUP(9.9E+307,'[1]시간외시간 기준표'!$C$2:$C$999),
            LOOKUP($BN75,'[1]시간외시간 기준표'!$B$2:$B$999,'[1]시간외시간 기준표'!$C$2:$C$999)
        )
    ),0)
)</f>
        <v>24</v>
      </c>
      <c r="BV75" s="50">
        <f>(BQ75+BS75)/209</f>
        <v>10340.143540669857</v>
      </c>
      <c r="BW75" s="51">
        <v>30</v>
      </c>
      <c r="BX75" s="51">
        <v>30</v>
      </c>
      <c r="BY75" s="52">
        <v>30400000</v>
      </c>
      <c r="BZ75" s="52">
        <f>CA75*12</f>
        <v>30400027.200000003</v>
      </c>
      <c r="CA75" s="49">
        <f>SUM(CB75:CD75)</f>
        <v>2533335.6</v>
      </c>
      <c r="CB75" s="49">
        <f>ROUNDUP(BY75/12*209/(209+CF75*1.5)/BW75*BX75,-1)-CD75</f>
        <v>1947940</v>
      </c>
      <c r="CC75" s="49">
        <f>ROUNDUP(BY75/12*(CF75*1.5)/(209+CF75*1.5)/BW75*BX75,1)</f>
        <v>385395.6</v>
      </c>
      <c r="CD75" s="49">
        <v>200000</v>
      </c>
      <c r="CE75" s="50">
        <v>209</v>
      </c>
      <c r="CF75" s="49">
        <f>IF(BY75&lt;26000000,0,IF(BY75&lt;26500000,4,IF(BY75&lt;27000000,7,IF(BY75&lt;27500000,9,IF(BY75&lt;28000000,11,IF(BY75&lt;28500000,15,IF(BY75&lt;29000000,17,IF(BY75&lt;29500000,20,IF(BY75&lt;30000000,23,IF(BY75&lt;30500000,25,IF(BY75&lt;31000000,27,IF(BY75&lt;31500000,29,IF(BY75&lt;32000000,33,IF(BY75&lt;32500000,37,IF(BY75&lt;33000000,39,IF(BY75&lt;33500000,42,IF(BY75&lt;34000000,45,IF(BY75&lt;34500000,48,IF(BY75&lt;35000000,52,52)))))))))))))))))))</f>
        <v>25</v>
      </c>
      <c r="CG75" s="50">
        <f>(CB75+CD75)/209</f>
        <v>10277.224880382775</v>
      </c>
      <c r="CH75" s="51">
        <v>30</v>
      </c>
      <c r="CI75" s="51">
        <v>30</v>
      </c>
      <c r="CJ75" s="52">
        <v>29600000</v>
      </c>
      <c r="CK75" s="52">
        <f>CL75*12</f>
        <v>29600120.400000002</v>
      </c>
      <c r="CL75" s="49">
        <f>SUM(CM75:CO75)</f>
        <v>2466676.7000000002</v>
      </c>
      <c r="CM75" s="49">
        <f>ROUNDUP(CJ75/12*209/(209+CQ75*1.5)/CH75*CI75,-1)-CO75</f>
        <v>1917190</v>
      </c>
      <c r="CN75" s="49">
        <f>ROUNDUP(CJ75/12*(CQ75*1.5)/(209+CQ75*1.5)/CH75*CI75,1)</f>
        <v>349486.69999999995</v>
      </c>
      <c r="CO75" s="50">
        <v>200000</v>
      </c>
      <c r="CP75" s="50">
        <v>209</v>
      </c>
      <c r="CQ75" s="50">
        <f>IF(CJ75&lt;26000000,0,IF(CJ75&lt;26500000,4,IF(CJ75&lt;27000000,7,IF(CJ75&lt;27500000,9,IF(CJ75&lt;28000000,11,IF(CJ75&lt;28500000,15,IF(CJ75&lt;29000000,17,IF(CJ75&lt;29500000,20,IF(CJ75&lt;30000000,23,IF(CJ75&lt;30500000,25,IF(CJ75&lt;31000000,27,IF(CJ75&lt;31500000,29,IF(CJ75&lt;32000000,33,IF(CJ75&lt;32500000,37,IF(CJ75&lt;33000000,39,IF(CJ75&lt;33500000,42,IF(CJ75&lt;34000000,45,IF(CJ75&lt;34500000,48,IF(CJ75&lt;35000000,52,52)))))))))))))))))))</f>
        <v>23</v>
      </c>
      <c r="CR75" s="50">
        <f>(CM75+CO75)/209</f>
        <v>10130.095693779904</v>
      </c>
      <c r="CS75" s="52">
        <v>29000000</v>
      </c>
      <c r="CT75" s="53">
        <f>IFERROR(CS75/12,"")</f>
        <v>2416666.6666666665</v>
      </c>
      <c r="CU75" s="53">
        <f>IFERROR(CT75-CV75-CW75,"")</f>
        <v>1836626.3440860214</v>
      </c>
      <c r="CV75" s="53">
        <f>IFERROR(CT75*(CY75*1.5)/(209+(CY75*1.5)),"")</f>
        <v>380040.32258064515</v>
      </c>
      <c r="CW75" s="54">
        <v>200000</v>
      </c>
      <c r="CX75" s="54">
        <v>209</v>
      </c>
      <c r="CY75" s="54">
        <v>26</v>
      </c>
      <c r="CZ75" s="55">
        <f>SUM(CX75:CY75)</f>
        <v>235</v>
      </c>
      <c r="DA75" s="55">
        <f>IFERROR((CU75/209)+(CW75-(9620*209*0.01))/209,"")</f>
        <v>9648.423655913979</v>
      </c>
      <c r="DB75" s="56">
        <f>IFERROR((CU75+CW75)/209,"")</f>
        <v>9744.6236559139779</v>
      </c>
      <c r="DC75" s="57">
        <v>2023</v>
      </c>
      <c r="DD75" s="58"/>
      <c r="DE75" s="58"/>
      <c r="DF75" s="57"/>
      <c r="DG75" s="59">
        <f>B75</f>
        <v>230610</v>
      </c>
      <c r="DH75" s="58"/>
      <c r="DI75" s="58"/>
      <c r="DJ75" s="60"/>
      <c r="DK75" s="58"/>
      <c r="DL75" s="61"/>
      <c r="DM75" s="24"/>
    </row>
    <row r="76" spans="1:117" ht="15" customHeight="1">
      <c r="A76" s="25">
        <f>ROW()-2</f>
        <v>74</v>
      </c>
      <c r="B76" s="26">
        <v>230706</v>
      </c>
      <c r="C76" s="27" t="s">
        <v>1121</v>
      </c>
      <c r="D76" s="27"/>
      <c r="E76" s="27" t="s">
        <v>239</v>
      </c>
      <c r="F76" s="27" t="s">
        <v>196</v>
      </c>
      <c r="G76" s="27" t="s">
        <v>240</v>
      </c>
      <c r="H76" s="27" t="s">
        <v>260</v>
      </c>
      <c r="I76" s="27" t="s">
        <v>866</v>
      </c>
      <c r="J76" s="27" t="str">
        <f>+VLOOKUP($I76,[1]프로젝트현황!$I:$N,5,0)</f>
        <v>서울시</v>
      </c>
      <c r="K76" s="27" t="str">
        <f>+VLOOKUP($I76,[1]프로젝트현황!$I:$N,6,0)</f>
        <v>구로구</v>
      </c>
      <c r="L76" s="28">
        <v>45110</v>
      </c>
      <c r="M76" s="28">
        <v>45110</v>
      </c>
      <c r="N76" s="28"/>
      <c r="O76" s="29"/>
      <c r="P76" s="30" t="s">
        <v>1122</v>
      </c>
      <c r="Q76" s="27" t="s">
        <v>1123</v>
      </c>
      <c r="R76" s="31" t="str">
        <f>LEFT(Q76,6)</f>
        <v>890123</v>
      </c>
      <c r="S76" s="31" t="str">
        <f>MID($Q76,3,2)</f>
        <v>01</v>
      </c>
      <c r="T76" s="31" t="str">
        <f>IF(OR(MID($Q76,8,1)="1",MID($Q76,8,1)="3"),"남자",IF(OR(MID($Q76,8,1)="2",MID($Q76,8,1)="4"),"여자",""))</f>
        <v>남자</v>
      </c>
      <c r="U76" s="31">
        <f ca="1">YEAR(TODAY())-IF(OR(MID($Q76,8,1)="1",MID($Q76,8,1)="2"),19&amp;LEFT($Q76,2),IF(OR(MID($Q76,8,1)="3",MID($Q76,8,1)="4"),20&amp;LEFT($Q76,2),""))+1</f>
        <v>38</v>
      </c>
      <c r="V76" s="31" t="s">
        <v>200</v>
      </c>
      <c r="W76" s="31" t="s">
        <v>201</v>
      </c>
      <c r="X76" s="27" t="s">
        <v>1124</v>
      </c>
      <c r="Y76" s="27"/>
      <c r="Z76" s="27"/>
      <c r="AA76" s="32"/>
      <c r="AB76" s="31" t="s">
        <v>203</v>
      </c>
      <c r="AC76" s="27"/>
      <c r="AD76" s="33" t="str">
        <f ca="1">QUOTIENT(SUMPRODUCT(LEFT($AE76:$AF76,FIND("년",$AE76:$AF76)-1)*12+MID($AE76:$AF76,FIND("년",$AE76:$AF76)+1,FIND("개월",$AE76:$AF76)-FIND("년",$AE76:$AF76)-1)),12)&amp;"년"&amp;MOD(SUMPRODUCT(LEFT($AE76:$AF76,FIND("년",$AE76:$AF76)-1)*12+MID($AE76:$AF76,FIND("년",$AE76:$AF76)+1,FIND("개월",$AE76:$AF76)-FIND("년",$AE76:$AF76)-1)),12)&amp;"개월"</f>
        <v>7년1개월</v>
      </c>
      <c r="AE76" s="33" t="s">
        <v>1125</v>
      </c>
      <c r="AF76" s="34" t="str">
        <f ca="1">DATEDIF($L76,TODAY(),"y")&amp;"년"&amp;DATEDIF($L76,TODAY(),"ym")&amp;"개월"</f>
        <v>2년7개월</v>
      </c>
      <c r="AG76" s="35" t="s">
        <v>1126</v>
      </c>
      <c r="AH76" s="35" t="s">
        <v>1127</v>
      </c>
      <c r="AI76" s="30" t="s">
        <v>205</v>
      </c>
      <c r="AJ76" s="32">
        <v>41318</v>
      </c>
      <c r="AK76" s="36">
        <f ca="1">VALUE(LEFT($AD76,FIND("년",$AD76)-1))</f>
        <v>7</v>
      </c>
      <c r="AL76" s="31" t="str">
        <f ca="1">IF($AI76="전문학사",IF($AK76&lt;=8,"초급",IF($AK76&lt;12,"중급",IF($AK76&lt;15,"고급",IF($AK76&gt;=15,"특급")))))</f>
        <v>초급</v>
      </c>
      <c r="AM76" s="31" t="str">
        <f>IF(ISNUMBER(SEARCH("산업기사",$AT76)),IF($AK76&gt;=13,"특급",IF($AK76&gt;=10,"고급",IF($AK76&gt;=7,"중급","초급"))),IF(ISNUMBER(SEARCH("기사",$AR76)),IF($AK76&gt;=10,"특급",IF($AK76&gt;=7,"고급",IF($AK76&gt;=4,"중급","초급"))),"미해당"))</f>
        <v>미해당</v>
      </c>
      <c r="AN76" s="27"/>
      <c r="AO76" s="32"/>
      <c r="AP76" s="27"/>
      <c r="AQ76" s="32"/>
      <c r="AR76" s="27"/>
      <c r="AS76" s="27"/>
      <c r="AT76" s="37"/>
      <c r="AU76" s="27"/>
      <c r="AV76" s="38"/>
      <c r="AW76" s="39"/>
      <c r="AX76" s="39"/>
      <c r="AY76" s="40" t="s">
        <v>251</v>
      </c>
      <c r="AZ76" s="41" t="s">
        <v>252</v>
      </c>
      <c r="BA76" s="30" t="s">
        <v>230</v>
      </c>
      <c r="BB76" s="30" t="s">
        <v>1128</v>
      </c>
      <c r="BC76" s="42" t="s">
        <v>254</v>
      </c>
      <c r="BD76" s="42" t="s">
        <v>1129</v>
      </c>
      <c r="BE76" s="43" t="s">
        <v>1130</v>
      </c>
      <c r="BF76" s="42" t="s">
        <v>234</v>
      </c>
      <c r="BG76" s="42" t="s">
        <v>355</v>
      </c>
      <c r="BH76" s="35"/>
      <c r="BI76" s="44" t="s">
        <v>1131</v>
      </c>
      <c r="BJ76" s="45" t="str">
        <f>IFERROR(VLOOKUP($BG76,[1]프로젝트현황!Y:Z,2,0),"기타")</f>
        <v>서남권</v>
      </c>
      <c r="BK76" s="46" t="str">
        <f>(IF(BF76="","",BF76&amp;" "))&amp;(IF(BG76="","",BG76&amp;" "))&amp;(IF(BH76="","",BH76&amp;" "))&amp;BI76</f>
        <v>경기도 부천시 삼작로368번길 15-7, D동 201호(원종동, 백합빌라)</v>
      </c>
      <c r="BL76" s="47">
        <v>30</v>
      </c>
      <c r="BM76" s="47">
        <v>30</v>
      </c>
      <c r="BN76" s="48">
        <v>34300000</v>
      </c>
      <c r="BO76" s="48">
        <f>BP76*12</f>
        <v>34300080</v>
      </c>
      <c r="BP76" s="49">
        <f>SUM(BQ76:BS76)</f>
        <v>2858340</v>
      </c>
      <c r="BQ76" s="49">
        <f>ROUNDUP(BN76/12*209/(209+BU76*1.5)/BL76*BM76,-1)-BS76</f>
        <v>1972340</v>
      </c>
      <c r="BR76" s="49">
        <f>ROUNDUP(BN76/12*(BU76*1.5)/(209+BU76*1.5)/BL76*BM76,1)</f>
        <v>686000</v>
      </c>
      <c r="BS76" s="49">
        <v>200000</v>
      </c>
      <c r="BT76" s="50">
        <v>209</v>
      </c>
      <c r="BU76" s="49">
        <f>IF($BN76="","",
IFERROR(
    IF($BN76&lt;'[1]시간외시간 기준표'!$B$2,0,
        IF($BN76&gt;LOOKUP(9.9E+307,'[1]시간외시간 기준표'!$B$2:$B$999),
            LOOKUP(9.9E+307,'[1]시간외시간 기준표'!$C$2:$C$999),
            LOOKUP($BN76,'[1]시간외시간 기준표'!$B$2:$B$999,'[1]시간외시간 기준표'!$C$2:$C$999)
        )
    ),0)
)</f>
        <v>44</v>
      </c>
      <c r="BV76" s="50">
        <f>(BQ76+BS76)/209</f>
        <v>10393.971291866028</v>
      </c>
      <c r="BW76" s="51">
        <v>30</v>
      </c>
      <c r="BX76" s="51">
        <v>30</v>
      </c>
      <c r="BY76" s="52">
        <v>34300000</v>
      </c>
      <c r="BZ76" s="52">
        <f>CA76*12</f>
        <v>34300012.799999997</v>
      </c>
      <c r="CA76" s="49">
        <f>SUM(CB76:CD76)</f>
        <v>2858334.4</v>
      </c>
      <c r="CB76" s="49">
        <f>ROUNDUP(BY76/12*209/(209+CF76*1.5)/BW76*BX76,-1)-CD76</f>
        <v>1925950</v>
      </c>
      <c r="CC76" s="49">
        <f>ROUNDUP(BY76/12*(CF76*1.5)/(209+CF76*1.5)/BW76*BX76,1)</f>
        <v>732384.4</v>
      </c>
      <c r="CD76" s="49">
        <v>200000</v>
      </c>
      <c r="CE76" s="50">
        <v>209</v>
      </c>
      <c r="CF76" s="49">
        <f>IF(BY76&lt;26000000,0,IF(BY76&lt;26500000,4,IF(BY76&lt;27000000,7,IF(BY76&lt;27500000,9,IF(BY76&lt;28000000,11,IF(BY76&lt;28500000,15,IF(BY76&lt;29000000,17,IF(BY76&lt;29500000,20,IF(BY76&lt;30000000,23,IF(BY76&lt;30500000,25,IF(BY76&lt;31000000,27,IF(BY76&lt;31500000,29,IF(BY76&lt;32000000,33,IF(BY76&lt;32500000,37,IF(BY76&lt;33000000,39,IF(BY76&lt;33500000,42,IF(BY76&lt;34000000,45,IF(BY76&lt;34500000,48,IF(BY76&lt;35000000,52,52)))))))))))))))))))</f>
        <v>48</v>
      </c>
      <c r="CG76" s="50">
        <f>(CB76+CD76)/209</f>
        <v>10172.009569377991</v>
      </c>
      <c r="CH76" s="51">
        <v>30</v>
      </c>
      <c r="CI76" s="51">
        <v>30</v>
      </c>
      <c r="CJ76" s="52">
        <v>33500000</v>
      </c>
      <c r="CK76" s="52">
        <f>CL76*12</f>
        <v>33500040</v>
      </c>
      <c r="CL76" s="49">
        <f>SUM(CM76:CO76)</f>
        <v>2791670</v>
      </c>
      <c r="CM76" s="49">
        <f>ROUNDUP(CJ76/12*209/(209+CQ76*1.5)/CH76*CI76,-1)-CO76</f>
        <v>1910160</v>
      </c>
      <c r="CN76" s="49">
        <f>ROUNDUP(CJ76/12*(CQ76*1.5)/(209+CQ76*1.5)/CH76*CI76,1)</f>
        <v>681510</v>
      </c>
      <c r="CO76" s="50">
        <v>200000</v>
      </c>
      <c r="CP76" s="50">
        <v>209</v>
      </c>
      <c r="CQ76" s="50">
        <f>IF(CJ76&lt;26000000,0,IF(CJ76&lt;26500000,4,IF(CJ76&lt;27000000,7,IF(CJ76&lt;27500000,9,IF(CJ76&lt;28000000,11,IF(CJ76&lt;28500000,15,IF(CJ76&lt;29000000,17,IF(CJ76&lt;29500000,20,IF(CJ76&lt;30000000,23,IF(CJ76&lt;30500000,25,IF(CJ76&lt;31000000,27,IF(CJ76&lt;31500000,29,IF(CJ76&lt;32000000,33,IF(CJ76&lt;32500000,37,IF(CJ76&lt;33000000,39,IF(CJ76&lt;33500000,42,IF(CJ76&lt;34000000,45,IF(CJ76&lt;34500000,48,IF(CJ76&lt;35000000,52,52)))))))))))))))))))</f>
        <v>45</v>
      </c>
      <c r="CR76" s="50">
        <f>(CM76+CO76)/209</f>
        <v>10096.45933014354</v>
      </c>
      <c r="CS76" s="52">
        <v>33000000</v>
      </c>
      <c r="CT76" s="53">
        <f>IFERROR(CS76/12,"")</f>
        <v>2750000</v>
      </c>
      <c r="CU76" s="53">
        <f>IFERROR(CT76-CV76-CW76,"")</f>
        <v>1834513.2743362831</v>
      </c>
      <c r="CV76" s="53">
        <f>IFERROR(CT76*(CY76*1.5)/(209+(CY76*1.5)),"")</f>
        <v>715486.72566371679</v>
      </c>
      <c r="CW76" s="54">
        <v>200000</v>
      </c>
      <c r="CX76" s="54">
        <v>209</v>
      </c>
      <c r="CY76" s="54">
        <v>49</v>
      </c>
      <c r="CZ76" s="55">
        <f>SUM(CX76:CY76)</f>
        <v>258</v>
      </c>
      <c r="DA76" s="55">
        <f>IFERROR((CU76/209)+(CW76-(9620*209*0.01))/209,"")</f>
        <v>9638.3132743362839</v>
      </c>
      <c r="DB76" s="56">
        <f>IFERROR((CU76+CW76)/209,"")</f>
        <v>9734.5132743362828</v>
      </c>
      <c r="DC76" s="57">
        <v>2023</v>
      </c>
      <c r="DD76" s="58"/>
      <c r="DE76" s="58"/>
      <c r="DF76" s="57"/>
      <c r="DG76" s="59">
        <f>B76</f>
        <v>230706</v>
      </c>
      <c r="DH76" s="58"/>
      <c r="DI76" s="58"/>
      <c r="DJ76" s="60"/>
      <c r="DK76" s="58"/>
      <c r="DL76" s="61"/>
      <c r="DM76" s="24"/>
    </row>
    <row r="77" spans="1:117" ht="15" customHeight="1">
      <c r="A77" s="25">
        <f>ROW()-2</f>
        <v>75</v>
      </c>
      <c r="B77" s="26">
        <v>230711</v>
      </c>
      <c r="C77" s="27" t="s">
        <v>1132</v>
      </c>
      <c r="D77" s="27"/>
      <c r="E77" s="27" t="s">
        <v>239</v>
      </c>
      <c r="F77" s="27" t="s">
        <v>196</v>
      </c>
      <c r="G77" s="27" t="s">
        <v>240</v>
      </c>
      <c r="H77" s="27" t="s">
        <v>241</v>
      </c>
      <c r="I77" s="27" t="s">
        <v>538</v>
      </c>
      <c r="J77" s="27" t="str">
        <f>+VLOOKUP($I77,[1]프로젝트현황!$I:$N,5,0)</f>
        <v>서울시</v>
      </c>
      <c r="K77" s="27" t="str">
        <f>+VLOOKUP($I77,[1]프로젝트현황!$I:$N,6,0)</f>
        <v>금천구</v>
      </c>
      <c r="L77" s="28">
        <v>45131</v>
      </c>
      <c r="M77" s="28">
        <v>45131</v>
      </c>
      <c r="N77" s="28"/>
      <c r="O77" s="29"/>
      <c r="P77" s="30" t="s">
        <v>1133</v>
      </c>
      <c r="Q77" s="27" t="s">
        <v>1134</v>
      </c>
      <c r="R77" s="31" t="str">
        <f>LEFT(Q77,6)</f>
        <v>001117</v>
      </c>
      <c r="S77" s="31" t="str">
        <f>MID($Q77,3,2)</f>
        <v>11</v>
      </c>
      <c r="T77" s="31" t="str">
        <f>IF(OR(MID($Q77,8,1)="1",MID($Q77,8,1)="3"),"남자",IF(OR(MID($Q77,8,1)="2",MID($Q77,8,1)="4"),"여자",""))</f>
        <v>여자</v>
      </c>
      <c r="U77" s="31">
        <f ca="1">YEAR(TODAY())-IF(OR(MID($Q77,8,1)="1",MID($Q77,8,1)="2"),19&amp;LEFT($Q77,2),IF(OR(MID($Q77,8,1)="3",MID($Q77,8,1)="4"),20&amp;LEFT($Q77,2),""))+1</f>
        <v>27</v>
      </c>
      <c r="V77" s="31" t="s">
        <v>200</v>
      </c>
      <c r="W77" s="31" t="s">
        <v>201</v>
      </c>
      <c r="X77" s="27" t="s">
        <v>1135</v>
      </c>
      <c r="Y77" s="27"/>
      <c r="Z77" s="27"/>
      <c r="AA77" s="32"/>
      <c r="AB77" s="31" t="s">
        <v>203</v>
      </c>
      <c r="AC77" s="27"/>
      <c r="AD77" s="33" t="str">
        <f ca="1">QUOTIENT(SUMPRODUCT(LEFT($AE77:$AF77,FIND("년",$AE77:$AF77)-1)*12+MID($AE77:$AF77,FIND("년",$AE77:$AF77)+1,FIND("개월",$AE77:$AF77)-FIND("년",$AE77:$AF77)-1)),12)&amp;"년"&amp;MOD(SUMPRODUCT(LEFT($AE77:$AF77,FIND("년",$AE77:$AF77)-1)*12+MID($AE77:$AF77,FIND("년",$AE77:$AF77)+1,FIND("개월",$AE77:$AF77)-FIND("년",$AE77:$AF77)-1)),12)&amp;"개월"</f>
        <v>3년5개월</v>
      </c>
      <c r="AE77" s="33" t="s">
        <v>1086</v>
      </c>
      <c r="AF77" s="34" t="str">
        <f ca="1">DATEDIF($L77,TODAY(),"y")&amp;"년"&amp;DATEDIF($L77,TODAY(),"ym")&amp;"개월"</f>
        <v>2년6개월</v>
      </c>
      <c r="AG77" s="35" t="s">
        <v>1115</v>
      </c>
      <c r="AH77" s="35" t="s">
        <v>1136</v>
      </c>
      <c r="AI77" s="30" t="s">
        <v>270</v>
      </c>
      <c r="AJ77" s="32">
        <v>44979</v>
      </c>
      <c r="AK77" s="36">
        <f ca="1">VALUE(LEFT($AD77,FIND("년",$AD77)-1))</f>
        <v>3</v>
      </c>
      <c r="AL77" s="31" t="str">
        <f ca="1">IF($AI77="학사",IF($AK77&lt;=5,"초급",IF($AK77&lt;9,"중급",IF($AK77&lt;12,"고급",IF($AK77&gt;=12,"특급")))))</f>
        <v>초급</v>
      </c>
      <c r="AM77" s="31" t="str">
        <f>IF(ISNUMBER(SEARCH("산업기사",$AT77)),IF($AK77&gt;=13,"특급",IF($AK77&gt;=10,"고급",IF($AK77&gt;=7,"중급","초급"))),IF(ISNUMBER(SEARCH("기사",$AR77)),IF($AK77&gt;=10,"특급",IF($AK77&gt;=7,"고급",IF($AK77&gt;=4,"중급","초급"))),"미해당"))</f>
        <v>미해당</v>
      </c>
      <c r="AN77" s="27"/>
      <c r="AO77" s="32"/>
      <c r="AP77" s="27"/>
      <c r="AQ77" s="32"/>
      <c r="AR77" s="27"/>
      <c r="AS77" s="27"/>
      <c r="AT77" s="37"/>
      <c r="AU77" s="27"/>
      <c r="AV77" s="38" t="s">
        <v>1137</v>
      </c>
      <c r="AW77" s="39"/>
      <c r="AX77" s="39" t="s">
        <v>1138</v>
      </c>
      <c r="AY77" s="40" t="s">
        <v>251</v>
      </c>
      <c r="AZ77" s="41" t="s">
        <v>252</v>
      </c>
      <c r="BA77" s="30" t="s">
        <v>230</v>
      </c>
      <c r="BB77" s="30" t="s">
        <v>1139</v>
      </c>
      <c r="BC77" s="42" t="s">
        <v>254</v>
      </c>
      <c r="BD77" s="42" t="s">
        <v>1140</v>
      </c>
      <c r="BE77" s="43" t="s">
        <v>1141</v>
      </c>
      <c r="BF77" s="42" t="s">
        <v>211</v>
      </c>
      <c r="BG77" s="42" t="s">
        <v>371</v>
      </c>
      <c r="BH77" s="35"/>
      <c r="BI77" s="44" t="s">
        <v>1142</v>
      </c>
      <c r="BJ77" s="45" t="str">
        <f>IFERROR(VLOOKUP($BG77,[1]프로젝트현황!Y:Z,2,0),"기타")</f>
        <v>서남권</v>
      </c>
      <c r="BK77" s="46" t="str">
        <f>(IF(BF77="","",BF77&amp;" "))&amp;(IF(BG77="","",BG77&amp;" "))&amp;(IF(BH77="","",BH77&amp;" "))&amp;BI77</f>
        <v>서울시 관악구 봉천로12길 25, 904호(신림동)</v>
      </c>
      <c r="BL77" s="47">
        <v>30</v>
      </c>
      <c r="BM77" s="47">
        <v>30</v>
      </c>
      <c r="BN77" s="48">
        <v>30300000</v>
      </c>
      <c r="BO77" s="48">
        <f>BP77*12</f>
        <v>30300019.200000003</v>
      </c>
      <c r="BP77" s="49">
        <f>SUM(BQ77:BS77)</f>
        <v>2525001.6</v>
      </c>
      <c r="BQ77" s="49">
        <f>ROUNDUP(BN77/12*209/(209+BU77*1.5)/BL77*BM77,-1)-BS77</f>
        <v>1967250</v>
      </c>
      <c r="BR77" s="49">
        <f>ROUNDUP(BN77/12*(BU77*1.5)/(209+BU77*1.5)/BL77*BM77,1)</f>
        <v>357751.6</v>
      </c>
      <c r="BS77" s="49">
        <v>200000</v>
      </c>
      <c r="BT77" s="50">
        <v>209</v>
      </c>
      <c r="BU77" s="49">
        <f>IF($BN77="","",
IFERROR(
    IF($BN77&lt;'[1]시간외시간 기준표'!$B$2,0,
        IF($BN77&gt;LOOKUP(9.9E+307,'[1]시간외시간 기준표'!$B$2:$B$999),
            LOOKUP(9.9E+307,'[1]시간외시간 기준표'!$C$2:$C$999),
            LOOKUP($BN77,'[1]시간외시간 기준표'!$B$2:$B$999,'[1]시간외시간 기준표'!$C$2:$C$999)
        )
    ),0)
)</f>
        <v>23</v>
      </c>
      <c r="BV77" s="50">
        <f>(BQ77+BS77)/209</f>
        <v>10369.617224880383</v>
      </c>
      <c r="BW77" s="51">
        <v>30</v>
      </c>
      <c r="BX77" s="51">
        <v>30</v>
      </c>
      <c r="BY77" s="52">
        <v>30300000</v>
      </c>
      <c r="BZ77" s="52">
        <f>CA77*12</f>
        <v>30300093.599999998</v>
      </c>
      <c r="CA77" s="49">
        <f>SUM(CB77:CD77)</f>
        <v>2525007.7999999998</v>
      </c>
      <c r="CB77" s="49">
        <f>ROUNDUP(BY77/12*209/(209+CF77*1.5)/BW77*BX77,-1)-CD77</f>
        <v>1940880</v>
      </c>
      <c r="CC77" s="49">
        <f>ROUNDUP(BY77/12*(CF77*1.5)/(209+CF77*1.5)/BW77*BX77,1)</f>
        <v>384127.8</v>
      </c>
      <c r="CD77" s="49">
        <v>200000</v>
      </c>
      <c r="CE77" s="50">
        <v>209</v>
      </c>
      <c r="CF77" s="49">
        <f>IF(BY77&lt;26000000,0,IF(BY77&lt;26500000,4,IF(BY77&lt;27000000,7,IF(BY77&lt;27500000,9,IF(BY77&lt;28000000,11,IF(BY77&lt;28500000,15,IF(BY77&lt;29000000,17,IF(BY77&lt;29500000,20,IF(BY77&lt;30000000,23,IF(BY77&lt;30500000,25,IF(BY77&lt;31000000,27,IF(BY77&lt;31500000,29,IF(BY77&lt;32000000,33,IF(BY77&lt;32500000,37,IF(BY77&lt;33000000,39,IF(BY77&lt;33500000,42,IF(BY77&lt;34000000,45,IF(BY77&lt;34500000,48,IF(BY77&lt;35000000,52,52)))))))))))))))))))</f>
        <v>25</v>
      </c>
      <c r="CG77" s="50">
        <f>(CB77+CD77)/209</f>
        <v>10243.444976076555</v>
      </c>
      <c r="CH77" s="51">
        <v>30</v>
      </c>
      <c r="CI77" s="51">
        <v>30</v>
      </c>
      <c r="CJ77" s="52">
        <v>29500000</v>
      </c>
      <c r="CK77" s="52">
        <f>CL77*12</f>
        <v>29500032</v>
      </c>
      <c r="CL77" s="49">
        <f>SUM(CM77:CO77)</f>
        <v>2458336</v>
      </c>
      <c r="CM77" s="49">
        <f>ROUNDUP(CJ77/12*209/(209+CQ77*1.5)/CH77*CI77,-1)-CO77</f>
        <v>1910030</v>
      </c>
      <c r="CN77" s="49">
        <f>ROUNDUP(CJ77/12*(CQ77*1.5)/(209+CQ77*1.5)/CH77*CI77,1)</f>
        <v>348306</v>
      </c>
      <c r="CO77" s="50">
        <v>200000</v>
      </c>
      <c r="CP77" s="50">
        <v>209</v>
      </c>
      <c r="CQ77" s="50">
        <f>IF(CJ77&lt;26000000,0,IF(CJ77&lt;26500000,4,IF(CJ77&lt;27000000,7,IF(CJ77&lt;27500000,9,IF(CJ77&lt;28000000,11,IF(CJ77&lt;28500000,15,IF(CJ77&lt;29000000,17,IF(CJ77&lt;29500000,20,IF(CJ77&lt;30000000,23,IF(CJ77&lt;30500000,25,IF(CJ77&lt;31000000,27,IF(CJ77&lt;31500000,29,IF(CJ77&lt;32000000,33,IF(CJ77&lt;32500000,37,IF(CJ77&lt;33000000,39,IF(CJ77&lt;33500000,42,IF(CJ77&lt;34000000,45,IF(CJ77&lt;34500000,48,IF(CJ77&lt;35000000,52,52)))))))))))))))))))</f>
        <v>23</v>
      </c>
      <c r="CR77" s="50">
        <f>(CM77+CO77)/209</f>
        <v>10095.837320574163</v>
      </c>
      <c r="CS77" s="52">
        <v>29000000</v>
      </c>
      <c r="CT77" s="53">
        <f>IFERROR(CS77/12,"")</f>
        <v>2416666.6666666665</v>
      </c>
      <c r="CU77" s="53">
        <f>IFERROR(CT77-CV77-CW77,"")</f>
        <v>1836626.3440860214</v>
      </c>
      <c r="CV77" s="53">
        <f>IFERROR(CT77*(CY77*1.5)/(209+(CY77*1.5)),"")</f>
        <v>380040.32258064515</v>
      </c>
      <c r="CW77" s="54">
        <v>200000</v>
      </c>
      <c r="CX77" s="54">
        <v>209</v>
      </c>
      <c r="CY77" s="54">
        <v>26</v>
      </c>
      <c r="CZ77" s="55">
        <f>SUM(CX77:CY77)</f>
        <v>235</v>
      </c>
      <c r="DA77" s="55">
        <f>IFERROR((CU77/209)+(CW77-(9620*209*0.01))/209,"")</f>
        <v>9648.423655913979</v>
      </c>
      <c r="DB77" s="56">
        <f>IFERROR((CU77+CW77)/209,"")</f>
        <v>9744.6236559139779</v>
      </c>
      <c r="DC77" s="57">
        <v>2023</v>
      </c>
      <c r="DD77" s="58"/>
      <c r="DE77" s="58"/>
      <c r="DF77" s="57"/>
      <c r="DG77" s="59">
        <f>B77</f>
        <v>230711</v>
      </c>
      <c r="DH77" s="58"/>
      <c r="DI77" s="58"/>
      <c r="DJ77" s="60"/>
      <c r="DK77" s="58"/>
      <c r="DL77" s="61"/>
      <c r="DM77" s="24"/>
    </row>
    <row r="78" spans="1:117" ht="15" customHeight="1">
      <c r="A78" s="25">
        <f>ROW()-2</f>
        <v>76</v>
      </c>
      <c r="B78" s="26">
        <v>230803</v>
      </c>
      <c r="C78" s="27" t="s">
        <v>1143</v>
      </c>
      <c r="D78" s="27"/>
      <c r="E78" s="27" t="s">
        <v>239</v>
      </c>
      <c r="F78" s="27" t="s">
        <v>196</v>
      </c>
      <c r="G78" s="27" t="s">
        <v>240</v>
      </c>
      <c r="H78" s="27" t="s">
        <v>241</v>
      </c>
      <c r="I78" s="27" t="s">
        <v>455</v>
      </c>
      <c r="J78" s="27" t="str">
        <f>+VLOOKUP($I78,[1]프로젝트현황!$I:$N,5,0)</f>
        <v>경기도</v>
      </c>
      <c r="K78" s="27" t="str">
        <f>+VLOOKUP($I78,[1]프로젝트현황!$I:$N,6,0)</f>
        <v>성남시</v>
      </c>
      <c r="L78" s="28">
        <v>45139</v>
      </c>
      <c r="M78" s="28">
        <v>45139</v>
      </c>
      <c r="N78" s="28"/>
      <c r="O78" s="29"/>
      <c r="P78" s="30" t="s">
        <v>1144</v>
      </c>
      <c r="Q78" s="27" t="s">
        <v>1145</v>
      </c>
      <c r="R78" s="31" t="str">
        <f>LEFT(Q78,6)</f>
        <v>820410</v>
      </c>
      <c r="S78" s="31" t="str">
        <f>MID($Q78,3,2)</f>
        <v>04</v>
      </c>
      <c r="T78" s="31" t="str">
        <f>IF(OR(MID($Q78,8,1)="1",MID($Q78,8,1)="3"),"남자",IF(OR(MID($Q78,8,1)="2",MID($Q78,8,1)="4"),"여자",""))</f>
        <v>남자</v>
      </c>
      <c r="U78" s="31">
        <f ca="1">YEAR(TODAY())-IF(OR(MID($Q78,8,1)="1",MID($Q78,8,1)="2"),19&amp;LEFT($Q78,2),IF(OR(MID($Q78,8,1)="3",MID($Q78,8,1)="4"),20&amp;LEFT($Q78,2),""))+1</f>
        <v>45</v>
      </c>
      <c r="V78" s="31" t="s">
        <v>200</v>
      </c>
      <c r="W78" s="31" t="s">
        <v>201</v>
      </c>
      <c r="X78" s="27" t="s">
        <v>1146</v>
      </c>
      <c r="Y78" s="27"/>
      <c r="Z78" s="27"/>
      <c r="AA78" s="32"/>
      <c r="AB78" s="31" t="s">
        <v>203</v>
      </c>
      <c r="AC78" s="27"/>
      <c r="AD78" s="33" t="str">
        <f ca="1">QUOTIENT(SUMPRODUCT(LEFT($AE78:$AF78,FIND("년",$AE78:$AF78)-1)*12+MID($AE78:$AF78,FIND("년",$AE78:$AF78)+1,FIND("개월",$AE78:$AF78)-FIND("년",$AE78:$AF78)-1)),12)&amp;"년"&amp;MOD(SUMPRODUCT(LEFT($AE78:$AF78,FIND("년",$AE78:$AF78)-1)*12+MID($AE78:$AF78,FIND("년",$AE78:$AF78)+1,FIND("개월",$AE78:$AF78)-FIND("년",$AE78:$AF78)-1)),12)&amp;"개월"</f>
        <v>3년6개월</v>
      </c>
      <c r="AE78" s="33" t="s">
        <v>1147</v>
      </c>
      <c r="AF78" s="34" t="str">
        <f ca="1">DATEDIF($L78,TODAY(),"y")&amp;"년"&amp;DATEDIF($L78,TODAY(),"ym")&amp;"개월"</f>
        <v>2년6개월</v>
      </c>
      <c r="AG78" s="35" t="s">
        <v>1148</v>
      </c>
      <c r="AH78" s="35" t="s">
        <v>1149</v>
      </c>
      <c r="AI78" s="30" t="s">
        <v>270</v>
      </c>
      <c r="AJ78" s="32">
        <v>39864</v>
      </c>
      <c r="AK78" s="36">
        <f ca="1">VALUE(LEFT($AD78,FIND("년",$AD78)-1))</f>
        <v>3</v>
      </c>
      <c r="AL78" s="31" t="str">
        <f ca="1">IF($AI78="학사",IF($AK78&lt;=5,"초급",IF($AK78&lt;9,"중급",IF($AK78&lt;12,"고급",IF($AK78&gt;=12,"특급")))))</f>
        <v>초급</v>
      </c>
      <c r="AM78" s="31" t="str">
        <f>IF(ISNUMBER(SEARCH("산업기사",$AT78)),IF($AK78&gt;=13,"특급",IF($AK78&gt;=10,"고급",IF($AK78&gt;=7,"중급","초급"))),IF(ISNUMBER(SEARCH("기사",$AR78)),IF($AK78&gt;=10,"특급",IF($AK78&gt;=7,"고급",IF($AK78&gt;=4,"중급","초급"))),"미해당"))</f>
        <v>미해당</v>
      </c>
      <c r="AN78" s="27"/>
      <c r="AO78" s="32"/>
      <c r="AP78" s="27"/>
      <c r="AQ78" s="32"/>
      <c r="AR78" s="27"/>
      <c r="AS78" s="27"/>
      <c r="AT78" s="37"/>
      <c r="AU78" s="27"/>
      <c r="AV78" s="38"/>
      <c r="AW78" s="39"/>
      <c r="AX78" s="39"/>
      <c r="AY78" s="40" t="s">
        <v>251</v>
      </c>
      <c r="AZ78" s="41" t="s">
        <v>252</v>
      </c>
      <c r="BA78" s="30" t="s">
        <v>230</v>
      </c>
      <c r="BB78" s="30" t="s">
        <v>1150</v>
      </c>
      <c r="BC78" s="42" t="s">
        <v>1151</v>
      </c>
      <c r="BD78" s="42" t="s">
        <v>1152</v>
      </c>
      <c r="BE78" s="43" t="s">
        <v>1153</v>
      </c>
      <c r="BF78" s="42" t="s">
        <v>234</v>
      </c>
      <c r="BG78" s="42" t="s">
        <v>328</v>
      </c>
      <c r="BH78" s="35" t="s">
        <v>1154</v>
      </c>
      <c r="BI78" s="44" t="s">
        <v>1155</v>
      </c>
      <c r="BJ78" s="45" t="str">
        <f>IFERROR(VLOOKUP($BG78,[1]프로젝트현황!Y:Z,2,0),"기타")</f>
        <v>동남권</v>
      </c>
      <c r="BK78" s="46" t="str">
        <f>(IF(BF78="","",BF78&amp;" "))&amp;(IF(BG78="","",BG78&amp;" "))&amp;(IF(BH78="","",BH78&amp;" "))&amp;BI78</f>
        <v>경기도 성남시 분당구 분당로201번길 17, 114동 702호(서현동, 효자촌)</v>
      </c>
      <c r="BL78" s="47">
        <v>30</v>
      </c>
      <c r="BM78" s="47">
        <v>30</v>
      </c>
      <c r="BN78" s="48">
        <v>34550000</v>
      </c>
      <c r="BO78" s="48">
        <f>BP78*12</f>
        <v>34550049.599999994</v>
      </c>
      <c r="BP78" s="49">
        <f>SUM(BQ78:BS78)</f>
        <v>2879170.8</v>
      </c>
      <c r="BQ78" s="49">
        <f>ROUNDUP(BN78/12*209/(209+BU78*1.5)/BL78*BM78,-1)-BS78</f>
        <v>1976300</v>
      </c>
      <c r="BR78" s="49">
        <f>ROUNDUP(BN78/12*(BU78*1.5)/(209+BU78*1.5)/BL78*BM78,1)</f>
        <v>702870.79999999993</v>
      </c>
      <c r="BS78" s="49">
        <v>200000</v>
      </c>
      <c r="BT78" s="50">
        <v>209</v>
      </c>
      <c r="BU78" s="49">
        <f>IF($BN78="","",
IFERROR(
    IF($BN78&lt;'[1]시간외시간 기준표'!$B$2,0,
        IF($BN78&gt;LOOKUP(9.9E+307,'[1]시간외시간 기준표'!$B$2:$B$999),
            LOOKUP(9.9E+307,'[1]시간외시간 기준표'!$C$2:$C$999),
            LOOKUP($BN78,'[1]시간외시간 기준표'!$B$2:$B$999,'[1]시간외시간 기준표'!$C$2:$C$999)
        )
    ),0)
)</f>
        <v>45</v>
      </c>
      <c r="BV78" s="50">
        <f>(BQ78+BS78)/209</f>
        <v>10412.918660287081</v>
      </c>
      <c r="BW78" s="51">
        <v>30</v>
      </c>
      <c r="BX78" s="51">
        <v>30</v>
      </c>
      <c r="BY78" s="52">
        <v>34550000</v>
      </c>
      <c r="BZ78" s="52">
        <f>CA78*12</f>
        <v>34550055.599999994</v>
      </c>
      <c r="CA78" s="49">
        <f>SUM(CB78:CD78)</f>
        <v>2879171.3</v>
      </c>
      <c r="CB78" s="49">
        <f>ROUNDUP(BY78/12*209/(209+CF78*1.5)/BW78*BX78,-1)-CD78</f>
        <v>1896680</v>
      </c>
      <c r="CC78" s="49">
        <f>ROUNDUP(BY78/12*(CF78*1.5)/(209+CF78*1.5)/BW78*BX78,1)</f>
        <v>782491.29999999993</v>
      </c>
      <c r="CD78" s="49">
        <v>200000</v>
      </c>
      <c r="CE78" s="50">
        <v>209</v>
      </c>
      <c r="CF78" s="49">
        <f>IF(BY78&lt;26000000,0,IF(BY78&lt;26500000,4,IF(BY78&lt;27000000,7,IF(BY78&lt;27500000,9,IF(BY78&lt;28000000,11,IF(BY78&lt;28500000,15,IF(BY78&lt;29000000,17,IF(BY78&lt;29500000,20,IF(BY78&lt;30000000,23,IF(BY78&lt;30500000,25,IF(BY78&lt;31000000,27,IF(BY78&lt;31500000,29,IF(BY78&lt;32000000,33,IF(BY78&lt;32500000,37,IF(BY78&lt;33000000,39,IF(BY78&lt;33500000,42,IF(BY78&lt;34000000,45,IF(BY78&lt;34500000,48,IF(BY78&lt;35000000,52,52)))))))))))))))))))</f>
        <v>52</v>
      </c>
      <c r="CG78" s="50">
        <f>(CB78+CD78)/209</f>
        <v>10031.961722488039</v>
      </c>
      <c r="CH78" s="51">
        <v>30</v>
      </c>
      <c r="CI78" s="51">
        <v>30</v>
      </c>
      <c r="CJ78" s="52">
        <v>33750000</v>
      </c>
      <c r="CK78" s="52">
        <f>CL78*12</f>
        <v>33750070.799999997</v>
      </c>
      <c r="CL78" s="49">
        <f>SUM(CM78:CO78)</f>
        <v>2812505.9</v>
      </c>
      <c r="CM78" s="49">
        <f>ROUNDUP(CJ78/12*209/(209+CQ78*1.5)/CH78*CI78,-1)-CO78</f>
        <v>1925910</v>
      </c>
      <c r="CN78" s="49">
        <f>ROUNDUP(CJ78/12*(CQ78*1.5)/(209+CQ78*1.5)/CH78*CI78,1)</f>
        <v>686595.9</v>
      </c>
      <c r="CO78" s="50">
        <v>200000</v>
      </c>
      <c r="CP78" s="50">
        <v>209</v>
      </c>
      <c r="CQ78" s="50">
        <f>IF(CJ78&lt;26000000,0,IF(CJ78&lt;26500000,4,IF(CJ78&lt;27000000,7,IF(CJ78&lt;27500000,9,IF(CJ78&lt;28000000,11,IF(CJ78&lt;28500000,15,IF(CJ78&lt;29000000,17,IF(CJ78&lt;29500000,20,IF(CJ78&lt;30000000,23,IF(CJ78&lt;30500000,25,IF(CJ78&lt;31000000,27,IF(CJ78&lt;31500000,29,IF(CJ78&lt;32000000,33,IF(CJ78&lt;32500000,37,IF(CJ78&lt;33000000,39,IF(CJ78&lt;33500000,42,IF(CJ78&lt;34000000,45,IF(CJ78&lt;34500000,48,IF(CJ78&lt;35000000,52,52)))))))))))))))))))</f>
        <v>45</v>
      </c>
      <c r="CR78" s="50">
        <f>(CM78+CO78)/209</f>
        <v>10171.818181818182</v>
      </c>
      <c r="CS78" s="52">
        <v>33000000</v>
      </c>
      <c r="CT78" s="53">
        <f>IFERROR(CS78/12,"")</f>
        <v>2750000</v>
      </c>
      <c r="CU78" s="53">
        <f>IFERROR(CT78-CV78-CW78,"")</f>
        <v>1834513.2743362831</v>
      </c>
      <c r="CV78" s="53">
        <f>IFERROR(CT78*(CY78*1.5)/(209+(CY78*1.5)),"")</f>
        <v>715486.72566371679</v>
      </c>
      <c r="CW78" s="54">
        <v>200000</v>
      </c>
      <c r="CX78" s="54">
        <v>209</v>
      </c>
      <c r="CY78" s="54">
        <v>49</v>
      </c>
      <c r="CZ78" s="55">
        <f>SUM(CX78:CY78)</f>
        <v>258</v>
      </c>
      <c r="DA78" s="55">
        <f>IFERROR((CU78/209)+(CW78-(9620*209*0.01))/209,"")</f>
        <v>9638.3132743362839</v>
      </c>
      <c r="DB78" s="56">
        <f>IFERROR((CU78+CW78)/209,"")</f>
        <v>9734.5132743362828</v>
      </c>
      <c r="DC78" s="57">
        <v>2023</v>
      </c>
      <c r="DD78" s="58"/>
      <c r="DE78" s="58"/>
      <c r="DF78" s="57"/>
      <c r="DG78" s="59">
        <f>B78</f>
        <v>230803</v>
      </c>
      <c r="DH78" s="58"/>
      <c r="DI78" s="58"/>
      <c r="DJ78" s="60"/>
      <c r="DK78" s="58"/>
      <c r="DL78" s="61"/>
      <c r="DM78" s="24"/>
    </row>
    <row r="79" spans="1:117" ht="15" customHeight="1">
      <c r="A79" s="25">
        <f>ROW()-2</f>
        <v>77</v>
      </c>
      <c r="B79" s="26">
        <v>230804</v>
      </c>
      <c r="C79" s="27" t="s">
        <v>1156</v>
      </c>
      <c r="D79" s="27" t="s">
        <v>282</v>
      </c>
      <c r="E79" s="27" t="s">
        <v>283</v>
      </c>
      <c r="F79" s="27" t="s">
        <v>196</v>
      </c>
      <c r="G79" s="27" t="s">
        <v>216</v>
      </c>
      <c r="H79" s="27" t="s">
        <v>198</v>
      </c>
      <c r="I79" s="27" t="s">
        <v>389</v>
      </c>
      <c r="J79" s="27" t="str">
        <f>+VLOOKUP($I79,[1]프로젝트현황!$I:$N,5,0)</f>
        <v>서울시</v>
      </c>
      <c r="K79" s="27" t="str">
        <f>+VLOOKUP($I79,[1]프로젝트현황!$I:$N,6,0)</f>
        <v>강남구</v>
      </c>
      <c r="L79" s="28">
        <v>45139</v>
      </c>
      <c r="M79" s="28">
        <v>45170</v>
      </c>
      <c r="N79" s="28"/>
      <c r="O79" s="29"/>
      <c r="P79" s="30" t="s">
        <v>1157</v>
      </c>
      <c r="Q79" s="27" t="s">
        <v>1158</v>
      </c>
      <c r="R79" s="31" t="str">
        <f>LEFT(Q79,6)</f>
        <v>800909</v>
      </c>
      <c r="S79" s="31" t="str">
        <f>MID($Q79,3,2)</f>
        <v>09</v>
      </c>
      <c r="T79" s="31" t="str">
        <f>IF(OR(MID($Q79,8,1)="1",MID($Q79,8,1)="3"),"남자",IF(OR(MID($Q79,8,1)="2",MID($Q79,8,1)="4"),"여자",""))</f>
        <v>남자</v>
      </c>
      <c r="U79" s="31">
        <f ca="1">YEAR(TODAY())-IF(OR(MID($Q79,8,1)="1",MID($Q79,8,1)="2"),19&amp;LEFT($Q79,2),IF(OR(MID($Q79,8,1)="3",MID($Q79,8,1)="4"),20&amp;LEFT($Q79,2),""))+1</f>
        <v>47</v>
      </c>
      <c r="V79" s="31" t="s">
        <v>200</v>
      </c>
      <c r="W79" s="31" t="s">
        <v>201</v>
      </c>
      <c r="X79" s="27" t="s">
        <v>1159</v>
      </c>
      <c r="Y79" s="27"/>
      <c r="Z79" s="27"/>
      <c r="AA79" s="32"/>
      <c r="AB79" s="31" t="s">
        <v>203</v>
      </c>
      <c r="AC79" s="27"/>
      <c r="AD79" s="33" t="str">
        <f ca="1">QUOTIENT(SUMPRODUCT(LEFT($AE79:$AF79,FIND("년",$AE79:$AF79)-1)*12+MID($AE79:$AF79,FIND("년",$AE79:$AF79)+1,FIND("개월",$AE79:$AF79)-FIND("년",$AE79:$AF79)-1)),12)&amp;"년"&amp;MOD(SUMPRODUCT(LEFT($AE79:$AF79,FIND("년",$AE79:$AF79)-1)*12+MID($AE79:$AF79,FIND("년",$AE79:$AF79)+1,FIND("개월",$AE79:$AF79)-FIND("년",$AE79:$AF79)-1)),12)&amp;"개월"</f>
        <v>19년1개월</v>
      </c>
      <c r="AE79" s="33" t="s">
        <v>1160</v>
      </c>
      <c r="AF79" s="34" t="str">
        <f ca="1">DATEDIF($L79,TODAY(),"y")&amp;"년"&amp;DATEDIF($L79,TODAY(),"ym")&amp;"개월"</f>
        <v>2년6개월</v>
      </c>
      <c r="AG79" s="35" t="s">
        <v>1161</v>
      </c>
      <c r="AH79" s="35" t="s">
        <v>1162</v>
      </c>
      <c r="AI79" s="30" t="s">
        <v>270</v>
      </c>
      <c r="AJ79" s="32">
        <v>38749</v>
      </c>
      <c r="AK79" s="36">
        <f ca="1">VALUE(LEFT($AD79,FIND("년",$AD79)-1))</f>
        <v>19</v>
      </c>
      <c r="AL79" s="31" t="str">
        <f ca="1">IF($AI79="학사",IF($AK79&lt;=5,"초급",IF($AK79&lt;9,"중급",IF($AK79&lt;12,"고급",IF($AK79&gt;=12,"특급")))))</f>
        <v>특급</v>
      </c>
      <c r="AM79" s="31" t="str">
        <f>IF(ISNUMBER(SEARCH("산업기사",$AT79)),IF($AK79&gt;=13,"특급",IF($AK79&gt;=10,"고급",IF($AK79&gt;=7,"중급","초급"))),IF(ISNUMBER(SEARCH("기사",$AR79)),IF($AK79&gt;=10,"특급",IF($AK79&gt;=7,"고급",IF($AK79&gt;=4,"중급","초급"))),"미해당"))</f>
        <v>미해당</v>
      </c>
      <c r="AN79" s="27"/>
      <c r="AO79" s="32"/>
      <c r="AP79" s="27"/>
      <c r="AQ79" s="32"/>
      <c r="AR79" s="27"/>
      <c r="AS79" s="27"/>
      <c r="AT79" s="37"/>
      <c r="AU79" s="27"/>
      <c r="AV79" s="38"/>
      <c r="AW79" s="39"/>
      <c r="AX79" s="39"/>
      <c r="AY79" s="40" t="s">
        <v>1163</v>
      </c>
      <c r="AZ79" s="41" t="s">
        <v>1163</v>
      </c>
      <c r="BA79" s="30" t="s">
        <v>1164</v>
      </c>
      <c r="BB79" s="30" t="s">
        <v>1165</v>
      </c>
      <c r="BC79" s="42" t="s">
        <v>507</v>
      </c>
      <c r="BD79" s="42" t="s">
        <v>1166</v>
      </c>
      <c r="BE79" s="43" t="s">
        <v>1167</v>
      </c>
      <c r="BF79" s="42" t="s">
        <v>234</v>
      </c>
      <c r="BG79" s="42" t="s">
        <v>662</v>
      </c>
      <c r="BH79" s="35"/>
      <c r="BI79" s="44" t="s">
        <v>1168</v>
      </c>
      <c r="BJ79" s="45" t="str">
        <f>IFERROR(VLOOKUP($BG79,[1]프로젝트현황!Y:Z,2,0),"기타")</f>
        <v>서남권</v>
      </c>
      <c r="BK79" s="46" t="s">
        <v>1169</v>
      </c>
      <c r="BL79" s="47">
        <v>30</v>
      </c>
      <c r="BM79" s="47">
        <v>30</v>
      </c>
      <c r="BN79" s="48">
        <v>60000000</v>
      </c>
      <c r="BO79" s="48">
        <f>BP79*12</f>
        <v>60000061.199999996</v>
      </c>
      <c r="BP79" s="49">
        <f>SUM(BQ79:BS79)</f>
        <v>5000005.0999999996</v>
      </c>
      <c r="BQ79" s="49">
        <f>ROUNDUP(BN79/12*209/(209+BU79*1.5)/BL79*BM79,-1)-BS79</f>
        <v>3441120</v>
      </c>
      <c r="BR79" s="49">
        <f>ROUNDUP(BN79/12*(BU79*1.5)/(209+BU79*1.5)/BL79*BM79,1)</f>
        <v>1358885.1</v>
      </c>
      <c r="BS79" s="49">
        <v>200000</v>
      </c>
      <c r="BT79" s="50">
        <v>209</v>
      </c>
      <c r="BU79" s="49">
        <f>IF($BN79="","",
IFERROR(
    IF($BN79&lt;'[1]시간외시간 기준표'!$B$2,0,
        IF($BN79&gt;LOOKUP(9.9E+307,'[1]시간외시간 기준표'!$B$2:$B$999),
            LOOKUP(9.9E+307,'[1]시간외시간 기준표'!$C$2:$C$999),
            LOOKUP($BN79,'[1]시간외시간 기준표'!$B$2:$B$999,'[1]시간외시간 기준표'!$C$2:$C$999)
        )
    ),0)
)</f>
        <v>52</v>
      </c>
      <c r="BV79" s="50">
        <f>(BQ79+BS79)/209</f>
        <v>17421.626794258373</v>
      </c>
      <c r="BW79" s="51">
        <v>30</v>
      </c>
      <c r="BX79" s="51">
        <v>30</v>
      </c>
      <c r="BY79" s="52">
        <v>60000000</v>
      </c>
      <c r="BZ79" s="52">
        <f>CA79*12</f>
        <v>60000061.199999996</v>
      </c>
      <c r="CA79" s="49">
        <f>SUM(CB79:CD79)</f>
        <v>5000005.0999999996</v>
      </c>
      <c r="CB79" s="49">
        <f>ROUNDUP(BY79/12*209/(209+CF79*1.5)/BW79*BX79,-1)-CD79</f>
        <v>3441120</v>
      </c>
      <c r="CC79" s="49">
        <f>ROUNDUP(BY79/12*(CF79*1.5)/(209+CF79*1.5)/BW79*BX79,1)</f>
        <v>1358885.1</v>
      </c>
      <c r="CD79" s="49">
        <v>200000</v>
      </c>
      <c r="CE79" s="50">
        <v>209</v>
      </c>
      <c r="CF79" s="49">
        <f>IF(BY79&lt;26000000,0,IF(BY79&lt;26500000,4,IF(BY79&lt;27000000,7,IF(BY79&lt;27500000,9,IF(BY79&lt;28000000,11,IF(BY79&lt;28500000,15,IF(BY79&lt;29000000,17,IF(BY79&lt;29500000,20,IF(BY79&lt;30000000,23,IF(BY79&lt;30500000,25,IF(BY79&lt;31000000,27,IF(BY79&lt;31500000,29,IF(BY79&lt;32000000,33,IF(BY79&lt;32500000,37,IF(BY79&lt;33000000,39,IF(BY79&lt;33500000,42,IF(BY79&lt;34000000,45,IF(BY79&lt;34500000,48,IF(BY79&lt;35000000,52,52)))))))))))))))))))</f>
        <v>52</v>
      </c>
      <c r="CG79" s="50">
        <f>(CB79+CD79)/209</f>
        <v>17421.626794258373</v>
      </c>
      <c r="CH79" s="51">
        <v>30</v>
      </c>
      <c r="CI79" s="51">
        <v>30</v>
      </c>
      <c r="CJ79" s="52">
        <v>50500000</v>
      </c>
      <c r="CK79" s="52">
        <f>CL79*12</f>
        <v>50500059.599999994</v>
      </c>
      <c r="CL79" s="49">
        <f>SUM(CM79:CO79)</f>
        <v>4208338.3</v>
      </c>
      <c r="CM79" s="49">
        <f>ROUNDUP(CJ79/12*209/(209+CQ79*1.5)/CH79*CI79,-1)-CO79</f>
        <v>2864610</v>
      </c>
      <c r="CN79" s="49">
        <f>ROUNDUP(CJ79/12*(CQ79*1.5)/(209+CQ79*1.5)/CH79*CI79,1)</f>
        <v>1143728.3</v>
      </c>
      <c r="CO79" s="50">
        <v>200000</v>
      </c>
      <c r="CP79" s="50">
        <v>209</v>
      </c>
      <c r="CQ79" s="50">
        <f>IF(CJ79&lt;26000000,0,IF(CJ79&lt;26500000,4,IF(CJ79&lt;27000000,7,IF(CJ79&lt;27500000,9,IF(CJ79&lt;28000000,11,IF(CJ79&lt;28500000,15,IF(CJ79&lt;29000000,17,IF(CJ79&lt;29500000,20,IF(CJ79&lt;30000000,23,IF(CJ79&lt;30500000,25,IF(CJ79&lt;31000000,27,IF(CJ79&lt;31500000,29,IF(CJ79&lt;32000000,33,IF(CJ79&lt;32500000,37,IF(CJ79&lt;33000000,39,IF(CJ79&lt;33500000,42,IF(CJ79&lt;34000000,45,IF(CJ79&lt;34500000,48,IF(CJ79&lt;35000000,52,52)))))))))))))))))))</f>
        <v>52</v>
      </c>
      <c r="CR79" s="50">
        <f>(CM79+CO79)/209</f>
        <v>14663.205741626794</v>
      </c>
      <c r="CS79" s="52">
        <v>50000000</v>
      </c>
      <c r="CT79" s="53">
        <f>IFERROR(CS79/12,"")</f>
        <v>4166666.6666666665</v>
      </c>
      <c r="CU79" s="53">
        <f>IFERROR(CT79-CV79-CW79,"")</f>
        <v>2834262.4854819975</v>
      </c>
      <c r="CV79" s="53">
        <f>IFERROR(CT79*(CY79*1.5)/(209+(CY79*1.5)),"")</f>
        <v>1132404.181184669</v>
      </c>
      <c r="CW79" s="54">
        <v>200000</v>
      </c>
      <c r="CX79" s="54">
        <v>209</v>
      </c>
      <c r="CY79" s="54">
        <v>52</v>
      </c>
      <c r="CZ79" s="55">
        <f>SUM(CX79:CY79)</f>
        <v>261</v>
      </c>
      <c r="DA79" s="55">
        <f>IFERROR((CU79/209)+(CW79-(9620*209*0.01))/209,"")</f>
        <v>14421.802322880372</v>
      </c>
      <c r="DB79" s="56">
        <f>IFERROR((CU79+CW79)/209,"")</f>
        <v>14518.002322880371</v>
      </c>
      <c r="DC79" s="57">
        <v>2023</v>
      </c>
      <c r="DD79" s="58"/>
      <c r="DE79" s="58"/>
      <c r="DF79" s="57"/>
      <c r="DG79" s="59">
        <f>B79</f>
        <v>230804</v>
      </c>
      <c r="DH79" s="58"/>
      <c r="DI79" s="58"/>
      <c r="DJ79" s="60"/>
      <c r="DK79" s="58"/>
      <c r="DL79" s="61"/>
      <c r="DM79" s="24"/>
    </row>
    <row r="80" spans="1:117" ht="15" customHeight="1">
      <c r="A80" s="25">
        <f>ROW()-2</f>
        <v>78</v>
      </c>
      <c r="B80" s="26">
        <v>230809</v>
      </c>
      <c r="C80" s="27" t="s">
        <v>1170</v>
      </c>
      <c r="D80" s="27"/>
      <c r="E80" s="27" t="s">
        <v>613</v>
      </c>
      <c r="F80" s="27" t="s">
        <v>196</v>
      </c>
      <c r="G80" s="27" t="s">
        <v>240</v>
      </c>
      <c r="H80" s="27" t="s">
        <v>241</v>
      </c>
      <c r="I80" s="27" t="s">
        <v>455</v>
      </c>
      <c r="J80" s="27" t="str">
        <f>+VLOOKUP($I80,[1]프로젝트현황!$I:$N,5,0)</f>
        <v>경기도</v>
      </c>
      <c r="K80" s="27" t="str">
        <f>+VLOOKUP($I80,[1]프로젝트현황!$I:$N,6,0)</f>
        <v>성남시</v>
      </c>
      <c r="L80" s="28">
        <v>45145</v>
      </c>
      <c r="M80" s="28">
        <v>45145</v>
      </c>
      <c r="N80" s="28"/>
      <c r="O80" s="29"/>
      <c r="P80" s="30" t="s">
        <v>1171</v>
      </c>
      <c r="Q80" s="27" t="s">
        <v>1172</v>
      </c>
      <c r="R80" s="31" t="str">
        <f>LEFT(Q80,6)</f>
        <v>941121</v>
      </c>
      <c r="S80" s="31" t="str">
        <f>MID($Q80,3,2)</f>
        <v>11</v>
      </c>
      <c r="T80" s="31" t="str">
        <f>IF(OR(MID($Q80,8,1)="1",MID($Q80,8,1)="3"),"남자",IF(OR(MID($Q80,8,1)="2",MID($Q80,8,1)="4"),"여자",""))</f>
        <v>여자</v>
      </c>
      <c r="U80" s="31">
        <f ca="1">YEAR(TODAY())-IF(OR(MID($Q80,8,1)="1",MID($Q80,8,1)="2"),19&amp;LEFT($Q80,2),IF(OR(MID($Q80,8,1)="3",MID($Q80,8,1)="4"),20&amp;LEFT($Q80,2),""))+1</f>
        <v>33</v>
      </c>
      <c r="V80" s="31" t="s">
        <v>200</v>
      </c>
      <c r="W80" s="31" t="s">
        <v>201</v>
      </c>
      <c r="X80" s="27" t="s">
        <v>1173</v>
      </c>
      <c r="Y80" s="27"/>
      <c r="Z80" s="27"/>
      <c r="AA80" s="32"/>
      <c r="AB80" s="31" t="s">
        <v>203</v>
      </c>
      <c r="AC80" s="27"/>
      <c r="AD80" s="33" t="str">
        <f ca="1">QUOTIENT(SUMPRODUCT(LEFT($AE80:$AF80,FIND("년",$AE80:$AF80)-1)*12+MID($AE80:$AF80,FIND("년",$AE80:$AF80)+1,FIND("개월",$AE80:$AF80)-FIND("년",$AE80:$AF80)-1)),12)&amp;"년"&amp;MOD(SUMPRODUCT(LEFT($AE80:$AF80,FIND("년",$AE80:$AF80)-1)*12+MID($AE80:$AF80,FIND("년",$AE80:$AF80)+1,FIND("개월",$AE80:$AF80)-FIND("년",$AE80:$AF80)-1)),12)&amp;"개월"</f>
        <v>3년1개월</v>
      </c>
      <c r="AE80" s="33" t="s">
        <v>1174</v>
      </c>
      <c r="AF80" s="34" t="str">
        <f ca="1">DATEDIF($L80,TODAY(),"y")&amp;"년"&amp;DATEDIF($L80,TODAY(),"ym")&amp;"개월"</f>
        <v>2년6개월</v>
      </c>
      <c r="AG80" s="35" t="s">
        <v>1175</v>
      </c>
      <c r="AH80" s="35" t="s">
        <v>1176</v>
      </c>
      <c r="AI80" s="30" t="s">
        <v>205</v>
      </c>
      <c r="AJ80" s="32">
        <v>42048</v>
      </c>
      <c r="AK80" s="36">
        <f ca="1">VALUE(LEFT($AD80,FIND("년",$AD80)-1))</f>
        <v>3</v>
      </c>
      <c r="AL80" s="31" t="str">
        <f ca="1">IF($AI80="전문학사",IF($AK80&lt;=8,"초급",IF($AK80&lt;12,"중급",IF($AK80&lt;15,"고급",IF($AK80&gt;=15,"특급")))))</f>
        <v>초급</v>
      </c>
      <c r="AM80" s="31" t="str">
        <f>IF(ISNUMBER(SEARCH("산업기사",$AT80)),IF($AK80&gt;=13,"특급",IF($AK80&gt;=10,"고급",IF($AK80&gt;=7,"중급","초급"))),IF(ISNUMBER(SEARCH("기사",$AR80)),IF($AK80&gt;=10,"특급",IF($AK80&gt;=7,"고급",IF($AK80&gt;=4,"중급","초급"))),"미해당"))</f>
        <v>미해당</v>
      </c>
      <c r="AN80" s="27"/>
      <c r="AO80" s="32"/>
      <c r="AP80" s="27"/>
      <c r="AQ80" s="32"/>
      <c r="AR80" s="27"/>
      <c r="AS80" s="27"/>
      <c r="AT80" s="37"/>
      <c r="AU80" s="27"/>
      <c r="AV80" s="38"/>
      <c r="AW80" s="39"/>
      <c r="AX80" s="39"/>
      <c r="AY80" s="40" t="s">
        <v>251</v>
      </c>
      <c r="AZ80" s="41" t="s">
        <v>252</v>
      </c>
      <c r="BA80" s="30" t="s">
        <v>230</v>
      </c>
      <c r="BB80" s="30" t="s">
        <v>1177</v>
      </c>
      <c r="BC80" s="42" t="s">
        <v>254</v>
      </c>
      <c r="BD80" s="42" t="s">
        <v>1178</v>
      </c>
      <c r="BE80" s="43" t="s">
        <v>1179</v>
      </c>
      <c r="BF80" s="42" t="s">
        <v>234</v>
      </c>
      <c r="BG80" s="42" t="s">
        <v>464</v>
      </c>
      <c r="BH80" s="35"/>
      <c r="BI80" s="44" t="s">
        <v>1180</v>
      </c>
      <c r="BJ80" s="45" t="str">
        <f>IFERROR(VLOOKUP($BG80,[1]프로젝트현황!Y:Z,2,0),"기타")</f>
        <v>동남권</v>
      </c>
      <c r="BK80" s="46" t="str">
        <f>(IF(BF80="","",BF80&amp;" "))&amp;(IF(BG80="","",BG80&amp;" "))&amp;(IF(BH80="","",BH80&amp;" "))&amp;BI80</f>
        <v>경기도 광주시 광주역8로 14, 202동 604호(역동, 경기광주역행복주택)</v>
      </c>
      <c r="BL80" s="47">
        <v>30</v>
      </c>
      <c r="BM80" s="47">
        <v>30</v>
      </c>
      <c r="BN80" s="48">
        <v>30400000</v>
      </c>
      <c r="BO80" s="48">
        <f>BP80*12</f>
        <v>30400018.799999997</v>
      </c>
      <c r="BP80" s="49">
        <f>SUM(BQ80:BS80)</f>
        <v>2533334.9</v>
      </c>
      <c r="BQ80" s="49">
        <f>ROUNDUP(BN80/12*209/(209+BU80*1.5)/BL80*BM80,-1)-BS80</f>
        <v>1961090</v>
      </c>
      <c r="BR80" s="49">
        <f>ROUNDUP(BN80/12*(BU80*1.5)/(209+BU80*1.5)/BL80*BM80,1)</f>
        <v>372244.89999999997</v>
      </c>
      <c r="BS80" s="49">
        <v>200000</v>
      </c>
      <c r="BT80" s="50">
        <v>209</v>
      </c>
      <c r="BU80" s="49">
        <f>IF($BN80="","",
IFERROR(
    IF($BN80&lt;'[1]시간외시간 기준표'!$B$2,0,
        IF($BN80&gt;LOOKUP(9.9E+307,'[1]시간외시간 기준표'!$B$2:$B$999),
            LOOKUP(9.9E+307,'[1]시간외시간 기준표'!$C$2:$C$999),
            LOOKUP($BN80,'[1]시간외시간 기준표'!$B$2:$B$999,'[1]시간외시간 기준표'!$C$2:$C$999)
        )
    ),0)
)</f>
        <v>24</v>
      </c>
      <c r="BV80" s="50">
        <f>(BQ80+BS80)/209</f>
        <v>10340.143540669857</v>
      </c>
      <c r="BW80" s="51">
        <v>30</v>
      </c>
      <c r="BX80" s="51">
        <v>30</v>
      </c>
      <c r="BY80" s="52">
        <v>30400000</v>
      </c>
      <c r="BZ80" s="52">
        <f>CA80*12</f>
        <v>30400027.200000003</v>
      </c>
      <c r="CA80" s="49">
        <f>SUM(CB80:CD80)</f>
        <v>2533335.6</v>
      </c>
      <c r="CB80" s="49">
        <f>ROUNDUP(BY80/12*209/(209+CF80*1.5)/BW80*BX80,-1)-CD80</f>
        <v>1947940</v>
      </c>
      <c r="CC80" s="49">
        <f>ROUNDUP(BY80/12*(CF80*1.5)/(209+CF80*1.5)/BW80*BX80,1)</f>
        <v>385395.6</v>
      </c>
      <c r="CD80" s="49">
        <v>200000</v>
      </c>
      <c r="CE80" s="50">
        <v>209</v>
      </c>
      <c r="CF80" s="49">
        <f>IF(BY80&lt;26000000,0,IF(BY80&lt;26500000,4,IF(BY80&lt;27000000,7,IF(BY80&lt;27500000,9,IF(BY80&lt;28000000,11,IF(BY80&lt;28500000,15,IF(BY80&lt;29000000,17,IF(BY80&lt;29500000,20,IF(BY80&lt;30000000,23,IF(BY80&lt;30500000,25,IF(BY80&lt;31000000,27,IF(BY80&lt;31500000,29,IF(BY80&lt;32000000,33,IF(BY80&lt;32500000,37,IF(BY80&lt;33000000,39,IF(BY80&lt;33500000,42,IF(BY80&lt;34000000,45,IF(BY80&lt;34500000,48,IF(BY80&lt;35000000,52,52)))))))))))))))))))</f>
        <v>25</v>
      </c>
      <c r="CG80" s="50">
        <f>(CB80+CD80)/209</f>
        <v>10277.224880382775</v>
      </c>
      <c r="CH80" s="51">
        <v>30</v>
      </c>
      <c r="CI80" s="51">
        <v>30</v>
      </c>
      <c r="CJ80" s="52">
        <v>30400000</v>
      </c>
      <c r="CK80" s="52">
        <f>CL80*12</f>
        <v>30400027.200000003</v>
      </c>
      <c r="CL80" s="49">
        <f>SUM(CM80:CO80)</f>
        <v>2533335.6</v>
      </c>
      <c r="CM80" s="49">
        <f>ROUNDUP(CJ80/12*209/(209+CQ80*1.5)/CH80*CI80,-1)-CO80</f>
        <v>1947940</v>
      </c>
      <c r="CN80" s="49">
        <f>ROUNDUP(CJ80/12*(CQ80*1.5)/(209+CQ80*1.5)/CH80*CI80,1)</f>
        <v>385395.6</v>
      </c>
      <c r="CO80" s="50">
        <v>200000</v>
      </c>
      <c r="CP80" s="50">
        <v>209</v>
      </c>
      <c r="CQ80" s="50">
        <f>IF(CJ80&lt;26000000,0,IF(CJ80&lt;26500000,4,IF(CJ80&lt;27000000,7,IF(CJ80&lt;27500000,9,IF(CJ80&lt;28000000,11,IF(CJ80&lt;28500000,15,IF(CJ80&lt;29000000,17,IF(CJ80&lt;29500000,20,IF(CJ80&lt;30000000,23,IF(CJ80&lt;30500000,25,IF(CJ80&lt;31000000,27,IF(CJ80&lt;31500000,29,IF(CJ80&lt;32000000,33,IF(CJ80&lt;32500000,37,IF(CJ80&lt;33000000,39,IF(CJ80&lt;33500000,42,IF(CJ80&lt;34000000,45,IF(CJ80&lt;34500000,48,IF(CJ80&lt;35000000,52,52)))))))))))))))))))</f>
        <v>25</v>
      </c>
      <c r="CR80" s="50">
        <f>(CM80+CO80)/209</f>
        <v>10277.224880382775</v>
      </c>
      <c r="CS80" s="52">
        <v>30000000</v>
      </c>
      <c r="CT80" s="53">
        <f>IFERROR(CS80/12,"")</f>
        <v>2500000</v>
      </c>
      <c r="CU80" s="53">
        <f>IFERROR(CT80-CV80-CW80,"")</f>
        <v>1833073.9299610895</v>
      </c>
      <c r="CV80" s="53">
        <f>IFERROR(CT80*(CY80*1.5)/(209+(CY80*1.5)),"")</f>
        <v>466926.07003891049</v>
      </c>
      <c r="CW80" s="54">
        <v>200000</v>
      </c>
      <c r="CX80" s="54">
        <v>209</v>
      </c>
      <c r="CY80" s="54">
        <v>32</v>
      </c>
      <c r="CZ80" s="55">
        <f>SUM(CX80:CY80)</f>
        <v>241</v>
      </c>
      <c r="DA80" s="55">
        <f>IFERROR((CU80/209)+(CW80-(9620*209*0.01))/209,"")</f>
        <v>9631.4264591439678</v>
      </c>
      <c r="DB80" s="56">
        <f>IFERROR((CU80+CW80)/209,"")</f>
        <v>9727.6264591439685</v>
      </c>
      <c r="DC80" s="57">
        <v>2023</v>
      </c>
      <c r="DD80" s="58"/>
      <c r="DE80" s="58"/>
      <c r="DF80" s="57"/>
      <c r="DG80" s="59">
        <f>B80</f>
        <v>230809</v>
      </c>
      <c r="DH80" s="58"/>
      <c r="DI80" s="58"/>
      <c r="DJ80" s="60"/>
      <c r="DK80" s="58"/>
      <c r="DL80" s="61"/>
      <c r="DM80" s="24"/>
    </row>
    <row r="81" spans="1:117" ht="15" customHeight="1">
      <c r="A81" s="25">
        <f>ROW()-2</f>
        <v>79</v>
      </c>
      <c r="B81" s="26">
        <v>230810</v>
      </c>
      <c r="C81" s="27" t="s">
        <v>1181</v>
      </c>
      <c r="D81" s="27"/>
      <c r="E81" s="27" t="s">
        <v>239</v>
      </c>
      <c r="F81" s="27" t="s">
        <v>196</v>
      </c>
      <c r="G81" s="27" t="s">
        <v>240</v>
      </c>
      <c r="H81" s="27" t="s">
        <v>260</v>
      </c>
      <c r="I81" s="27" t="s">
        <v>565</v>
      </c>
      <c r="J81" s="27" t="str">
        <f>+VLOOKUP($I81,[1]프로젝트현황!$I:$N,5,0)</f>
        <v>서울시</v>
      </c>
      <c r="K81" s="27" t="str">
        <f>+VLOOKUP($I81,[1]프로젝트현황!$I:$N,6,0)</f>
        <v>구로구</v>
      </c>
      <c r="L81" s="28">
        <v>45145</v>
      </c>
      <c r="M81" s="28">
        <v>45145</v>
      </c>
      <c r="N81" s="28"/>
      <c r="O81" s="29"/>
      <c r="P81" s="30" t="s">
        <v>1182</v>
      </c>
      <c r="Q81" s="27" t="s">
        <v>1183</v>
      </c>
      <c r="R81" s="31" t="str">
        <f>LEFT(Q81,6)</f>
        <v>961231</v>
      </c>
      <c r="S81" s="31" t="str">
        <f>MID($Q81,3,2)</f>
        <v>12</v>
      </c>
      <c r="T81" s="31" t="str">
        <f>IF(OR(MID($Q81,8,1)="1",MID($Q81,8,1)="3"),"남자",IF(OR(MID($Q81,8,1)="2",MID($Q81,8,1)="4"),"여자",""))</f>
        <v>여자</v>
      </c>
      <c r="U81" s="31">
        <f ca="1">YEAR(TODAY())-IF(OR(MID($Q81,8,1)="1",MID($Q81,8,1)="2"),19&amp;LEFT($Q81,2),IF(OR(MID($Q81,8,1)="3",MID($Q81,8,1)="4"),20&amp;LEFT($Q81,2),""))+1</f>
        <v>31</v>
      </c>
      <c r="V81" s="31" t="s">
        <v>200</v>
      </c>
      <c r="W81" s="31" t="s">
        <v>201</v>
      </c>
      <c r="X81" s="27" t="s">
        <v>1184</v>
      </c>
      <c r="Y81" s="27"/>
      <c r="Z81" s="27"/>
      <c r="AA81" s="32"/>
      <c r="AB81" s="31" t="s">
        <v>203</v>
      </c>
      <c r="AC81" s="27"/>
      <c r="AD81" s="33" t="str">
        <f ca="1">QUOTIENT(SUMPRODUCT(LEFT($AE81:$AF81,FIND("년",$AE81:$AF81)-1)*12+MID($AE81:$AF81,FIND("년",$AE81:$AF81)+1,FIND("개월",$AE81:$AF81)-FIND("년",$AE81:$AF81)-1)),12)&amp;"년"&amp;MOD(SUMPRODUCT(LEFT($AE81:$AF81,FIND("년",$AE81:$AF81)-1)*12+MID($AE81:$AF81,FIND("년",$AE81:$AF81)+1,FIND("개월",$AE81:$AF81)-FIND("년",$AE81:$AF81)-1)),12)&amp;"개월"</f>
        <v>7년11개월</v>
      </c>
      <c r="AE81" s="33" t="s">
        <v>1185</v>
      </c>
      <c r="AF81" s="34" t="str">
        <f ca="1">DATEDIF($L81,TODAY(),"y")&amp;"년"&amp;DATEDIF($L81,TODAY(),"ym")&amp;"개월"</f>
        <v>2년6개월</v>
      </c>
      <c r="AG81" s="35" t="s">
        <v>1186</v>
      </c>
      <c r="AH81" s="35" t="s">
        <v>702</v>
      </c>
      <c r="AI81" s="30" t="s">
        <v>270</v>
      </c>
      <c r="AJ81" s="32">
        <v>44617</v>
      </c>
      <c r="AK81" s="36">
        <f ca="1">VALUE(LEFT($AD81,FIND("년",$AD81)-1))</f>
        <v>7</v>
      </c>
      <c r="AL81" s="31" t="str">
        <f ca="1">IF($AI81="학사",IF($AK81&lt;=5,"초급",IF($AK81&lt;9,"중급",IF($AK81&lt;12,"고급",IF($AK81&gt;=12,"특급")))))</f>
        <v>중급</v>
      </c>
      <c r="AM81" s="31" t="str">
        <f>IF(ISNUMBER(SEARCH("산업기사",$AT81)),IF($AK81&gt;=13,"특급",IF($AK81&gt;=10,"고급",IF($AK81&gt;=7,"중급","초급"))),IF(ISNUMBER(SEARCH("기사",$AR81)),IF($AK81&gt;=10,"특급",IF($AK81&gt;=7,"고급",IF($AK81&gt;=4,"중급","초급"))),"미해당"))</f>
        <v>미해당</v>
      </c>
      <c r="AN81" s="27"/>
      <c r="AO81" s="32"/>
      <c r="AP81" s="27"/>
      <c r="AQ81" s="32"/>
      <c r="AR81" s="27"/>
      <c r="AS81" s="27"/>
      <c r="AT81" s="37"/>
      <c r="AU81" s="27"/>
      <c r="AV81" s="38"/>
      <c r="AW81" s="39"/>
      <c r="AX81" s="39"/>
      <c r="AY81" s="40" t="s">
        <v>251</v>
      </c>
      <c r="AZ81" s="41" t="s">
        <v>252</v>
      </c>
      <c r="BA81" s="30" t="s">
        <v>230</v>
      </c>
      <c r="BB81" s="30" t="s">
        <v>1187</v>
      </c>
      <c r="BC81" s="42" t="s">
        <v>254</v>
      </c>
      <c r="BD81" s="42" t="s">
        <v>1188</v>
      </c>
      <c r="BE81" s="43" t="s">
        <v>1189</v>
      </c>
      <c r="BF81" s="42" t="s">
        <v>211</v>
      </c>
      <c r="BG81" s="42" t="s">
        <v>535</v>
      </c>
      <c r="BH81" s="35"/>
      <c r="BI81" s="44" t="s">
        <v>1190</v>
      </c>
      <c r="BJ81" s="45" t="str">
        <f>IFERROR(VLOOKUP($BG81,[1]프로젝트현황!Y:Z,2,0),"기타")</f>
        <v>서남권</v>
      </c>
      <c r="BK81" s="46" t="str">
        <f>(IF(BF81="","",BF81&amp;" "))&amp;(IF(BG81="","",BG81&amp;" "))&amp;(IF(BH81="","",BH81&amp;" "))&amp;BI81</f>
        <v>서울시 영등포구 신길로40길 19(신길동)</v>
      </c>
      <c r="BL81" s="47">
        <v>30</v>
      </c>
      <c r="BM81" s="47">
        <v>30</v>
      </c>
      <c r="BN81" s="48">
        <v>34500000</v>
      </c>
      <c r="BO81" s="48">
        <f>BP81*12</f>
        <v>34500043.200000003</v>
      </c>
      <c r="BP81" s="49">
        <f>SUM(BQ81:BS81)</f>
        <v>2875003.6</v>
      </c>
      <c r="BQ81" s="49">
        <f>ROUNDUP(BN81/12*209/(209+BU81*1.5)/BL81*BM81,-1)-BS81</f>
        <v>1973150</v>
      </c>
      <c r="BR81" s="49">
        <f>ROUNDUP(BN81/12*(BU81*1.5)/(209+BU81*1.5)/BL81*BM81,1)</f>
        <v>701853.6</v>
      </c>
      <c r="BS81" s="49">
        <v>200000</v>
      </c>
      <c r="BT81" s="50">
        <v>209</v>
      </c>
      <c r="BU81" s="49">
        <f>IF($BN81="","",
IFERROR(
    IF($BN81&lt;'[1]시간외시간 기준표'!$B$2,0,
        IF($BN81&gt;LOOKUP(9.9E+307,'[1]시간외시간 기준표'!$B$2:$B$999),
            LOOKUP(9.9E+307,'[1]시간외시간 기준표'!$C$2:$C$999),
            LOOKUP($BN81,'[1]시간외시간 기준표'!$B$2:$B$999,'[1]시간외시간 기준표'!$C$2:$C$999)
        )
    ),0)
)</f>
        <v>45</v>
      </c>
      <c r="BV81" s="50">
        <f>(BQ81+BS81)/209</f>
        <v>10397.846889952154</v>
      </c>
      <c r="BW81" s="51">
        <v>30</v>
      </c>
      <c r="BX81" s="51">
        <v>30</v>
      </c>
      <c r="BY81" s="52">
        <v>34500000</v>
      </c>
      <c r="BZ81" s="52">
        <f>CA81*12</f>
        <v>34500106.799999997</v>
      </c>
      <c r="CA81" s="49">
        <f>SUM(CB81:CD81)</f>
        <v>2875008.9</v>
      </c>
      <c r="CB81" s="49">
        <f>ROUNDUP(BY81/12*209/(209+CF81*1.5)/BW81*BX81,-1)-CD81</f>
        <v>1893650</v>
      </c>
      <c r="CC81" s="49">
        <f>ROUNDUP(BY81/12*(CF81*1.5)/(209+CF81*1.5)/BW81*BX81,1)</f>
        <v>781358.9</v>
      </c>
      <c r="CD81" s="49">
        <v>200000</v>
      </c>
      <c r="CE81" s="50">
        <v>209</v>
      </c>
      <c r="CF81" s="49">
        <f>IF(BY81&lt;26000000,0,IF(BY81&lt;26500000,4,IF(BY81&lt;27000000,7,IF(BY81&lt;27500000,9,IF(BY81&lt;28000000,11,IF(BY81&lt;28500000,15,IF(BY81&lt;29000000,17,IF(BY81&lt;29500000,20,IF(BY81&lt;30000000,23,IF(BY81&lt;30500000,25,IF(BY81&lt;31000000,27,IF(BY81&lt;31500000,29,IF(BY81&lt;32000000,33,IF(BY81&lt;32500000,37,IF(BY81&lt;33000000,39,IF(BY81&lt;33500000,42,IF(BY81&lt;34000000,45,IF(BY81&lt;34500000,48,IF(BY81&lt;35000000,52,52)))))))))))))))))))</f>
        <v>52</v>
      </c>
      <c r="CG81" s="50">
        <f>(CB81+CD81)/209</f>
        <v>10017.464114832535</v>
      </c>
      <c r="CH81" s="51">
        <v>30</v>
      </c>
      <c r="CI81" s="51">
        <v>30</v>
      </c>
      <c r="CJ81" s="52">
        <v>33700000</v>
      </c>
      <c r="CK81" s="52">
        <f>CL81*12</f>
        <v>33700064.400000006</v>
      </c>
      <c r="CL81" s="49">
        <f>SUM(CM81:CO81)</f>
        <v>2808338.7</v>
      </c>
      <c r="CM81" s="49">
        <f>ROUNDUP(CJ81/12*209/(209+CQ81*1.5)/CH81*CI81,-1)-CO81</f>
        <v>1922760</v>
      </c>
      <c r="CN81" s="49">
        <f>ROUNDUP(CJ81/12*(CQ81*1.5)/(209+CQ81*1.5)/CH81*CI81,1)</f>
        <v>685578.7</v>
      </c>
      <c r="CO81" s="50">
        <v>200000</v>
      </c>
      <c r="CP81" s="50">
        <v>209</v>
      </c>
      <c r="CQ81" s="50">
        <f>IF(CJ81&lt;26000000,0,IF(CJ81&lt;26500000,4,IF(CJ81&lt;27000000,7,IF(CJ81&lt;27500000,9,IF(CJ81&lt;28000000,11,IF(CJ81&lt;28500000,15,IF(CJ81&lt;29000000,17,IF(CJ81&lt;29500000,20,IF(CJ81&lt;30000000,23,IF(CJ81&lt;30500000,25,IF(CJ81&lt;31000000,27,IF(CJ81&lt;31500000,29,IF(CJ81&lt;32000000,33,IF(CJ81&lt;32500000,37,IF(CJ81&lt;33000000,39,IF(CJ81&lt;33500000,42,IF(CJ81&lt;34000000,45,IF(CJ81&lt;34500000,48,IF(CJ81&lt;35000000,52,52)))))))))))))))))))</f>
        <v>45</v>
      </c>
      <c r="CR81" s="50">
        <f>(CM81+CO81)/209</f>
        <v>10156.746411483253</v>
      </c>
      <c r="CS81" s="52">
        <v>33500000</v>
      </c>
      <c r="CT81" s="53">
        <f>IFERROR(CS81/12,"")</f>
        <v>2791666.6666666665</v>
      </c>
      <c r="CU81" s="53">
        <f>IFERROR(CT81-CV81-CW81,"")</f>
        <v>1832955.8652729383</v>
      </c>
      <c r="CV81" s="53">
        <f>IFERROR(CT81*(CY81*1.5)/(209+(CY81*1.5)),"")</f>
        <v>758710.80139372824</v>
      </c>
      <c r="CW81" s="54">
        <v>200000</v>
      </c>
      <c r="CX81" s="54">
        <v>209</v>
      </c>
      <c r="CY81" s="54">
        <v>52</v>
      </c>
      <c r="CZ81" s="55">
        <f>SUM(CX81:CY81)</f>
        <v>261</v>
      </c>
      <c r="DA81" s="55">
        <f>IFERROR((CU81/209)+(CW81-(9620*209*0.01))/209,"")</f>
        <v>9630.8615563298481</v>
      </c>
      <c r="DB81" s="56">
        <f>IFERROR((CU81+CW81)/209,"")</f>
        <v>9727.0615563298488</v>
      </c>
      <c r="DC81" s="57">
        <v>2023</v>
      </c>
      <c r="DD81" s="58"/>
      <c r="DE81" s="58"/>
      <c r="DF81" s="57"/>
      <c r="DG81" s="59">
        <f>B81</f>
        <v>230810</v>
      </c>
      <c r="DH81" s="58"/>
      <c r="DI81" s="58"/>
      <c r="DJ81" s="60"/>
      <c r="DK81" s="58"/>
      <c r="DL81" s="61"/>
      <c r="DM81" s="24"/>
    </row>
    <row r="82" spans="1:117" ht="15" customHeight="1">
      <c r="A82" s="25">
        <f>ROW()-2</f>
        <v>80</v>
      </c>
      <c r="B82" s="26">
        <v>230812</v>
      </c>
      <c r="C82" s="27" t="s">
        <v>1191</v>
      </c>
      <c r="D82" s="27"/>
      <c r="E82" s="27" t="s">
        <v>613</v>
      </c>
      <c r="F82" s="27" t="s">
        <v>196</v>
      </c>
      <c r="G82" s="27" t="s">
        <v>240</v>
      </c>
      <c r="H82" s="27" t="s">
        <v>241</v>
      </c>
      <c r="I82" s="27" t="s">
        <v>1192</v>
      </c>
      <c r="J82" s="27" t="str">
        <f>+VLOOKUP($I82,[1]프로젝트현황!$I:$N,5,0)</f>
        <v>서울시</v>
      </c>
      <c r="K82" s="27" t="str">
        <f>+VLOOKUP($I82,[1]프로젝트현황!$I:$N,6,0)</f>
        <v>중구</v>
      </c>
      <c r="L82" s="28">
        <v>45166</v>
      </c>
      <c r="M82" s="28">
        <v>45166</v>
      </c>
      <c r="N82" s="28"/>
      <c r="O82" s="29"/>
      <c r="P82" s="30" t="s">
        <v>1193</v>
      </c>
      <c r="Q82" s="27" t="s">
        <v>1194</v>
      </c>
      <c r="R82" s="31" t="str">
        <f>LEFT(Q82,6)</f>
        <v>820723</v>
      </c>
      <c r="S82" s="31" t="str">
        <f>MID($Q82,3,2)</f>
        <v>07</v>
      </c>
      <c r="T82" s="31" t="str">
        <f>IF(OR(MID($Q82,8,1)="1",MID($Q82,8,1)="3"),"남자",IF(OR(MID($Q82,8,1)="2",MID($Q82,8,1)="4"),"여자",""))</f>
        <v>여자</v>
      </c>
      <c r="U82" s="31">
        <f ca="1">YEAR(TODAY())-IF(OR(MID($Q82,8,1)="1",MID($Q82,8,1)="2"),19&amp;LEFT($Q82,2),IF(OR(MID($Q82,8,1)="3",MID($Q82,8,1)="4"),20&amp;LEFT($Q82,2),""))+1</f>
        <v>45</v>
      </c>
      <c r="V82" s="31" t="s">
        <v>200</v>
      </c>
      <c r="W82" s="31" t="s">
        <v>201</v>
      </c>
      <c r="X82" s="27" t="s">
        <v>1195</v>
      </c>
      <c r="Y82" s="27"/>
      <c r="Z82" s="27"/>
      <c r="AA82" s="32"/>
      <c r="AB82" s="31" t="s">
        <v>203</v>
      </c>
      <c r="AC82" s="27"/>
      <c r="AD82" s="33" t="str">
        <f ca="1">QUOTIENT(SUMPRODUCT(LEFT($AE82:$AF82,FIND("년",$AE82:$AF82)-1)*12+MID($AE82:$AF82,FIND("년",$AE82:$AF82)+1,FIND("개월",$AE82:$AF82)-FIND("년",$AE82:$AF82)-1)),12)&amp;"년"&amp;MOD(SUMPRODUCT(LEFT($AE82:$AF82,FIND("년",$AE82:$AF82)-1)*12+MID($AE82:$AF82,FIND("년",$AE82:$AF82)+1,FIND("개월",$AE82:$AF82)-FIND("년",$AE82:$AF82)-1)),12)&amp;"개월"</f>
        <v>2년5개월</v>
      </c>
      <c r="AE82" s="33" t="s">
        <v>543</v>
      </c>
      <c r="AF82" s="34" t="str">
        <f ca="1">DATEDIF($L82,TODAY(),"y")&amp;"년"&amp;DATEDIF($L82,TODAY(),"ym")&amp;"개월"</f>
        <v>2년5개월</v>
      </c>
      <c r="AG82" s="35" t="s">
        <v>870</v>
      </c>
      <c r="AH82" s="35" t="s">
        <v>1196</v>
      </c>
      <c r="AI82" s="30" t="s">
        <v>205</v>
      </c>
      <c r="AJ82" s="32">
        <v>37667</v>
      </c>
      <c r="AK82" s="36">
        <f ca="1">VALUE(LEFT($AD82,FIND("년",$AD82)-1))</f>
        <v>2</v>
      </c>
      <c r="AL82" s="31" t="str">
        <f ca="1">IF($AI82="전문학사",IF($AK82&lt;=8,"초급",IF($AK82&lt;12,"중급",IF($AK82&lt;15,"고급",IF($AK82&gt;=15,"특급")))))</f>
        <v>초급</v>
      </c>
      <c r="AM82" s="31" t="str">
        <f>IF(ISNUMBER(SEARCH("산업기사",$AT82)),IF($AK82&gt;=13,"특급",IF($AK82&gt;=10,"고급",IF($AK82&gt;=7,"중급","초급"))),IF(ISNUMBER(SEARCH("기사",$AR82)),IF($AK82&gt;=10,"특급",IF($AK82&gt;=7,"고급",IF($AK82&gt;=4,"중급","초급"))),"미해당"))</f>
        <v>미해당</v>
      </c>
      <c r="AN82" s="27" t="s">
        <v>135</v>
      </c>
      <c r="AO82" s="32">
        <v>45094</v>
      </c>
      <c r="AP82" s="27"/>
      <c r="AQ82" s="32"/>
      <c r="AR82" s="27"/>
      <c r="AS82" s="27"/>
      <c r="AT82" s="37"/>
      <c r="AU82" s="27"/>
      <c r="AV82" s="38" t="s">
        <v>1002</v>
      </c>
      <c r="AW82" s="39" t="s">
        <v>737</v>
      </c>
      <c r="AX82" s="39">
        <v>44988</v>
      </c>
      <c r="AY82" s="40" t="s">
        <v>251</v>
      </c>
      <c r="AZ82" s="41" t="s">
        <v>252</v>
      </c>
      <c r="BA82" s="30" t="s">
        <v>230</v>
      </c>
      <c r="BB82" s="30" t="s">
        <v>1197</v>
      </c>
      <c r="BC82" s="42" t="s">
        <v>507</v>
      </c>
      <c r="BD82" s="42" t="s">
        <v>1198</v>
      </c>
      <c r="BE82" s="43" t="s">
        <v>1199</v>
      </c>
      <c r="BF82" s="42" t="s">
        <v>211</v>
      </c>
      <c r="BG82" s="42" t="s">
        <v>1200</v>
      </c>
      <c r="BH82" s="35"/>
      <c r="BI82" s="44" t="s">
        <v>1201</v>
      </c>
      <c r="BJ82" s="45" t="str">
        <f>IFERROR(VLOOKUP($BG82,[1]프로젝트현황!Y:Z,2,0),"기타")</f>
        <v>동북권</v>
      </c>
      <c r="BK82" s="46" t="str">
        <f>(IF(BF82="","",BF82&amp;" "))&amp;(IF(BG82="","",BG82&amp;" "))&amp;(IF(BH82="","",BH82&amp;" "))&amp;BI82</f>
        <v>서울시 노원구 중계로 230, 508동 1001호(중계동, 주공아파트)</v>
      </c>
      <c r="BL82" s="47">
        <v>30</v>
      </c>
      <c r="BM82" s="47">
        <v>30</v>
      </c>
      <c r="BN82" s="48">
        <v>29200000</v>
      </c>
      <c r="BO82" s="48">
        <f>BP82*12</f>
        <v>29200027.200000003</v>
      </c>
      <c r="BP82" s="49">
        <f>SUM(BQ82:BS82)</f>
        <v>2433335.6</v>
      </c>
      <c r="BQ82" s="49">
        <f>ROUNDUP(BN82/12*209/(209+BU82*1.5)/BL82*BM82,-1)-BS82</f>
        <v>1968730</v>
      </c>
      <c r="BR82" s="49">
        <f>ROUNDUP(BN82/12*(BU82*1.5)/(209+BU82*1.5)/BL82*BM82,1)</f>
        <v>264605.59999999998</v>
      </c>
      <c r="BS82" s="49">
        <v>200000</v>
      </c>
      <c r="BT82" s="50">
        <v>209</v>
      </c>
      <c r="BU82" s="49">
        <f>IF($BN82="","",
IFERROR(
    IF($BN82&lt;'[1]시간외시간 기준표'!$B$2,0,
        IF($BN82&gt;LOOKUP(9.9E+307,'[1]시간외시간 기준표'!$B$2:$B$999),
            LOOKUP(9.9E+307,'[1]시간외시간 기준표'!$C$2:$C$999),
            LOOKUP($BN82,'[1]시간외시간 기준표'!$B$2:$B$999,'[1]시간외시간 기준표'!$C$2:$C$999)
        )
    ),0)
)</f>
        <v>17</v>
      </c>
      <c r="BV82" s="50">
        <f>(BQ82+BS82)/209</f>
        <v>10376.698564593302</v>
      </c>
      <c r="BW82" s="51">
        <v>30</v>
      </c>
      <c r="BX82" s="51">
        <v>30</v>
      </c>
      <c r="BY82" s="52">
        <v>29200000</v>
      </c>
      <c r="BZ82" s="52">
        <f>CA82*12</f>
        <v>29200072.799999997</v>
      </c>
      <c r="CA82" s="49">
        <f>SUM(CB82:CD82)</f>
        <v>2433339.4</v>
      </c>
      <c r="CB82" s="49">
        <f>ROUNDUP(BY82/12*209/(209+CF82*1.5)/BW82*BX82,-1)-CD82</f>
        <v>1927900</v>
      </c>
      <c r="CC82" s="49">
        <f>ROUNDUP(BY82/12*(CF82*1.5)/(209+CF82*1.5)/BW82*BX82,1)</f>
        <v>305439.39999999997</v>
      </c>
      <c r="CD82" s="49">
        <v>200000</v>
      </c>
      <c r="CE82" s="50">
        <v>209</v>
      </c>
      <c r="CF82" s="49">
        <f>IF(BY82&lt;26000000,0,IF(BY82&lt;26500000,4,IF(BY82&lt;27000000,7,IF(BY82&lt;27500000,9,IF(BY82&lt;28000000,11,IF(BY82&lt;28500000,15,IF(BY82&lt;29000000,17,IF(BY82&lt;29500000,20,IF(BY82&lt;30000000,23,IF(BY82&lt;30500000,25,IF(BY82&lt;31000000,27,IF(BY82&lt;31500000,29,IF(BY82&lt;32000000,33,IF(BY82&lt;32500000,37,IF(BY82&lt;33000000,39,IF(BY82&lt;33500000,42,IF(BY82&lt;34000000,45,IF(BY82&lt;34500000,48,IF(BY82&lt;35000000,52,52)))))))))))))))))))</f>
        <v>20</v>
      </c>
      <c r="CG82" s="50">
        <f>(CB82+CD82)/209</f>
        <v>10181.33971291866</v>
      </c>
      <c r="CH82" s="51">
        <v>30</v>
      </c>
      <c r="CI82" s="51">
        <v>30</v>
      </c>
      <c r="CJ82" s="52">
        <v>28400000</v>
      </c>
      <c r="CK82" s="52">
        <f>CL82*12</f>
        <v>28400059.200000003</v>
      </c>
      <c r="CL82" s="49">
        <f>SUM(CM82:CO82)</f>
        <v>2366671.6</v>
      </c>
      <c r="CM82" s="49">
        <f>ROUNDUP(CJ82/12*209/(209+CQ82*1.5)/CH82*CI82,-1)-CO82</f>
        <v>1936650</v>
      </c>
      <c r="CN82" s="49">
        <f>ROUNDUP(CJ82/12*(CQ82*1.5)/(209+CQ82*1.5)/CH82*CI82,1)</f>
        <v>230021.6</v>
      </c>
      <c r="CO82" s="50">
        <v>200000</v>
      </c>
      <c r="CP82" s="50">
        <v>209</v>
      </c>
      <c r="CQ82" s="50">
        <f>IF(CJ82&lt;26000000,0,IF(CJ82&lt;26500000,4,IF(CJ82&lt;27000000,7,IF(CJ82&lt;27500000,9,IF(CJ82&lt;28000000,11,IF(CJ82&lt;28500000,15,IF(CJ82&lt;29000000,17,IF(CJ82&lt;29500000,20,IF(CJ82&lt;30000000,23,IF(CJ82&lt;30500000,25,IF(CJ82&lt;31000000,27,IF(CJ82&lt;31500000,29,IF(CJ82&lt;32000000,33,IF(CJ82&lt;32500000,37,IF(CJ82&lt;33000000,39,IF(CJ82&lt;33500000,42,IF(CJ82&lt;34000000,45,IF(CJ82&lt;34500000,48,IF(CJ82&lt;35000000,52,52)))))))))))))))))))</f>
        <v>15</v>
      </c>
      <c r="CR82" s="50">
        <f>(CM82+CO82)/209</f>
        <v>10223.205741626794</v>
      </c>
      <c r="CS82" s="52">
        <v>28000000</v>
      </c>
      <c r="CT82" s="53">
        <f>IFERROR(CS82/12,"")</f>
        <v>2333333.3333333335</v>
      </c>
      <c r="CU82" s="53">
        <f>IFERROR(CT82-CV82-CW82,"")</f>
        <v>1840446.3040446306</v>
      </c>
      <c r="CV82" s="53">
        <f>IFERROR(CT82*(CY82*1.5)/(209+(CY82*1.5)),"")</f>
        <v>292887.02928870294</v>
      </c>
      <c r="CW82" s="54">
        <v>200000</v>
      </c>
      <c r="CX82" s="54">
        <v>209</v>
      </c>
      <c r="CY82" s="54">
        <v>20</v>
      </c>
      <c r="CZ82" s="55">
        <f>SUM(CX82:CY82)</f>
        <v>229</v>
      </c>
      <c r="DA82" s="55">
        <f>IFERROR((CU82/209)+(CW82-(9620*209*0.01))/209,"")</f>
        <v>9666.7009762900998</v>
      </c>
      <c r="DB82" s="56">
        <f>IFERROR((CU82+CW82)/209,"")</f>
        <v>9762.9009762900987</v>
      </c>
      <c r="DC82" s="57">
        <v>2023</v>
      </c>
      <c r="DD82" s="58"/>
      <c r="DE82" s="58"/>
      <c r="DF82" s="57"/>
      <c r="DG82" s="59">
        <f>B82</f>
        <v>230812</v>
      </c>
      <c r="DH82" s="58"/>
      <c r="DI82" s="58"/>
      <c r="DJ82" s="60"/>
      <c r="DK82" s="58"/>
      <c r="DL82" s="61"/>
      <c r="DM82" s="24"/>
    </row>
    <row r="83" spans="1:117" ht="15" customHeight="1">
      <c r="A83" s="25">
        <f>ROW()-2</f>
        <v>81</v>
      </c>
      <c r="B83" s="26">
        <v>230901</v>
      </c>
      <c r="C83" s="27" t="s">
        <v>1202</v>
      </c>
      <c r="D83" s="27"/>
      <c r="E83" s="27" t="s">
        <v>239</v>
      </c>
      <c r="F83" s="27" t="s">
        <v>196</v>
      </c>
      <c r="G83" s="27" t="s">
        <v>240</v>
      </c>
      <c r="H83" s="27" t="s">
        <v>260</v>
      </c>
      <c r="I83" s="27" t="s">
        <v>948</v>
      </c>
      <c r="J83" s="27" t="str">
        <f>+VLOOKUP($I83,[1]프로젝트현황!$I:$N,5,0)</f>
        <v>서울시</v>
      </c>
      <c r="K83" s="27" t="str">
        <f>+VLOOKUP($I83,[1]프로젝트현황!$I:$N,6,0)</f>
        <v>구로구</v>
      </c>
      <c r="L83" s="28">
        <v>45173</v>
      </c>
      <c r="M83" s="28">
        <v>45173</v>
      </c>
      <c r="N83" s="28"/>
      <c r="O83" s="29"/>
      <c r="P83" s="30" t="s">
        <v>1203</v>
      </c>
      <c r="Q83" s="27" t="s">
        <v>1204</v>
      </c>
      <c r="R83" s="31" t="str">
        <f>LEFT(Q83,6)</f>
        <v>941015</v>
      </c>
      <c r="S83" s="31" t="str">
        <f>MID($Q83,3,2)</f>
        <v>10</v>
      </c>
      <c r="T83" s="31" t="str">
        <f>IF(OR(MID($Q83,8,1)="1",MID($Q83,8,1)="3"),"남자",IF(OR(MID($Q83,8,1)="2",MID($Q83,8,1)="4"),"여자",""))</f>
        <v>여자</v>
      </c>
      <c r="U83" s="31">
        <f ca="1">YEAR(TODAY())-IF(OR(MID($Q83,8,1)="1",MID($Q83,8,1)="2"),19&amp;LEFT($Q83,2),IF(OR(MID($Q83,8,1)="3",MID($Q83,8,1)="4"),20&amp;LEFT($Q83,2),""))+1</f>
        <v>33</v>
      </c>
      <c r="V83" s="31" t="s">
        <v>200</v>
      </c>
      <c r="W83" s="31" t="s">
        <v>201</v>
      </c>
      <c r="X83" s="27" t="s">
        <v>1205</v>
      </c>
      <c r="Y83" s="27"/>
      <c r="Z83" s="27"/>
      <c r="AA83" s="32"/>
      <c r="AB83" s="31" t="s">
        <v>203</v>
      </c>
      <c r="AC83" s="27"/>
      <c r="AD83" s="33" t="str">
        <f ca="1">QUOTIENT(SUMPRODUCT(LEFT($AE83:$AF83,FIND("년",$AE83:$AF83)-1)*12+MID($AE83:$AF83,FIND("년",$AE83:$AF83)+1,FIND("개월",$AE83:$AF83)-FIND("년",$AE83:$AF83)-1)),12)&amp;"년"&amp;MOD(SUMPRODUCT(LEFT($AE83:$AF83,FIND("년",$AE83:$AF83)-1)*12+MID($AE83:$AF83,FIND("년",$AE83:$AF83)+1,FIND("개월",$AE83:$AF83)-FIND("년",$AE83:$AF83)-1)),12)&amp;"개월"</f>
        <v>2년5개월</v>
      </c>
      <c r="AE83" s="33" t="s">
        <v>543</v>
      </c>
      <c r="AF83" s="34" t="str">
        <f ca="1">DATEDIF($L83,TODAY(),"y")&amp;"년"&amp;DATEDIF($L83,TODAY(),"ym")&amp;"개월"</f>
        <v>2년5개월</v>
      </c>
      <c r="AG83" s="35" t="s">
        <v>1206</v>
      </c>
      <c r="AH83" s="35" t="s">
        <v>1207</v>
      </c>
      <c r="AI83" s="30" t="s">
        <v>270</v>
      </c>
      <c r="AJ83" s="32">
        <v>43335</v>
      </c>
      <c r="AK83" s="36">
        <f ca="1">VALUE(LEFT($AD83,FIND("년",$AD83)-1))</f>
        <v>2</v>
      </c>
      <c r="AL83" s="31" t="str">
        <f ca="1">IF($AI83="학사",IF($AK83&lt;=5,"초급",IF($AK83&lt;9,"중급",IF($AK83&lt;12,"고급",IF($AK83&gt;=12,"특급")))))</f>
        <v>초급</v>
      </c>
      <c r="AM83" s="31" t="str">
        <f>IF(ISNUMBER(SEARCH("산업기사",$AT83)),IF($AK83&gt;=13,"특급",IF($AK83&gt;=10,"고급",IF($AK83&gt;=7,"중급","초급"))),IF(ISNUMBER(SEARCH("기사",$AR83)),IF($AK83&gt;=10,"특급",IF($AK83&gt;=7,"고급",IF($AK83&gt;=4,"중급","초급"))),"미해당"))</f>
        <v>미해당</v>
      </c>
      <c r="AN83" s="27"/>
      <c r="AO83" s="32"/>
      <c r="AP83" s="27" t="s">
        <v>137</v>
      </c>
      <c r="AQ83" s="32">
        <v>45407</v>
      </c>
      <c r="AR83" s="27"/>
      <c r="AS83" s="27"/>
      <c r="AT83" s="37"/>
      <c r="AU83" s="27"/>
      <c r="AV83" s="38"/>
      <c r="AW83" s="39"/>
      <c r="AX83" s="39"/>
      <c r="AY83" s="40" t="s">
        <v>251</v>
      </c>
      <c r="AZ83" s="41" t="s">
        <v>252</v>
      </c>
      <c r="BA83" s="30" t="s">
        <v>230</v>
      </c>
      <c r="BB83" s="30" t="s">
        <v>1208</v>
      </c>
      <c r="BC83" s="42" t="s">
        <v>254</v>
      </c>
      <c r="BD83" s="42" t="s">
        <v>1209</v>
      </c>
      <c r="BE83" s="43" t="s">
        <v>1210</v>
      </c>
      <c r="BF83" s="42" t="s">
        <v>234</v>
      </c>
      <c r="BG83" s="42" t="s">
        <v>662</v>
      </c>
      <c r="BH83" s="35"/>
      <c r="BI83" s="44" t="s">
        <v>1211</v>
      </c>
      <c r="BJ83" s="45" t="str">
        <f>IFERROR(VLOOKUP($BG83,[1]프로젝트현황!Y:Z,2,0),"기타")</f>
        <v>서남권</v>
      </c>
      <c r="BK83" s="46" t="str">
        <f>(IF(BF83="","",BF83&amp;" "))&amp;(IF(BG83="","",BG83&amp;" "))&amp;(IF(BH83="","",BH83&amp;" "))&amp;BI83</f>
        <v>경기도 광명시 목감로 188, 301호(광명동, 신우빌라)</v>
      </c>
      <c r="BL83" s="47">
        <v>30</v>
      </c>
      <c r="BM83" s="47">
        <v>30</v>
      </c>
      <c r="BN83" s="48">
        <v>30100000</v>
      </c>
      <c r="BO83" s="48">
        <f>BP83*12</f>
        <v>30100026</v>
      </c>
      <c r="BP83" s="49">
        <f>SUM(BQ83:BS83)</f>
        <v>2508335.5</v>
      </c>
      <c r="BQ83" s="49">
        <f>ROUNDUP(BN83/12*209/(209+BU83*1.5)/BL83*BM83,-1)-BS83</f>
        <v>1966290</v>
      </c>
      <c r="BR83" s="49">
        <f>ROUNDUP(BN83/12*(BU83*1.5)/(209+BU83*1.5)/BL83*BM83,1)</f>
        <v>342045.5</v>
      </c>
      <c r="BS83" s="49">
        <v>200000</v>
      </c>
      <c r="BT83" s="50">
        <v>209</v>
      </c>
      <c r="BU83" s="49">
        <f>IF($BN83="","",
IFERROR(
    IF($BN83&lt;'[1]시간외시간 기준표'!$B$2,0,
        IF($BN83&gt;LOOKUP(9.9E+307,'[1]시간외시간 기준표'!$B$2:$B$999),
            LOOKUP(9.9E+307,'[1]시간외시간 기준표'!$C$2:$C$999),
            LOOKUP($BN83,'[1]시간외시간 기준표'!$B$2:$B$999,'[1]시간외시간 기준표'!$C$2:$C$999)
        )
    ),0)
)</f>
        <v>22</v>
      </c>
      <c r="BV83" s="50">
        <f>(BQ83+BS83)/209</f>
        <v>10365.023923444976</v>
      </c>
      <c r="BW83" s="51">
        <v>30</v>
      </c>
      <c r="BX83" s="51">
        <v>30</v>
      </c>
      <c r="BY83" s="52">
        <v>30100000</v>
      </c>
      <c r="BZ83" s="52">
        <f>CA83*12</f>
        <v>30100107.599999998</v>
      </c>
      <c r="CA83" s="49">
        <f>SUM(CB83:CD83)</f>
        <v>2508342.2999999998</v>
      </c>
      <c r="CB83" s="49">
        <f>ROUNDUP(BY83/12*209/(209+CF83*1.5)/BW83*BX83,-1)-CD83</f>
        <v>1926750</v>
      </c>
      <c r="CC83" s="49">
        <f>ROUNDUP(BY83/12*(CF83*1.5)/(209+CF83*1.5)/BW83*BX83,1)</f>
        <v>381592.3</v>
      </c>
      <c r="CD83" s="49">
        <v>200000</v>
      </c>
      <c r="CE83" s="50">
        <v>209</v>
      </c>
      <c r="CF83" s="49">
        <f>IF(BY83&lt;26000000,0,IF(BY83&lt;26500000,4,IF(BY83&lt;27000000,7,IF(BY83&lt;27500000,9,IF(BY83&lt;28000000,11,IF(BY83&lt;28500000,15,IF(BY83&lt;29000000,17,IF(BY83&lt;29500000,20,IF(BY83&lt;30000000,23,IF(BY83&lt;30500000,25,IF(BY83&lt;31000000,27,IF(BY83&lt;31500000,29,IF(BY83&lt;32000000,33,IF(BY83&lt;32500000,37,IF(BY83&lt;33000000,39,IF(BY83&lt;33500000,42,IF(BY83&lt;34000000,45,IF(BY83&lt;34500000,48,IF(BY83&lt;35000000,52,52)))))))))))))))))))</f>
        <v>25</v>
      </c>
      <c r="CG83" s="50">
        <f>(CB83+CD83)/209</f>
        <v>10175.837320574163</v>
      </c>
      <c r="CH83" s="51">
        <v>30</v>
      </c>
      <c r="CI83" s="51">
        <v>30</v>
      </c>
      <c r="CJ83" s="52">
        <v>29300000</v>
      </c>
      <c r="CK83" s="52">
        <f>CL83*12</f>
        <v>29300104.799999997</v>
      </c>
      <c r="CL83" s="49">
        <f>SUM(CM83:CO83)</f>
        <v>2441675.4</v>
      </c>
      <c r="CM83" s="49">
        <f>ROUNDUP(CJ83/12*209/(209+CQ83*1.5)/CH83*CI83,-1)-CO83</f>
        <v>1935190</v>
      </c>
      <c r="CN83" s="49">
        <f>ROUNDUP(CJ83/12*(CQ83*1.5)/(209+CQ83*1.5)/CH83*CI83,1)</f>
        <v>306485.39999999997</v>
      </c>
      <c r="CO83" s="50">
        <v>200000</v>
      </c>
      <c r="CP83" s="50">
        <v>209</v>
      </c>
      <c r="CQ83" s="50">
        <f>IF(CJ83&lt;26000000,0,IF(CJ83&lt;26500000,4,IF(CJ83&lt;27000000,7,IF(CJ83&lt;27500000,9,IF(CJ83&lt;28000000,11,IF(CJ83&lt;28500000,15,IF(CJ83&lt;29000000,17,IF(CJ83&lt;29500000,20,IF(CJ83&lt;30000000,23,IF(CJ83&lt;30500000,25,IF(CJ83&lt;31000000,27,IF(CJ83&lt;31500000,29,IF(CJ83&lt;32000000,33,IF(CJ83&lt;32500000,37,IF(CJ83&lt;33000000,39,IF(CJ83&lt;33500000,42,IF(CJ83&lt;34000000,45,IF(CJ83&lt;34500000,48,IF(CJ83&lt;35000000,52,52)))))))))))))))))))</f>
        <v>20</v>
      </c>
      <c r="CR83" s="50">
        <f>(CM83+CO83)/209</f>
        <v>10216.22009569378</v>
      </c>
      <c r="CS83" s="52">
        <v>29000000</v>
      </c>
      <c r="CT83" s="53">
        <f>IFERROR(CS83/12,"")</f>
        <v>2416666.6666666665</v>
      </c>
      <c r="CU83" s="53">
        <f>IFERROR(CT83-CV83-CW83,"")</f>
        <v>1836626.3440860214</v>
      </c>
      <c r="CV83" s="53">
        <f>IFERROR(CT83*(CY83*1.5)/(209+(CY83*1.5)),"")</f>
        <v>380040.32258064515</v>
      </c>
      <c r="CW83" s="54">
        <v>200000</v>
      </c>
      <c r="CX83" s="54">
        <v>209</v>
      </c>
      <c r="CY83" s="54">
        <v>26</v>
      </c>
      <c r="CZ83" s="55">
        <f>SUM(CX83:CY83)</f>
        <v>235</v>
      </c>
      <c r="DA83" s="55">
        <f>IFERROR((CU83/209)+(CW83-(9620*209*0.01))/209,"")</f>
        <v>9648.423655913979</v>
      </c>
      <c r="DB83" s="56">
        <f>IFERROR((CU83+CW83)/209,"")</f>
        <v>9744.6236559139779</v>
      </c>
      <c r="DC83" s="57">
        <v>2023</v>
      </c>
      <c r="DD83" s="58"/>
      <c r="DE83" s="58"/>
      <c r="DF83" s="57"/>
      <c r="DG83" s="59">
        <f>B83</f>
        <v>230901</v>
      </c>
      <c r="DH83" s="58"/>
      <c r="DI83" s="58"/>
      <c r="DJ83" s="60"/>
      <c r="DK83" s="58"/>
      <c r="DL83" s="61"/>
      <c r="DM83" s="24"/>
    </row>
    <row r="84" spans="1:117" ht="15" customHeight="1">
      <c r="A84" s="25">
        <f>ROW()-2</f>
        <v>82</v>
      </c>
      <c r="B84" s="26">
        <v>230906</v>
      </c>
      <c r="C84" s="27" t="s">
        <v>1212</v>
      </c>
      <c r="D84" s="27"/>
      <c r="E84" s="27" t="s">
        <v>613</v>
      </c>
      <c r="F84" s="27" t="s">
        <v>196</v>
      </c>
      <c r="G84" s="27" t="s">
        <v>240</v>
      </c>
      <c r="H84" s="27" t="s">
        <v>217</v>
      </c>
      <c r="I84" s="27" t="s">
        <v>479</v>
      </c>
      <c r="J84" s="27" t="str">
        <f>+VLOOKUP($I84,[1]프로젝트현황!$I:$N,5,0)</f>
        <v>경기도</v>
      </c>
      <c r="K84" s="27" t="str">
        <f>+VLOOKUP($I84,[1]프로젝트현황!$I:$N,6,0)</f>
        <v>성남시</v>
      </c>
      <c r="L84" s="28">
        <v>45188</v>
      </c>
      <c r="M84" s="28">
        <v>45188</v>
      </c>
      <c r="N84" s="28"/>
      <c r="O84" s="29"/>
      <c r="P84" s="30" t="s">
        <v>1213</v>
      </c>
      <c r="Q84" s="27" t="s">
        <v>1214</v>
      </c>
      <c r="R84" s="31" t="str">
        <f>LEFT(Q84,6)</f>
        <v>001115</v>
      </c>
      <c r="S84" s="31" t="str">
        <f>MID($Q84,3,2)</f>
        <v>11</v>
      </c>
      <c r="T84" s="31" t="str">
        <f>IF(OR(MID($Q84,8,1)="1",MID($Q84,8,1)="3"),"남자",IF(OR(MID($Q84,8,1)="2",MID($Q84,8,1)="4"),"여자",""))</f>
        <v>여자</v>
      </c>
      <c r="U84" s="31">
        <f ca="1">YEAR(TODAY())-IF(OR(MID($Q84,8,1)="1",MID($Q84,8,1)="2"),19&amp;LEFT($Q84,2),IF(OR(MID($Q84,8,1)="3",MID($Q84,8,1)="4"),20&amp;LEFT($Q84,2),""))+1</f>
        <v>27</v>
      </c>
      <c r="V84" s="31" t="s">
        <v>200</v>
      </c>
      <c r="W84" s="31" t="s">
        <v>201</v>
      </c>
      <c r="X84" s="27" t="s">
        <v>1118</v>
      </c>
      <c r="Y84" s="27"/>
      <c r="Z84" s="27"/>
      <c r="AA84" s="32"/>
      <c r="AB84" s="31" t="s">
        <v>203</v>
      </c>
      <c r="AC84" s="27"/>
      <c r="AD84" s="33" t="str">
        <f ca="1">QUOTIENT(SUMPRODUCT(LEFT($AE84:$AF84,FIND("년",$AE84:$AF84)-1)*12+MID($AE84:$AF84,FIND("년",$AE84:$AF84)+1,FIND("개월",$AE84:$AF84)-FIND("년",$AE84:$AF84)-1)),12)&amp;"년"&amp;MOD(SUMPRODUCT(LEFT($AE84:$AF84,FIND("년",$AE84:$AF84)-1)*12+MID($AE84:$AF84,FIND("년",$AE84:$AF84)+1,FIND("개월",$AE84:$AF84)-FIND("년",$AE84:$AF84)-1)),12)&amp;"개월"</f>
        <v>3년0개월</v>
      </c>
      <c r="AE84" s="33" t="s">
        <v>1043</v>
      </c>
      <c r="AF84" s="34" t="str">
        <f ca="1">DATEDIF($L84,TODAY(),"y")&amp;"년"&amp;DATEDIF($L84,TODAY(),"ym")&amp;"개월"</f>
        <v>2년4개월</v>
      </c>
      <c r="AG84" s="35" t="s">
        <v>1115</v>
      </c>
      <c r="AH84" s="35" t="s">
        <v>658</v>
      </c>
      <c r="AI84" s="30" t="s">
        <v>270</v>
      </c>
      <c r="AJ84" s="32">
        <v>44979</v>
      </c>
      <c r="AK84" s="36">
        <f ca="1">VALUE(LEFT($AD84,FIND("년",$AD84)-1))</f>
        <v>3</v>
      </c>
      <c r="AL84" s="31" t="str">
        <f ca="1">IF($AI84="학사",IF($AK84&lt;=5,"초급",IF($AK84&lt;9,"중급",IF($AK84&lt;12,"고급",IF($AK84&gt;=12,"특급")))))</f>
        <v>초급</v>
      </c>
      <c r="AM84" s="31" t="str">
        <f>IF(ISNUMBER(SEARCH("산업기사",$AT84)),IF($AK84&gt;=13,"특급",IF($AK84&gt;=10,"고급",IF($AK84&gt;=7,"중급","초급"))),IF(ISNUMBER(SEARCH("기사",$AR84)),IF($AK84&gt;=10,"특급",IF($AK84&gt;=7,"고급",IF($AK84&gt;=4,"중급","초급"))),"미해당"))</f>
        <v>미해당</v>
      </c>
      <c r="AN84" s="27"/>
      <c r="AO84" s="32"/>
      <c r="AP84" s="27"/>
      <c r="AQ84" s="32"/>
      <c r="AR84" s="27"/>
      <c r="AS84" s="27"/>
      <c r="AT84" s="37"/>
      <c r="AU84" s="27"/>
      <c r="AV84" s="38"/>
      <c r="AW84" s="39"/>
      <c r="AX84" s="39"/>
      <c r="AY84" s="40" t="s">
        <v>251</v>
      </c>
      <c r="AZ84" s="41" t="s">
        <v>252</v>
      </c>
      <c r="BA84" s="30" t="s">
        <v>230</v>
      </c>
      <c r="BB84" s="30" t="s">
        <v>1215</v>
      </c>
      <c r="BC84" s="42" t="s">
        <v>254</v>
      </c>
      <c r="BD84" s="42" t="s">
        <v>1216</v>
      </c>
      <c r="BE84" s="43" t="s">
        <v>1217</v>
      </c>
      <c r="BF84" s="42" t="s">
        <v>211</v>
      </c>
      <c r="BG84" s="42" t="s">
        <v>899</v>
      </c>
      <c r="BH84" s="35"/>
      <c r="BI84" s="44" t="s">
        <v>1218</v>
      </c>
      <c r="BJ84" s="45" t="str">
        <f>IFERROR(VLOOKUP($BG84,[1]프로젝트현황!Y:Z,2,0),"기타")</f>
        <v>서남권</v>
      </c>
      <c r="BK84" s="46" t="str">
        <f>(IF(BF84="","",BF84&amp;" "))&amp;(IF(BG84="","",BG84&amp;" "))&amp;(IF(BH84="","",BH84&amp;" "))&amp;BI84</f>
        <v>서울시 동작구 매봉로 134 신동아아파트 6동 605호</v>
      </c>
      <c r="BL84" s="47">
        <v>30</v>
      </c>
      <c r="BM84" s="47">
        <v>30</v>
      </c>
      <c r="BN84" s="48">
        <v>29150000</v>
      </c>
      <c r="BO84" s="48">
        <f>BP84*12</f>
        <v>29150095.200000003</v>
      </c>
      <c r="BP84" s="49">
        <f>SUM(BQ84:BS84)</f>
        <v>2429174.6</v>
      </c>
      <c r="BQ84" s="49">
        <f>ROUNDUP(BN84/12*209/(209+BU84*1.5)/BL84*BM84,-1)-BS84</f>
        <v>1978960</v>
      </c>
      <c r="BR84" s="49">
        <f>ROUNDUP(BN84/12*(BU84*1.5)/(209+BU84*1.5)/BL84*BM84,1)</f>
        <v>250214.6</v>
      </c>
      <c r="BS84" s="49">
        <v>200000</v>
      </c>
      <c r="BT84" s="50">
        <v>209</v>
      </c>
      <c r="BU84" s="49">
        <f>IF($BN84="","",
IFERROR(
    IF($BN84&lt;'[1]시간외시간 기준표'!$B$2,0,
        IF($BN84&gt;LOOKUP(9.9E+307,'[1]시간외시간 기준표'!$B$2:$B$999),
            LOOKUP(9.9E+307,'[1]시간외시간 기준표'!$C$2:$C$999),
            LOOKUP($BN84,'[1]시간외시간 기준표'!$B$2:$B$999,'[1]시간외시간 기준표'!$C$2:$C$999)
        )
    ),0)
)</f>
        <v>16</v>
      </c>
      <c r="BV84" s="50">
        <f>(BQ84+BS84)/209</f>
        <v>10425.645933014353</v>
      </c>
      <c r="BW84" s="51">
        <v>30</v>
      </c>
      <c r="BX84" s="51">
        <v>30</v>
      </c>
      <c r="BY84" s="52">
        <v>29150000</v>
      </c>
      <c r="BZ84" s="52">
        <f>CA84*12</f>
        <v>29150116.799999997</v>
      </c>
      <c r="CA84" s="49">
        <f>SUM(CB84:CD84)</f>
        <v>2429176.4</v>
      </c>
      <c r="CB84" s="49">
        <f>ROUNDUP(BY84/12*209/(209+CF84*1.5)/BW84*BX84,-1)-CD84</f>
        <v>1924260</v>
      </c>
      <c r="CC84" s="49">
        <f>ROUNDUP(BY84/12*(CF84*1.5)/(209+CF84*1.5)/BW84*BX84,1)</f>
        <v>304916.39999999997</v>
      </c>
      <c r="CD84" s="49">
        <v>200000</v>
      </c>
      <c r="CE84" s="50">
        <v>209</v>
      </c>
      <c r="CF84" s="49">
        <f>IF(BY84&lt;26000000,0,IF(BY84&lt;26500000,4,IF(BY84&lt;27000000,7,IF(BY84&lt;27500000,9,IF(BY84&lt;28000000,11,IF(BY84&lt;28500000,15,IF(BY84&lt;29000000,17,IF(BY84&lt;29500000,20,IF(BY84&lt;30000000,23,IF(BY84&lt;30500000,25,IF(BY84&lt;31000000,27,IF(BY84&lt;31500000,29,IF(BY84&lt;32000000,33,IF(BY84&lt;32500000,37,IF(BY84&lt;33000000,39,IF(BY84&lt;33500000,42,IF(BY84&lt;34000000,45,IF(BY84&lt;34500000,48,IF(BY84&lt;35000000,52,52)))))))))))))))))))</f>
        <v>20</v>
      </c>
      <c r="CG84" s="50">
        <f>(CB84+CD84)/209</f>
        <v>10163.923444976077</v>
      </c>
      <c r="CH84" s="51">
        <v>30</v>
      </c>
      <c r="CI84" s="51">
        <v>30</v>
      </c>
      <c r="CJ84" s="52">
        <v>29150000</v>
      </c>
      <c r="CK84" s="52">
        <f>CL84*12</f>
        <v>29150116.799999997</v>
      </c>
      <c r="CL84" s="49">
        <f>SUM(CM84:CO84)</f>
        <v>2429176.4</v>
      </c>
      <c r="CM84" s="49">
        <f>ROUNDUP(CJ84/12*209/(209+CQ84*1.5)/CH84*CI84,-1)-CO84</f>
        <v>1924260</v>
      </c>
      <c r="CN84" s="49">
        <f>ROUNDUP(CJ84/12*(CQ84*1.5)/(209+CQ84*1.5)/CH84*CI84,1)</f>
        <v>304916.39999999997</v>
      </c>
      <c r="CO84" s="50">
        <v>200000</v>
      </c>
      <c r="CP84" s="50">
        <v>209</v>
      </c>
      <c r="CQ84" s="50">
        <f>IF(CJ84&lt;26000000,0,IF(CJ84&lt;26500000,4,IF(CJ84&lt;27000000,7,IF(CJ84&lt;27500000,9,IF(CJ84&lt;28000000,11,IF(CJ84&lt;28500000,15,IF(CJ84&lt;29000000,17,IF(CJ84&lt;29500000,20,IF(CJ84&lt;30000000,23,IF(CJ84&lt;30500000,25,IF(CJ84&lt;31000000,27,IF(CJ84&lt;31500000,29,IF(CJ84&lt;32000000,33,IF(CJ84&lt;32500000,37,IF(CJ84&lt;33000000,39,IF(CJ84&lt;33500000,42,IF(CJ84&lt;34000000,45,IF(CJ84&lt;34500000,48,IF(CJ84&lt;35000000,52,52)))))))))))))))))))</f>
        <v>20</v>
      </c>
      <c r="CR84" s="50">
        <f>(CM84+CO84)/209</f>
        <v>10163.923444976077</v>
      </c>
      <c r="CS84" s="52">
        <v>29000000</v>
      </c>
      <c r="CT84" s="53">
        <f>IFERROR(CS84/12,"")</f>
        <v>2416666.6666666665</v>
      </c>
      <c r="CU84" s="53">
        <f>IFERROR(CT84-CV84-CW84,"")</f>
        <v>1836626.3440860214</v>
      </c>
      <c r="CV84" s="53">
        <f>IFERROR(CT84*(CY84*1.5)/(209+(CY84*1.5)),"")</f>
        <v>380040.32258064515</v>
      </c>
      <c r="CW84" s="54">
        <v>200000</v>
      </c>
      <c r="CX84" s="54">
        <v>209</v>
      </c>
      <c r="CY84" s="54">
        <v>26</v>
      </c>
      <c r="CZ84" s="55">
        <f>SUM(CX84:CY84)</f>
        <v>235</v>
      </c>
      <c r="DA84" s="55">
        <f>IFERROR((CU84/209)+(CW84-(9620*209*0.01))/209,"")</f>
        <v>9648.423655913979</v>
      </c>
      <c r="DB84" s="56">
        <f>IFERROR((CU84+CW84)/209,"")</f>
        <v>9744.6236559139779</v>
      </c>
      <c r="DC84" s="57">
        <v>2023</v>
      </c>
      <c r="DD84" s="58"/>
      <c r="DE84" s="58"/>
      <c r="DF84" s="57"/>
      <c r="DG84" s="59">
        <f>B84</f>
        <v>230906</v>
      </c>
      <c r="DH84" s="58"/>
      <c r="DI84" s="58"/>
      <c r="DJ84" s="60"/>
      <c r="DK84" s="58"/>
      <c r="DL84" s="61"/>
      <c r="DM84" s="24"/>
    </row>
    <row r="85" spans="1:117" ht="15" customHeight="1">
      <c r="A85" s="25">
        <f>ROW()-2</f>
        <v>83</v>
      </c>
      <c r="B85" s="26">
        <v>230911</v>
      </c>
      <c r="C85" s="27" t="s">
        <v>1219</v>
      </c>
      <c r="D85" s="27"/>
      <c r="E85" s="27" t="s">
        <v>239</v>
      </c>
      <c r="F85" s="27" t="s">
        <v>196</v>
      </c>
      <c r="G85" s="27" t="s">
        <v>240</v>
      </c>
      <c r="H85" s="27" t="s">
        <v>260</v>
      </c>
      <c r="I85" s="27" t="s">
        <v>261</v>
      </c>
      <c r="J85" s="27" t="str">
        <f>+VLOOKUP($I85,[1]프로젝트현황!$I:$N,5,0)</f>
        <v>서울시</v>
      </c>
      <c r="K85" s="27" t="str">
        <f>+VLOOKUP($I85,[1]프로젝트현황!$I:$N,6,0)</f>
        <v>중구</v>
      </c>
      <c r="L85" s="28">
        <v>45188</v>
      </c>
      <c r="M85" s="28">
        <v>45188</v>
      </c>
      <c r="N85" s="28"/>
      <c r="O85" s="29"/>
      <c r="P85" s="30" t="s">
        <v>1220</v>
      </c>
      <c r="Q85" s="27" t="s">
        <v>1221</v>
      </c>
      <c r="R85" s="31" t="str">
        <f>LEFT(Q85,6)</f>
        <v>980511</v>
      </c>
      <c r="S85" s="31" t="str">
        <f>MID($Q85,3,2)</f>
        <v>05</v>
      </c>
      <c r="T85" s="31" t="str">
        <f>IF(OR(MID($Q85,8,1)="1",MID($Q85,8,1)="3"),"남자",IF(OR(MID($Q85,8,1)="2",MID($Q85,8,1)="4"),"여자",""))</f>
        <v>여자</v>
      </c>
      <c r="U85" s="31">
        <f ca="1">YEAR(TODAY())-IF(OR(MID($Q85,8,1)="1",MID($Q85,8,1)="2"),19&amp;LEFT($Q85,2),IF(OR(MID($Q85,8,1)="3",MID($Q85,8,1)="4"),20&amp;LEFT($Q85,2),""))+1</f>
        <v>29</v>
      </c>
      <c r="V85" s="31" t="s">
        <v>200</v>
      </c>
      <c r="W85" s="31" t="s">
        <v>201</v>
      </c>
      <c r="X85" s="27" t="s">
        <v>1222</v>
      </c>
      <c r="Y85" s="27"/>
      <c r="Z85" s="27"/>
      <c r="AA85" s="32"/>
      <c r="AB85" s="31" t="s">
        <v>203</v>
      </c>
      <c r="AC85" s="27"/>
      <c r="AD85" s="33" t="str">
        <f ca="1">QUOTIENT(SUMPRODUCT(LEFT($AE85:$AF85,FIND("년",$AE85:$AF85)-1)*12+MID($AE85:$AF85,FIND("년",$AE85:$AF85)+1,FIND("개월",$AE85:$AF85)-FIND("년",$AE85:$AF85)-1)),12)&amp;"년"&amp;MOD(SUMPRODUCT(LEFT($AE85:$AF85,FIND("년",$AE85:$AF85)-1)*12+MID($AE85:$AF85,FIND("년",$AE85:$AF85)+1,FIND("개월",$AE85:$AF85)-FIND("년",$AE85:$AF85)-1)),12)&amp;"개월"</f>
        <v>6년4개월</v>
      </c>
      <c r="AE85" s="33" t="s">
        <v>1223</v>
      </c>
      <c r="AF85" s="34" t="str">
        <f ca="1">DATEDIF($L85,TODAY(),"y")&amp;"년"&amp;DATEDIF($L85,TODAY(),"ym")&amp;"개월"</f>
        <v>2년4개월</v>
      </c>
      <c r="AG85" s="35" t="s">
        <v>1224</v>
      </c>
      <c r="AH85" s="35" t="s">
        <v>1225</v>
      </c>
      <c r="AI85" s="30" t="s">
        <v>205</v>
      </c>
      <c r="AJ85" s="32">
        <v>43511</v>
      </c>
      <c r="AK85" s="36">
        <f ca="1">VALUE(LEFT($AD85,FIND("년",$AD85)-1))</f>
        <v>6</v>
      </c>
      <c r="AL85" s="31" t="str">
        <f ca="1">IF($AI85="전문학사",IF($AK85&lt;=8,"초급",IF($AK85&lt;12,"중급",IF($AK85&lt;15,"고급",IF($AK85&gt;=15,"특급")))))</f>
        <v>초급</v>
      </c>
      <c r="AM85" s="31" t="str">
        <f>IF(ISNUMBER(SEARCH("산업기사",$AT85)),IF($AK85&gt;=13,"특급",IF($AK85&gt;=10,"고급",IF($AK85&gt;=7,"중급","초급"))),IF(ISNUMBER(SEARCH("기사",$AR85)),IF($AK85&gt;=10,"특급",IF($AK85&gt;=7,"고급",IF($AK85&gt;=4,"중급","초급"))),"미해당"))</f>
        <v>미해당</v>
      </c>
      <c r="AN85" s="27"/>
      <c r="AO85" s="32"/>
      <c r="AP85" s="27"/>
      <c r="AQ85" s="32"/>
      <c r="AR85" s="27"/>
      <c r="AS85" s="27"/>
      <c r="AT85" s="37"/>
      <c r="AU85" s="27"/>
      <c r="AV85" s="38" t="s">
        <v>645</v>
      </c>
      <c r="AW85" s="39"/>
      <c r="AX85" s="39"/>
      <c r="AY85" s="40" t="s">
        <v>251</v>
      </c>
      <c r="AZ85" s="41" t="s">
        <v>252</v>
      </c>
      <c r="BA85" s="30" t="s">
        <v>230</v>
      </c>
      <c r="BB85" s="30" t="s">
        <v>1226</v>
      </c>
      <c r="BC85" s="42" t="s">
        <v>254</v>
      </c>
      <c r="BD85" s="42" t="s">
        <v>1227</v>
      </c>
      <c r="BE85" s="43" t="s">
        <v>1228</v>
      </c>
      <c r="BF85" s="42" t="s">
        <v>211</v>
      </c>
      <c r="BG85" s="42" t="s">
        <v>371</v>
      </c>
      <c r="BH85" s="35"/>
      <c r="BI85" s="44" t="s">
        <v>1229</v>
      </c>
      <c r="BJ85" s="45" t="str">
        <f>IFERROR(VLOOKUP($BG85,[1]프로젝트현황!Y:Z,2,0),"기타")</f>
        <v>서남권</v>
      </c>
      <c r="BK85" s="46" t="str">
        <f>(IF(BF85="","",BF85&amp;" "))&amp;(IF(BG85="","",BG85&amp;" "))&amp;(IF(BH85="","",BH85&amp;" "))&amp;BI85</f>
        <v>서울시 관악구 법원단지길 158-8, B01호(신림동, 청림빌라)</v>
      </c>
      <c r="BL85" s="47">
        <v>30</v>
      </c>
      <c r="BM85" s="47">
        <v>30</v>
      </c>
      <c r="BN85" s="48">
        <v>33100000</v>
      </c>
      <c r="BO85" s="48">
        <f>BP85*12</f>
        <v>33100098</v>
      </c>
      <c r="BP85" s="49">
        <f>SUM(BQ85:BS85)</f>
        <v>2758341.5</v>
      </c>
      <c r="BQ85" s="49">
        <f>ROUNDUP(BN85/12*209/(209+BU85*1.5)/BL85*BM85,-1)-BS85</f>
        <v>1967270</v>
      </c>
      <c r="BR85" s="49">
        <f>ROUNDUP(BN85/12*(BU85*1.5)/(209+BU85*1.5)/BL85*BM85,1)</f>
        <v>591071.5</v>
      </c>
      <c r="BS85" s="49">
        <v>200000</v>
      </c>
      <c r="BT85" s="50">
        <v>209</v>
      </c>
      <c r="BU85" s="49">
        <f>IF($BN85="","",
IFERROR(
    IF($BN85&lt;'[1]시간외시간 기준표'!$B$2,0,
        IF($BN85&gt;LOOKUP(9.9E+307,'[1]시간외시간 기준표'!$B$2:$B$999),
            LOOKUP(9.9E+307,'[1]시간외시간 기준표'!$C$2:$C$999),
            LOOKUP($BN85,'[1]시간외시간 기준표'!$B$2:$B$999,'[1]시간외시간 기준표'!$C$2:$C$999)
        )
    ),0)
)</f>
        <v>38</v>
      </c>
      <c r="BV85" s="50">
        <f>(BQ85+BS85)/209</f>
        <v>10369.712918660287</v>
      </c>
      <c r="BW85" s="51">
        <v>30</v>
      </c>
      <c r="BX85" s="51">
        <v>30</v>
      </c>
      <c r="BY85" s="52">
        <v>33100000</v>
      </c>
      <c r="BZ85" s="52">
        <f>CA85*12</f>
        <v>33100064.400000002</v>
      </c>
      <c r="CA85" s="49">
        <f>SUM(CB85:CD85)</f>
        <v>2758338.7</v>
      </c>
      <c r="CB85" s="49">
        <f>ROUNDUP(BY85/12*209/(209+CF85*1.5)/BW85*BX85,-1)-CD85</f>
        <v>1919460</v>
      </c>
      <c r="CC85" s="49">
        <f>ROUNDUP(BY85/12*(CF85*1.5)/(209+CF85*1.5)/BW85*BX85,1)</f>
        <v>638878.69999999995</v>
      </c>
      <c r="CD85" s="49">
        <v>200000</v>
      </c>
      <c r="CE85" s="50">
        <v>209</v>
      </c>
      <c r="CF85" s="49">
        <f>IF(BY85&lt;26000000,0,IF(BY85&lt;26500000,4,IF(BY85&lt;27000000,7,IF(BY85&lt;27500000,9,IF(BY85&lt;28000000,11,IF(BY85&lt;28500000,15,IF(BY85&lt;29000000,17,IF(BY85&lt;29500000,20,IF(BY85&lt;30000000,23,IF(BY85&lt;30500000,25,IF(BY85&lt;31000000,27,IF(BY85&lt;31500000,29,IF(BY85&lt;32000000,33,IF(BY85&lt;32500000,37,IF(BY85&lt;33000000,39,IF(BY85&lt;33500000,42,IF(BY85&lt;34000000,45,IF(BY85&lt;34500000,48,IF(BY85&lt;35000000,52,52)))))))))))))))))))</f>
        <v>42</v>
      </c>
      <c r="CG85" s="50">
        <f>(CB85+CD85)/209</f>
        <v>10140.956937799043</v>
      </c>
      <c r="CH85" s="51">
        <v>30</v>
      </c>
      <c r="CI85" s="51">
        <v>30</v>
      </c>
      <c r="CJ85" s="52">
        <v>32300000</v>
      </c>
      <c r="CK85" s="52">
        <f>CL85*12</f>
        <v>32300065.200000003</v>
      </c>
      <c r="CL85" s="49">
        <f>SUM(CM85:CO85)</f>
        <v>2691672.1</v>
      </c>
      <c r="CM85" s="49">
        <f>ROUNDUP(CJ85/12*209/(209+CQ85*1.5)/CH85*CI85,-1)-CO85</f>
        <v>1926880</v>
      </c>
      <c r="CN85" s="49">
        <f>ROUNDUP(CJ85/12*(CQ85*1.5)/(209+CQ85*1.5)/CH85*CI85,1)</f>
        <v>564792.1</v>
      </c>
      <c r="CO85" s="50">
        <v>200000</v>
      </c>
      <c r="CP85" s="50">
        <v>209</v>
      </c>
      <c r="CQ85" s="50">
        <f>IF(CJ85&lt;26000000,0,IF(CJ85&lt;26500000,4,IF(CJ85&lt;27000000,7,IF(CJ85&lt;27500000,9,IF(CJ85&lt;28000000,11,IF(CJ85&lt;28500000,15,IF(CJ85&lt;29000000,17,IF(CJ85&lt;29500000,20,IF(CJ85&lt;30000000,23,IF(CJ85&lt;30500000,25,IF(CJ85&lt;31000000,27,IF(CJ85&lt;31500000,29,IF(CJ85&lt;32000000,33,IF(CJ85&lt;32500000,37,IF(CJ85&lt;33000000,39,IF(CJ85&lt;33500000,42,IF(CJ85&lt;34000000,45,IF(CJ85&lt;34500000,48,IF(CJ85&lt;35000000,52,52)))))))))))))))))))</f>
        <v>37</v>
      </c>
      <c r="CR85" s="50">
        <f>(CM85+CO85)/209</f>
        <v>10176.45933014354</v>
      </c>
      <c r="CS85" s="52">
        <v>32000000</v>
      </c>
      <c r="CT85" s="53">
        <f>IFERROR(CS85/12,"")</f>
        <v>2666666.6666666665</v>
      </c>
      <c r="CU85" s="53">
        <f>IFERROR(CT85-CV85-CW85,"")</f>
        <v>1837781.8403412551</v>
      </c>
      <c r="CV85" s="53">
        <f>IFERROR(CT85*(CY85*1.5)/(209+(CY85*1.5)),"")</f>
        <v>628884.82632541133</v>
      </c>
      <c r="CW85" s="54">
        <v>200000</v>
      </c>
      <c r="CX85" s="54">
        <v>209</v>
      </c>
      <c r="CY85" s="54">
        <v>43</v>
      </c>
      <c r="CZ85" s="55">
        <f>SUM(CX85:CY85)</f>
        <v>252</v>
      </c>
      <c r="DA85" s="55">
        <f>IFERROR((CU85/209)+(CW85-(9620*209*0.01))/209,"")</f>
        <v>9653.9523461304088</v>
      </c>
      <c r="DB85" s="56">
        <f>IFERROR((CU85+CW85)/209,"")</f>
        <v>9750.1523461304078</v>
      </c>
      <c r="DC85" s="57">
        <v>2023</v>
      </c>
      <c r="DD85" s="58"/>
      <c r="DE85" s="58"/>
      <c r="DF85" s="57"/>
      <c r="DG85" s="59">
        <f>B85</f>
        <v>230911</v>
      </c>
      <c r="DH85" s="58"/>
      <c r="DI85" s="58"/>
      <c r="DJ85" s="60"/>
      <c r="DK85" s="58"/>
      <c r="DL85" s="61"/>
      <c r="DM85" s="24"/>
    </row>
    <row r="86" spans="1:117" ht="15" customHeight="1">
      <c r="A86" s="25">
        <f>ROW()-2</f>
        <v>84</v>
      </c>
      <c r="B86" s="26">
        <v>231005</v>
      </c>
      <c r="C86" s="27" t="s">
        <v>1230</v>
      </c>
      <c r="D86" s="27"/>
      <c r="E86" s="27" t="s">
        <v>239</v>
      </c>
      <c r="F86" s="27" t="s">
        <v>196</v>
      </c>
      <c r="G86" s="27" t="s">
        <v>240</v>
      </c>
      <c r="H86" s="27" t="s">
        <v>217</v>
      </c>
      <c r="I86" s="27" t="s">
        <v>1231</v>
      </c>
      <c r="J86" s="27" t="str">
        <f>+VLOOKUP($I86,[1]프로젝트현황!$I:$N,5,0)</f>
        <v>서울시</v>
      </c>
      <c r="K86" s="27" t="str">
        <f>+VLOOKUP($I86,[1]프로젝트현황!$I:$N,6,0)</f>
        <v>강동구</v>
      </c>
      <c r="L86" s="28">
        <v>45215</v>
      </c>
      <c r="M86" s="28">
        <v>45215</v>
      </c>
      <c r="N86" s="28"/>
      <c r="O86" s="29"/>
      <c r="P86" s="30" t="s">
        <v>1232</v>
      </c>
      <c r="Q86" s="27" t="s">
        <v>1233</v>
      </c>
      <c r="R86" s="31" t="str">
        <f>LEFT(Q86,6)</f>
        <v>880901</v>
      </c>
      <c r="S86" s="31" t="str">
        <f>MID($Q86,3,2)</f>
        <v>09</v>
      </c>
      <c r="T86" s="31" t="str">
        <f>IF(OR(MID($Q86,8,1)="1",MID($Q86,8,1)="3"),"남자",IF(OR(MID($Q86,8,1)="2",MID($Q86,8,1)="4"),"여자",""))</f>
        <v>여자</v>
      </c>
      <c r="U86" s="31">
        <f ca="1">YEAR(TODAY())-IF(OR(MID($Q86,8,1)="1",MID($Q86,8,1)="2"),19&amp;LEFT($Q86,2),IF(OR(MID($Q86,8,1)="3",MID($Q86,8,1)="4"),20&amp;LEFT($Q86,2),""))+1</f>
        <v>39</v>
      </c>
      <c r="V86" s="31" t="s">
        <v>200</v>
      </c>
      <c r="W86" s="31" t="s">
        <v>201</v>
      </c>
      <c r="X86" s="27" t="s">
        <v>1234</v>
      </c>
      <c r="Y86" s="27"/>
      <c r="Z86" s="27"/>
      <c r="AA86" s="32"/>
      <c r="AB86" s="31" t="s">
        <v>203</v>
      </c>
      <c r="AC86" s="27"/>
      <c r="AD86" s="33" t="str">
        <f ca="1">QUOTIENT(SUMPRODUCT(LEFT($AE86:$AF86,FIND("년",$AE86:$AF86)-1)*12+MID($AE86:$AF86,FIND("년",$AE86:$AF86)+1,FIND("개월",$AE86:$AF86)-FIND("년",$AE86:$AF86)-1)),12)&amp;"년"&amp;MOD(SUMPRODUCT(LEFT($AE86:$AF86,FIND("년",$AE86:$AF86)-1)*12+MID($AE86:$AF86,FIND("년",$AE86:$AF86)+1,FIND("개월",$AE86:$AF86)-FIND("년",$AE86:$AF86)-1)),12)&amp;"개월"</f>
        <v>6년1개월</v>
      </c>
      <c r="AE86" s="33" t="s">
        <v>516</v>
      </c>
      <c r="AF86" s="34" t="str">
        <f ca="1">DATEDIF($L86,TODAY(),"y")&amp;"년"&amp;DATEDIF($L86,TODAY(),"ym")&amp;"개월"</f>
        <v>2년3개월</v>
      </c>
      <c r="AG86" s="35" t="s">
        <v>1115</v>
      </c>
      <c r="AH86" s="35" t="s">
        <v>1235</v>
      </c>
      <c r="AI86" s="30" t="s">
        <v>270</v>
      </c>
      <c r="AJ86" s="32">
        <v>42237</v>
      </c>
      <c r="AK86" s="36">
        <f ca="1">VALUE(LEFT($AD86,FIND("년",$AD86)-1))</f>
        <v>6</v>
      </c>
      <c r="AL86" s="31" t="str">
        <f ca="1">IF($AI86="학사",IF($AK86&lt;=5,"초급",IF($AK86&lt;9,"중급",IF($AK86&lt;12,"고급",IF($AK86&gt;=12,"특급")))))</f>
        <v>중급</v>
      </c>
      <c r="AM86" s="31" t="str">
        <f>IF(ISNUMBER(SEARCH("산업기사",$AT86)),IF($AK86&gt;=13,"특급",IF($AK86&gt;=10,"고급",IF($AK86&gt;=7,"중급","초급"))),IF(ISNUMBER(SEARCH("기사",$AR86)),IF($AK86&gt;=10,"특급",IF($AK86&gt;=7,"고급",IF($AK86&gt;=4,"중급","초급"))),"미해당"))</f>
        <v>미해당</v>
      </c>
      <c r="AN86" s="27" t="s">
        <v>135</v>
      </c>
      <c r="AO86" s="32">
        <v>45157</v>
      </c>
      <c r="AP86" s="27"/>
      <c r="AQ86" s="32"/>
      <c r="AR86" s="27"/>
      <c r="AS86" s="27"/>
      <c r="AT86" s="37"/>
      <c r="AU86" s="27"/>
      <c r="AV86" s="38"/>
      <c r="AW86" s="39"/>
      <c r="AX86" s="39"/>
      <c r="AY86" s="40" t="s">
        <v>251</v>
      </c>
      <c r="AZ86" s="41" t="s">
        <v>252</v>
      </c>
      <c r="BA86" s="30" t="s">
        <v>230</v>
      </c>
      <c r="BB86" s="30" t="s">
        <v>1236</v>
      </c>
      <c r="BC86" s="42" t="s">
        <v>275</v>
      </c>
      <c r="BD86" s="42" t="s">
        <v>1237</v>
      </c>
      <c r="BE86" s="43" t="s">
        <v>1238</v>
      </c>
      <c r="BF86" s="42" t="s">
        <v>211</v>
      </c>
      <c r="BG86" s="42" t="s">
        <v>1239</v>
      </c>
      <c r="BH86" s="35"/>
      <c r="BI86" s="44" t="s">
        <v>1240</v>
      </c>
      <c r="BJ86" s="45" t="str">
        <f>IFERROR(VLOOKUP($BG86,[1]프로젝트현황!Y:Z,2,0),"기타")</f>
        <v>동남권</v>
      </c>
      <c r="BK86" s="46" t="str">
        <f>(IF(BF86="","",BF86&amp;" "))&amp;(IF(BG86="","",BG86&amp;" "))&amp;(IF(BH86="","",BH86&amp;" "))&amp;BI86</f>
        <v>서울시 송파구 양재대로68길 3, 301호(가락동,동방빌라)</v>
      </c>
      <c r="BL86" s="47">
        <v>30</v>
      </c>
      <c r="BM86" s="47">
        <v>30</v>
      </c>
      <c r="BN86" s="48">
        <v>33933333.333333336</v>
      </c>
      <c r="BO86" s="48">
        <f>BP86*12</f>
        <v>33933399.599999994</v>
      </c>
      <c r="BP86" s="49">
        <f>SUM(BQ86:BS86)</f>
        <v>2827783.3</v>
      </c>
      <c r="BQ86" s="49">
        <f>ROUNDUP(BN86/12*209/(209+BU86*1.5)/BL86*BM86,-1)-BS86</f>
        <v>1972820</v>
      </c>
      <c r="BR86" s="49">
        <f>ROUNDUP(BN86/12*(BU86*1.5)/(209+BU86*1.5)/BL86*BM86,1)</f>
        <v>654963.29999999993</v>
      </c>
      <c r="BS86" s="49">
        <v>200000</v>
      </c>
      <c r="BT86" s="50">
        <v>209</v>
      </c>
      <c r="BU86" s="49">
        <f>IF($BN86="","",
IFERROR(
    IF($BN86&lt;'[1]시간외시간 기준표'!$B$2,0,
        IF($BN86&gt;LOOKUP(9.9E+307,'[1]시간외시간 기준표'!$B$2:$B$999),
            LOOKUP(9.9E+307,'[1]시간외시간 기준표'!$C$2:$C$999),
            LOOKUP($BN86,'[1]시간외시간 기준표'!$B$2:$B$999,'[1]시간외시간 기준표'!$C$2:$C$999)
        )
    ),0)
)</f>
        <v>42</v>
      </c>
      <c r="BV86" s="50">
        <f>(BQ86+BS86)/209</f>
        <v>10396.267942583732</v>
      </c>
      <c r="BW86" s="51">
        <v>30</v>
      </c>
      <c r="BX86" s="51">
        <v>30</v>
      </c>
      <c r="BY86" s="52">
        <v>33933333.333333336</v>
      </c>
      <c r="BZ86" s="52">
        <f>CA86*12</f>
        <v>33933426</v>
      </c>
      <c r="CA86" s="49">
        <f>SUM(CB86:CD86)</f>
        <v>2827785.5</v>
      </c>
      <c r="CB86" s="49">
        <f>ROUNDUP(BY86/12*209/(209+CF86*1.5)/BW86*BX86,-1)-CD86</f>
        <v>1937460</v>
      </c>
      <c r="CC86" s="49">
        <f>ROUNDUP(BY86/12*(CF86*1.5)/(209+CF86*1.5)/BW86*BX86,1)</f>
        <v>690325.5</v>
      </c>
      <c r="CD86" s="49">
        <v>200000</v>
      </c>
      <c r="CE86" s="50">
        <v>209</v>
      </c>
      <c r="CF86" s="49">
        <f>IF(BY86&lt;26000000,0,IF(BY86&lt;26500000,4,IF(BY86&lt;27000000,7,IF(BY86&lt;27500000,9,IF(BY86&lt;28000000,11,IF(BY86&lt;28500000,15,IF(BY86&lt;29000000,17,IF(BY86&lt;29500000,20,IF(BY86&lt;30000000,23,IF(BY86&lt;30500000,25,IF(BY86&lt;31000000,27,IF(BY86&lt;31500000,29,IF(BY86&lt;32000000,33,IF(BY86&lt;32500000,37,IF(BY86&lt;33000000,39,IF(BY86&lt;33500000,42,IF(BY86&lt;34000000,45,IF(BY86&lt;34500000,48,IF(BY86&lt;35000000,52,52)))))))))))))))))))</f>
        <v>45</v>
      </c>
      <c r="CG86" s="50">
        <f>(CB86+CD86)/209</f>
        <v>10227.081339712919</v>
      </c>
      <c r="CH86" s="51">
        <v>30</v>
      </c>
      <c r="CI86" s="51">
        <v>30</v>
      </c>
      <c r="CJ86" s="52">
        <v>33000000</v>
      </c>
      <c r="CK86" s="52">
        <f>CL86*12</f>
        <v>33000103.200000003</v>
      </c>
      <c r="CL86" s="49">
        <f>SUM(CM86:CO86)</f>
        <v>2750008.6</v>
      </c>
      <c r="CM86" s="49">
        <f>ROUNDUP(CJ86/12*209/(209+CQ86*1.5)/CH86*CI86,-1)-CO86</f>
        <v>1913060</v>
      </c>
      <c r="CN86" s="49">
        <f>ROUNDUP(CJ86/12*(CQ86*1.5)/(209+CQ86*1.5)/CH86*CI86,1)</f>
        <v>636948.6</v>
      </c>
      <c r="CO86" s="50">
        <v>200000</v>
      </c>
      <c r="CP86" s="50">
        <v>209</v>
      </c>
      <c r="CQ86" s="50">
        <f>IF(CJ86&lt;26000000,0,IF(CJ86&lt;26500000,4,IF(CJ86&lt;27000000,7,IF(CJ86&lt;27500000,9,IF(CJ86&lt;28000000,11,IF(CJ86&lt;28500000,15,IF(CJ86&lt;29000000,17,IF(CJ86&lt;29500000,20,IF(CJ86&lt;30000000,23,IF(CJ86&lt;30500000,25,IF(CJ86&lt;31000000,27,IF(CJ86&lt;31500000,29,IF(CJ86&lt;32000000,33,IF(CJ86&lt;32500000,37,IF(CJ86&lt;33000000,39,IF(CJ86&lt;33500000,42,IF(CJ86&lt;34000000,45,IF(CJ86&lt;34500000,48,IF(CJ86&lt;35000000,52,52)))))))))))))))))))</f>
        <v>42</v>
      </c>
      <c r="CR86" s="50">
        <f>(CM86+CO86)/209</f>
        <v>10110.334928229666</v>
      </c>
      <c r="CS86" s="52">
        <v>33000000</v>
      </c>
      <c r="CT86" s="53">
        <f>IFERROR(CS86/12,"")</f>
        <v>2750000</v>
      </c>
      <c r="CU86" s="53">
        <f>IFERROR(CT86-CV86-CW86,"")</f>
        <v>1834513.2743362831</v>
      </c>
      <c r="CV86" s="53">
        <f>IFERROR(CT86*(CY86*1.5)/(209+(CY86*1.5)),"")</f>
        <v>715486.72566371679</v>
      </c>
      <c r="CW86" s="54">
        <v>200000</v>
      </c>
      <c r="CX86" s="54">
        <v>209</v>
      </c>
      <c r="CY86" s="54">
        <v>49</v>
      </c>
      <c r="CZ86" s="55">
        <f>SUM(CX86:CY86)</f>
        <v>258</v>
      </c>
      <c r="DA86" s="55">
        <f>IFERROR((CU86/209)+(CW86-(9620*209*0.01))/209,"")</f>
        <v>9638.3132743362839</v>
      </c>
      <c r="DB86" s="56">
        <f>IFERROR((CU86+CW86)/209,"")</f>
        <v>9734.5132743362828</v>
      </c>
      <c r="DC86" s="57">
        <v>2023</v>
      </c>
      <c r="DD86" s="58"/>
      <c r="DE86" s="58"/>
      <c r="DF86" s="57"/>
      <c r="DG86" s="59">
        <f>B86</f>
        <v>231005</v>
      </c>
      <c r="DH86" s="58"/>
      <c r="DI86" s="58"/>
      <c r="DJ86" s="60"/>
      <c r="DK86" s="58"/>
      <c r="DL86" s="61"/>
      <c r="DM86" s="24"/>
    </row>
    <row r="87" spans="1:117" ht="15" customHeight="1">
      <c r="A87" s="25">
        <f>ROW()-2</f>
        <v>85</v>
      </c>
      <c r="B87" s="26">
        <v>231006</v>
      </c>
      <c r="C87" s="27" t="s">
        <v>1241</v>
      </c>
      <c r="D87" s="27"/>
      <c r="E87" s="27" t="s">
        <v>613</v>
      </c>
      <c r="F87" s="27" t="s">
        <v>196</v>
      </c>
      <c r="G87" s="27" t="s">
        <v>240</v>
      </c>
      <c r="H87" s="27" t="s">
        <v>241</v>
      </c>
      <c r="I87" s="27" t="s">
        <v>653</v>
      </c>
      <c r="J87" s="27" t="str">
        <f>+VLOOKUP($I87,[1]프로젝트현황!$I:$N,5,0)</f>
        <v>서울시</v>
      </c>
      <c r="K87" s="27" t="str">
        <f>+VLOOKUP($I87,[1]프로젝트현황!$I:$N,6,0)</f>
        <v>강남구</v>
      </c>
      <c r="L87" s="28">
        <v>45215</v>
      </c>
      <c r="M87" s="28">
        <v>45215</v>
      </c>
      <c r="N87" s="28"/>
      <c r="O87" s="29"/>
      <c r="P87" s="30" t="s">
        <v>1242</v>
      </c>
      <c r="Q87" s="27" t="s">
        <v>1243</v>
      </c>
      <c r="R87" s="31" t="str">
        <f>LEFT(Q87,6)</f>
        <v>970203</v>
      </c>
      <c r="S87" s="31" t="str">
        <f>MID($Q87,3,2)</f>
        <v>02</v>
      </c>
      <c r="T87" s="31" t="str">
        <f>IF(OR(MID($Q87,8,1)="1",MID($Q87,8,1)="3"),"남자",IF(OR(MID($Q87,8,1)="2",MID($Q87,8,1)="4"),"여자",""))</f>
        <v>여자</v>
      </c>
      <c r="U87" s="31">
        <f ca="1">YEAR(TODAY())-IF(OR(MID($Q87,8,1)="1",MID($Q87,8,1)="2"),19&amp;LEFT($Q87,2),IF(OR(MID($Q87,8,1)="3",MID($Q87,8,1)="4"),20&amp;LEFT($Q87,2),""))+1</f>
        <v>30</v>
      </c>
      <c r="V87" s="31" t="s">
        <v>200</v>
      </c>
      <c r="W87" s="31" t="s">
        <v>201</v>
      </c>
      <c r="X87" s="27" t="s">
        <v>1244</v>
      </c>
      <c r="Y87" s="27"/>
      <c r="Z87" s="27"/>
      <c r="AA87" s="32"/>
      <c r="AB87" s="31" t="s">
        <v>203</v>
      </c>
      <c r="AC87" s="27"/>
      <c r="AD87" s="33" t="str">
        <f ca="1">QUOTIENT(SUMPRODUCT(LEFT($AE87:$AF87,FIND("년",$AE87:$AF87)-1)*12+MID($AE87:$AF87,FIND("년",$AE87:$AF87)+1,FIND("개월",$AE87:$AF87)-FIND("년",$AE87:$AF87)-1)),12)&amp;"년"&amp;MOD(SUMPRODUCT(LEFT($AE87:$AF87,FIND("년",$AE87:$AF87)-1)*12+MID($AE87:$AF87,FIND("년",$AE87:$AF87)+1,FIND("개월",$AE87:$AF87)-FIND("년",$AE87:$AF87)-1)),12)&amp;"개월"</f>
        <v>3년7개월</v>
      </c>
      <c r="AE87" s="33" t="s">
        <v>586</v>
      </c>
      <c r="AF87" s="34" t="str">
        <f ca="1">DATEDIF($L87,TODAY(),"y")&amp;"년"&amp;DATEDIF($L87,TODAY(),"ym")&amp;"개월"</f>
        <v>2년3개월</v>
      </c>
      <c r="AG87" s="35" t="s">
        <v>1224</v>
      </c>
      <c r="AH87" s="35" t="s">
        <v>1245</v>
      </c>
      <c r="AI87" s="30" t="s">
        <v>205</v>
      </c>
      <c r="AJ87" s="32">
        <v>42783</v>
      </c>
      <c r="AK87" s="36">
        <f ca="1">VALUE(LEFT($AD87,FIND("년",$AD87)-1))</f>
        <v>3</v>
      </c>
      <c r="AL87" s="31" t="str">
        <f ca="1">IF($AI87="전문학사",IF($AK87&lt;=8,"초급",IF($AK87&lt;12,"중급",IF($AK87&lt;15,"고급",IF($AK87&gt;=15,"특급")))))</f>
        <v>초급</v>
      </c>
      <c r="AM87" s="31" t="str">
        <f>IF(ISNUMBER(SEARCH("산업기사",$AT87)),IF($AK87&gt;=13,"특급",IF($AK87&gt;=10,"고급",IF($AK87&gt;=7,"중급","초급"))),IF(ISNUMBER(SEARCH("기사",$AR87)),IF($AK87&gt;=10,"특급",IF($AK87&gt;=7,"고급",IF($AK87&gt;=4,"중급","초급"))),"미해당"))</f>
        <v>미해당</v>
      </c>
      <c r="AN87" s="27"/>
      <c r="AO87" s="32"/>
      <c r="AP87" s="27"/>
      <c r="AQ87" s="32"/>
      <c r="AR87" s="27"/>
      <c r="AS87" s="27"/>
      <c r="AT87" s="37"/>
      <c r="AU87" s="27"/>
      <c r="AV87" s="38"/>
      <c r="AW87" s="39"/>
      <c r="AX87" s="39"/>
      <c r="AY87" s="40" t="s">
        <v>251</v>
      </c>
      <c r="AZ87" s="41" t="s">
        <v>252</v>
      </c>
      <c r="BA87" s="30" t="s">
        <v>230</v>
      </c>
      <c r="BB87" s="30" t="s">
        <v>1246</v>
      </c>
      <c r="BC87" s="42" t="s">
        <v>275</v>
      </c>
      <c r="BD87" s="42" t="s">
        <v>1247</v>
      </c>
      <c r="BE87" s="43" t="s">
        <v>1248</v>
      </c>
      <c r="BF87" s="42" t="s">
        <v>234</v>
      </c>
      <c r="BG87" s="42" t="s">
        <v>328</v>
      </c>
      <c r="BH87" s="35" t="s">
        <v>1154</v>
      </c>
      <c r="BI87" s="44" t="s">
        <v>1249</v>
      </c>
      <c r="BJ87" s="45" t="str">
        <f>IFERROR(VLOOKUP($BG87,[1]프로젝트현황!Y:Z,2,0),"기타")</f>
        <v>동남권</v>
      </c>
      <c r="BK87" s="46" t="str">
        <f>(IF(BF87="","",BF87&amp;" "))&amp;(IF(BG87="","",BG87&amp;" "))&amp;(IF(BH87="","",BH87&amp;" "))&amp;BI87</f>
        <v>경기도 성남시 분당구 서현로 181, 208동 401호</v>
      </c>
      <c r="BL87" s="47">
        <v>30</v>
      </c>
      <c r="BM87" s="47">
        <v>30</v>
      </c>
      <c r="BN87" s="48">
        <v>27933333.333333332</v>
      </c>
      <c r="BO87" s="48">
        <f>BP87*12</f>
        <v>27933336</v>
      </c>
      <c r="BP87" s="49">
        <f>SUM(BQ87:BS87)</f>
        <v>2327778</v>
      </c>
      <c r="BQ87" s="49">
        <f>ROUNDUP(BN87/12*209/(209+BU87*1.5)/BL87*BM87,-1)-BS87</f>
        <v>1971900</v>
      </c>
      <c r="BR87" s="49">
        <f>ROUNDUP(BN87/12*(BU87*1.5)/(209+BU87*1.5)/BL87*BM87,1)</f>
        <v>155878</v>
      </c>
      <c r="BS87" s="49">
        <v>200000</v>
      </c>
      <c r="BT87" s="50">
        <v>209</v>
      </c>
      <c r="BU87" s="49">
        <f>IF($BN87="","",
IFERROR(
    IF($BN87&lt;'[1]시간외시간 기준표'!$B$2,0,
        IF($BN87&gt;LOOKUP(9.9E+307,'[1]시간외시간 기준표'!$B$2:$B$999),
            LOOKUP(9.9E+307,'[1]시간외시간 기준표'!$C$2:$C$999),
            LOOKUP($BN87,'[1]시간외시간 기준표'!$B$2:$B$999,'[1]시간외시간 기준표'!$C$2:$C$999)
        )
    ),0)
)</f>
        <v>10</v>
      </c>
      <c r="BV87" s="50">
        <f>(BQ87+BS87)/209</f>
        <v>10391.866028708135</v>
      </c>
      <c r="BW87" s="51">
        <v>30</v>
      </c>
      <c r="BX87" s="51">
        <v>30</v>
      </c>
      <c r="BY87" s="52">
        <v>27933333.333333332</v>
      </c>
      <c r="BZ87" s="52">
        <f>CA87*12</f>
        <v>27933423.599999998</v>
      </c>
      <c r="CA87" s="49">
        <f>SUM(CB87:CD87)</f>
        <v>2327785.2999999998</v>
      </c>
      <c r="CB87" s="49">
        <f>ROUNDUP(BY87/12*209/(209+CF87*1.5)/BW87*BX87,-1)-CD87</f>
        <v>1957460</v>
      </c>
      <c r="CC87" s="49">
        <f>ROUNDUP(BY87/12*(CF87*1.5)/(209+CF87*1.5)/BW87*BX87,1)</f>
        <v>170325.30000000002</v>
      </c>
      <c r="CD87" s="49">
        <v>200000</v>
      </c>
      <c r="CE87" s="50">
        <v>209</v>
      </c>
      <c r="CF87" s="49">
        <f>IF(BY87&lt;26000000,0,IF(BY87&lt;26500000,4,IF(BY87&lt;27000000,7,IF(BY87&lt;27500000,9,IF(BY87&lt;28000000,11,IF(BY87&lt;28500000,15,IF(BY87&lt;29000000,17,IF(BY87&lt;29500000,20,IF(BY87&lt;30000000,23,IF(BY87&lt;30500000,25,IF(BY87&lt;31000000,27,IF(BY87&lt;31500000,29,IF(BY87&lt;32000000,33,IF(BY87&lt;32500000,37,IF(BY87&lt;33000000,39,IF(BY87&lt;33500000,42,IF(BY87&lt;34000000,45,IF(BY87&lt;34500000,48,IF(BY87&lt;35000000,52,52)))))))))))))))))))</f>
        <v>11</v>
      </c>
      <c r="CG87" s="50">
        <f>(CB87+CD87)/209</f>
        <v>10322.775119617225</v>
      </c>
      <c r="CH87" s="51">
        <v>30</v>
      </c>
      <c r="CI87" s="51">
        <v>30</v>
      </c>
      <c r="CJ87" s="52">
        <v>27000000</v>
      </c>
      <c r="CK87" s="52">
        <f>CL87*12</f>
        <v>27000082.799999997</v>
      </c>
      <c r="CL87" s="49">
        <f>SUM(CM87:CO87)</f>
        <v>2250006.9</v>
      </c>
      <c r="CM87" s="49">
        <f>ROUNDUP(CJ87/12*209/(209+CQ87*1.5)/CH87*CI87,-1)-CO87</f>
        <v>1913490</v>
      </c>
      <c r="CN87" s="49">
        <f>ROUNDUP(CJ87/12*(CQ87*1.5)/(209+CQ87*1.5)/CH87*CI87,1)</f>
        <v>136516.9</v>
      </c>
      <c r="CO87" s="50">
        <v>200000</v>
      </c>
      <c r="CP87" s="50">
        <v>209</v>
      </c>
      <c r="CQ87" s="50">
        <f>IF(CJ87&lt;26000000,0,IF(CJ87&lt;26500000,4,IF(CJ87&lt;27000000,7,IF(CJ87&lt;27500000,9,IF(CJ87&lt;28000000,11,IF(CJ87&lt;28500000,15,IF(CJ87&lt;29000000,17,IF(CJ87&lt;29500000,20,IF(CJ87&lt;30000000,23,IF(CJ87&lt;30500000,25,IF(CJ87&lt;31000000,27,IF(CJ87&lt;31500000,29,IF(CJ87&lt;32000000,33,IF(CJ87&lt;32500000,37,IF(CJ87&lt;33000000,39,IF(CJ87&lt;33500000,42,IF(CJ87&lt;34000000,45,IF(CJ87&lt;34500000,48,IF(CJ87&lt;35000000,52,52)))))))))))))))))))</f>
        <v>9</v>
      </c>
      <c r="CR87" s="50">
        <f>(CM87+CO87)/209</f>
        <v>10112.392344497608</v>
      </c>
      <c r="CS87" s="52">
        <v>27000000</v>
      </c>
      <c r="CT87" s="53">
        <f>IFERROR(CS87/12,"")</f>
        <v>2250000</v>
      </c>
      <c r="CU87" s="53">
        <f>IFERROR(CT87-CV87-CW87,"")</f>
        <v>1831317.494600432</v>
      </c>
      <c r="CV87" s="53">
        <f>IFERROR(CT87*(CY87*1.5)/(209+(CY87*1.5)),"")</f>
        <v>218682.50539956804</v>
      </c>
      <c r="CW87" s="54">
        <v>200000</v>
      </c>
      <c r="CX87" s="54">
        <v>209</v>
      </c>
      <c r="CY87" s="54">
        <v>15</v>
      </c>
      <c r="CZ87" s="55">
        <f>SUM(CX87:CY87)</f>
        <v>224</v>
      </c>
      <c r="DA87" s="55">
        <f>IFERROR((CU87/209)+(CW87-(9620*209*0.01))/209,"")</f>
        <v>9623.0224622030255</v>
      </c>
      <c r="DB87" s="56">
        <f>IFERROR((CU87+CW87)/209,"")</f>
        <v>9719.2224622030244</v>
      </c>
      <c r="DC87" s="57">
        <v>2023</v>
      </c>
      <c r="DD87" s="58"/>
      <c r="DE87" s="58"/>
      <c r="DF87" s="57"/>
      <c r="DG87" s="59">
        <f>B87</f>
        <v>231006</v>
      </c>
      <c r="DH87" s="58"/>
      <c r="DI87" s="58"/>
      <c r="DJ87" s="60"/>
      <c r="DK87" s="58"/>
      <c r="DL87" s="61"/>
      <c r="DM87" s="24"/>
    </row>
    <row r="88" spans="1:117" ht="15" customHeight="1">
      <c r="A88" s="25">
        <f>ROW()-2</f>
        <v>86</v>
      </c>
      <c r="B88" s="26">
        <v>231009</v>
      </c>
      <c r="C88" s="27" t="s">
        <v>1250</v>
      </c>
      <c r="D88" s="27"/>
      <c r="E88" s="27" t="s">
        <v>613</v>
      </c>
      <c r="F88" s="27" t="s">
        <v>196</v>
      </c>
      <c r="G88" s="27" t="s">
        <v>240</v>
      </c>
      <c r="H88" s="27" t="s">
        <v>260</v>
      </c>
      <c r="I88" s="27" t="s">
        <v>866</v>
      </c>
      <c r="J88" s="27" t="str">
        <f>+VLOOKUP($I88,[1]프로젝트현황!$I:$N,5,0)</f>
        <v>서울시</v>
      </c>
      <c r="K88" s="27" t="str">
        <f>+VLOOKUP($I88,[1]프로젝트현황!$I:$N,6,0)</f>
        <v>구로구</v>
      </c>
      <c r="L88" s="28">
        <v>45223</v>
      </c>
      <c r="M88" s="28">
        <v>45223</v>
      </c>
      <c r="N88" s="28"/>
      <c r="O88" s="29"/>
      <c r="P88" s="30" t="s">
        <v>1251</v>
      </c>
      <c r="Q88" s="27" t="s">
        <v>1252</v>
      </c>
      <c r="R88" s="31" t="str">
        <f>LEFT(Q88,6)</f>
        <v>940131</v>
      </c>
      <c r="S88" s="31" t="str">
        <f>MID($Q88,3,2)</f>
        <v>01</v>
      </c>
      <c r="T88" s="31" t="str">
        <f>IF(OR(MID($Q88,8,1)="1",MID($Q88,8,1)="3"),"남자",IF(OR(MID($Q88,8,1)="2",MID($Q88,8,1)="4"),"여자",""))</f>
        <v>남자</v>
      </c>
      <c r="U88" s="31">
        <f ca="1">YEAR(TODAY())-IF(OR(MID($Q88,8,1)="1",MID($Q88,8,1)="2"),19&amp;LEFT($Q88,2),IF(OR(MID($Q88,8,1)="3",MID($Q88,8,1)="4"),20&amp;LEFT($Q88,2),""))+1</f>
        <v>33</v>
      </c>
      <c r="V88" s="31" t="s">
        <v>200</v>
      </c>
      <c r="W88" s="31" t="s">
        <v>201</v>
      </c>
      <c r="X88" s="27" t="s">
        <v>1253</v>
      </c>
      <c r="Y88" s="27"/>
      <c r="Z88" s="27"/>
      <c r="AA88" s="32"/>
      <c r="AB88" s="31" t="s">
        <v>203</v>
      </c>
      <c r="AC88" s="27"/>
      <c r="AD88" s="33" t="str">
        <f ca="1">QUOTIENT(SUMPRODUCT(LEFT($AE88:$AF88,FIND("년",$AE88:$AF88)-1)*12+MID($AE88:$AF88,FIND("년",$AE88:$AF88)+1,FIND("개월",$AE88:$AF88)-FIND("년",$AE88:$AF88)-1)),12)&amp;"년"&amp;MOD(SUMPRODUCT(LEFT($AE88:$AF88,FIND("년",$AE88:$AF88)-1)*12+MID($AE88:$AF88,FIND("년",$AE88:$AF88)+1,FIND("개월",$AE88:$AF88)-FIND("년",$AE88:$AF88)-1)),12)&amp;"개월"</f>
        <v>2년3개월</v>
      </c>
      <c r="AE88" s="33" t="s">
        <v>543</v>
      </c>
      <c r="AF88" s="34" t="str">
        <f ca="1">DATEDIF($L88,TODAY(),"y")&amp;"년"&amp;DATEDIF($L88,TODAY(),"ym")&amp;"개월"</f>
        <v>2년3개월</v>
      </c>
      <c r="AG88" s="35" t="s">
        <v>1254</v>
      </c>
      <c r="AH88" s="35" t="s">
        <v>1255</v>
      </c>
      <c r="AI88" s="30" t="s">
        <v>205</v>
      </c>
      <c r="AJ88" s="32">
        <v>43320</v>
      </c>
      <c r="AK88" s="36">
        <f ca="1">VALUE(LEFT($AD88,FIND("년",$AD88)-1))</f>
        <v>2</v>
      </c>
      <c r="AL88" s="31" t="str">
        <f ca="1">IF($AI88="전문학사",IF($AK88&lt;=8,"초급",IF($AK88&lt;12,"중급",IF($AK88&lt;15,"고급",IF($AK88&gt;=15,"특급")))))</f>
        <v>초급</v>
      </c>
      <c r="AM88" s="31" t="str">
        <f>IF(ISNUMBER(SEARCH("산업기사",$AT88)),IF($AK88&gt;=13,"특급",IF($AK88&gt;=10,"고급",IF($AK88&gt;=7,"중급","초급"))),IF(ISNUMBER(SEARCH("기사",$AR88)),IF($AK88&gt;=10,"특급",IF($AK88&gt;=7,"고급",IF($AK88&gt;=4,"중급","초급"))),"미해당"))</f>
        <v>미해당</v>
      </c>
      <c r="AN88" s="27"/>
      <c r="AO88" s="32"/>
      <c r="AP88" s="27"/>
      <c r="AQ88" s="32"/>
      <c r="AR88" s="27"/>
      <c r="AS88" s="27"/>
      <c r="AT88" s="37"/>
      <c r="AU88" s="27"/>
      <c r="AV88" s="38"/>
      <c r="AW88" s="39"/>
      <c r="AX88" s="39"/>
      <c r="AY88" s="40" t="s">
        <v>251</v>
      </c>
      <c r="AZ88" s="41" t="s">
        <v>252</v>
      </c>
      <c r="BA88" s="30" t="s">
        <v>230</v>
      </c>
      <c r="BB88" s="30" t="s">
        <v>1256</v>
      </c>
      <c r="BC88" s="42" t="s">
        <v>275</v>
      </c>
      <c r="BD88" s="42" t="s">
        <v>1257</v>
      </c>
      <c r="BE88" s="43" t="s">
        <v>1258</v>
      </c>
      <c r="BF88" s="42" t="s">
        <v>211</v>
      </c>
      <c r="BG88" s="42" t="s">
        <v>257</v>
      </c>
      <c r="BH88" s="35"/>
      <c r="BI88" s="44" t="s">
        <v>1259</v>
      </c>
      <c r="BJ88" s="45" t="str">
        <f>IFERROR(VLOOKUP($BG88,[1]프로젝트현황!Y:Z,2,0),"기타")</f>
        <v>서남권</v>
      </c>
      <c r="BK88" s="46" t="str">
        <f>(IF(BF88="","",BF88&amp;" "))&amp;(IF(BG88="","",BG88&amp;" "))&amp;(IF(BH88="","",BH88&amp;" "))&amp;BI88</f>
        <v>서울시 금천구 시흥대로153길 17</v>
      </c>
      <c r="BL88" s="47">
        <v>30</v>
      </c>
      <c r="BM88" s="47">
        <v>30</v>
      </c>
      <c r="BN88" s="48">
        <v>29933333.333333332</v>
      </c>
      <c r="BO88" s="48">
        <f>BP88*12</f>
        <v>29933342.400000002</v>
      </c>
      <c r="BP88" s="49">
        <f>SUM(BQ88:BS88)</f>
        <v>2494445.2000000002</v>
      </c>
      <c r="BQ88" s="49">
        <f>ROUNDUP(BN88/12*209/(209+BU88*1.5)/BL88*BM88,-1)-BS88</f>
        <v>1967730</v>
      </c>
      <c r="BR88" s="49">
        <f>ROUNDUP(BN88/12*(BU88*1.5)/(209+BU88*1.5)/BL88*BM88,1)</f>
        <v>326715.19999999995</v>
      </c>
      <c r="BS88" s="49">
        <v>200000</v>
      </c>
      <c r="BT88" s="50">
        <v>209</v>
      </c>
      <c r="BU88" s="49">
        <f>IF($BN88="","",
IFERROR(
    IF($BN88&lt;'[1]시간외시간 기준표'!$B$2,0,
        IF($BN88&gt;LOOKUP(9.9E+307,'[1]시간외시간 기준표'!$B$2:$B$999),
            LOOKUP(9.9E+307,'[1]시간외시간 기준표'!$C$2:$C$999),
            LOOKUP($BN88,'[1]시간외시간 기준표'!$B$2:$B$999,'[1]시간외시간 기준표'!$C$2:$C$999)
        )
    ),0)
)</f>
        <v>21</v>
      </c>
      <c r="BV88" s="50">
        <f>(BQ88+BS88)/209</f>
        <v>10371.913875598086</v>
      </c>
      <c r="BW88" s="51">
        <v>30</v>
      </c>
      <c r="BX88" s="51">
        <v>30</v>
      </c>
      <c r="BY88" s="52">
        <v>29933333.333333332</v>
      </c>
      <c r="BZ88" s="52">
        <f>CA88*12</f>
        <v>29933428.799999997</v>
      </c>
      <c r="CA88" s="49">
        <f>SUM(CB88:CD88)</f>
        <v>2494452.4</v>
      </c>
      <c r="CB88" s="49">
        <f>ROUNDUP(BY88/12*209/(209+CF88*1.5)/BW88*BX88,-1)-CD88</f>
        <v>1941030</v>
      </c>
      <c r="CC88" s="49">
        <f>ROUNDUP(BY88/12*(CF88*1.5)/(209+CF88*1.5)/BW88*BX88,1)</f>
        <v>353422.39999999997</v>
      </c>
      <c r="CD88" s="49">
        <v>200000</v>
      </c>
      <c r="CE88" s="50">
        <v>209</v>
      </c>
      <c r="CF88" s="49">
        <f>IF(BY88&lt;26000000,0,IF(BY88&lt;26500000,4,IF(BY88&lt;27000000,7,IF(BY88&lt;27500000,9,IF(BY88&lt;28000000,11,IF(BY88&lt;28500000,15,IF(BY88&lt;29000000,17,IF(BY88&lt;29500000,20,IF(BY88&lt;30000000,23,IF(BY88&lt;30500000,25,IF(BY88&lt;31000000,27,IF(BY88&lt;31500000,29,IF(BY88&lt;32000000,33,IF(BY88&lt;32500000,37,IF(BY88&lt;33000000,39,IF(BY88&lt;33500000,42,IF(BY88&lt;34000000,45,IF(BY88&lt;34500000,48,IF(BY88&lt;35000000,52,52)))))))))))))))))))</f>
        <v>23</v>
      </c>
      <c r="CG88" s="50">
        <f>(CB88+CD88)/209</f>
        <v>10244.162679425837</v>
      </c>
      <c r="CH88" s="51">
        <v>30</v>
      </c>
      <c r="CI88" s="51">
        <v>30</v>
      </c>
      <c r="CJ88" s="52">
        <v>29000000</v>
      </c>
      <c r="CK88" s="52">
        <f>CL88*12</f>
        <v>29000007.599999998</v>
      </c>
      <c r="CL88" s="49">
        <f>SUM(CM88:CO88)</f>
        <v>2416667.2999999998</v>
      </c>
      <c r="CM88" s="49">
        <f>ROUNDUP(CJ88/12*209/(209+CQ88*1.5)/CH88*CI88,-1)-CO88</f>
        <v>1913320</v>
      </c>
      <c r="CN88" s="49">
        <f>ROUNDUP(CJ88/12*(CQ88*1.5)/(209+CQ88*1.5)/CH88*CI88,1)</f>
        <v>303347.3</v>
      </c>
      <c r="CO88" s="50">
        <v>200000</v>
      </c>
      <c r="CP88" s="50">
        <v>209</v>
      </c>
      <c r="CQ88" s="50">
        <f>IF(CJ88&lt;26000000,0,IF(CJ88&lt;26500000,4,IF(CJ88&lt;27000000,7,IF(CJ88&lt;27500000,9,IF(CJ88&lt;28000000,11,IF(CJ88&lt;28500000,15,IF(CJ88&lt;29000000,17,IF(CJ88&lt;29500000,20,IF(CJ88&lt;30000000,23,IF(CJ88&lt;30500000,25,IF(CJ88&lt;31000000,27,IF(CJ88&lt;31500000,29,IF(CJ88&lt;32000000,33,IF(CJ88&lt;32500000,37,IF(CJ88&lt;33000000,39,IF(CJ88&lt;33500000,42,IF(CJ88&lt;34000000,45,IF(CJ88&lt;34500000,48,IF(CJ88&lt;35000000,52,52)))))))))))))))))))</f>
        <v>20</v>
      </c>
      <c r="CR88" s="50">
        <f>(CM88+CO88)/209</f>
        <v>10111.578947368422</v>
      </c>
      <c r="CS88" s="52">
        <v>29000000</v>
      </c>
      <c r="CT88" s="53">
        <f>IFERROR(CS88/12,"")</f>
        <v>2416666.6666666665</v>
      </c>
      <c r="CU88" s="53">
        <f>IFERROR(CT88-CV88-CW88,"")</f>
        <v>1836626.3440860214</v>
      </c>
      <c r="CV88" s="53">
        <f>IFERROR(CT88*(CY88*1.5)/(209+(CY88*1.5)),"")</f>
        <v>380040.32258064515</v>
      </c>
      <c r="CW88" s="54">
        <v>200000</v>
      </c>
      <c r="CX88" s="54">
        <v>209</v>
      </c>
      <c r="CY88" s="54">
        <v>26</v>
      </c>
      <c r="CZ88" s="55">
        <f>SUM(CX88:CY88)</f>
        <v>235</v>
      </c>
      <c r="DA88" s="55">
        <f>IFERROR((CU88/209)+(CW88-(9620*209*0.01))/209,"")</f>
        <v>9648.423655913979</v>
      </c>
      <c r="DB88" s="56">
        <f>IFERROR((CU88+CW88)/209,"")</f>
        <v>9744.6236559139779</v>
      </c>
      <c r="DC88" s="57">
        <v>2023</v>
      </c>
      <c r="DD88" s="58"/>
      <c r="DE88" s="58"/>
      <c r="DF88" s="57"/>
      <c r="DG88" s="59">
        <f>B88</f>
        <v>231009</v>
      </c>
      <c r="DH88" s="58"/>
      <c r="DI88" s="58"/>
      <c r="DJ88" s="60"/>
      <c r="DK88" s="58"/>
      <c r="DL88" s="61"/>
      <c r="DM88" s="24"/>
    </row>
    <row r="89" spans="1:117" ht="15" customHeight="1">
      <c r="A89" s="25">
        <f>ROW()-2</f>
        <v>87</v>
      </c>
      <c r="B89" s="26">
        <v>231101</v>
      </c>
      <c r="C89" s="27" t="s">
        <v>1260</v>
      </c>
      <c r="D89" s="27"/>
      <c r="E89" s="27" t="s">
        <v>283</v>
      </c>
      <c r="F89" s="27" t="s">
        <v>196</v>
      </c>
      <c r="G89" s="27" t="s">
        <v>240</v>
      </c>
      <c r="H89" s="27" t="s">
        <v>241</v>
      </c>
      <c r="I89" s="27" t="s">
        <v>455</v>
      </c>
      <c r="J89" s="27" t="str">
        <f>+VLOOKUP($I89,[1]프로젝트현황!$I:$N,5,0)</f>
        <v>경기도</v>
      </c>
      <c r="K89" s="27" t="str">
        <f>+VLOOKUP($I89,[1]프로젝트현황!$I:$N,6,0)</f>
        <v>성남시</v>
      </c>
      <c r="L89" s="28">
        <v>45231</v>
      </c>
      <c r="M89" s="28">
        <v>45231</v>
      </c>
      <c r="N89" s="28"/>
      <c r="O89" s="29"/>
      <c r="P89" s="30" t="s">
        <v>1261</v>
      </c>
      <c r="Q89" s="27" t="s">
        <v>1262</v>
      </c>
      <c r="R89" s="31" t="str">
        <f>LEFT(Q89,6)</f>
        <v>930118</v>
      </c>
      <c r="S89" s="31" t="str">
        <f>MID($Q89,3,2)</f>
        <v>01</v>
      </c>
      <c r="T89" s="31" t="str">
        <f>IF(OR(MID($Q89,8,1)="1",MID($Q89,8,1)="3"),"남자",IF(OR(MID($Q89,8,1)="2",MID($Q89,8,1)="4"),"여자",""))</f>
        <v>여자</v>
      </c>
      <c r="U89" s="31">
        <f ca="1">YEAR(TODAY())-IF(OR(MID($Q89,8,1)="1",MID($Q89,8,1)="2"),19&amp;LEFT($Q89,2),IF(OR(MID($Q89,8,1)="3",MID($Q89,8,1)="4"),20&amp;LEFT($Q89,2),""))+1</f>
        <v>34</v>
      </c>
      <c r="V89" s="31" t="s">
        <v>200</v>
      </c>
      <c r="W89" s="31" t="s">
        <v>201</v>
      </c>
      <c r="X89" s="27" t="s">
        <v>1263</v>
      </c>
      <c r="Y89" s="27"/>
      <c r="Z89" s="27"/>
      <c r="AA89" s="32"/>
      <c r="AB89" s="31" t="s">
        <v>203</v>
      </c>
      <c r="AC89" s="27"/>
      <c r="AD89" s="33" t="str">
        <f ca="1">QUOTIENT(SUMPRODUCT(LEFT($AE89:$AF89,FIND("년",$AE89:$AF89)-1)*12+MID($AE89:$AF89,FIND("년",$AE89:$AF89)+1,FIND("개월",$AE89:$AF89)-FIND("년",$AE89:$AF89)-1)),12)&amp;"년"&amp;MOD(SUMPRODUCT(LEFT($AE89:$AF89,FIND("년",$AE89:$AF89)-1)*12+MID($AE89:$AF89,FIND("년",$AE89:$AF89)+1,FIND("개월",$AE89:$AF89)-FIND("년",$AE89:$AF89)-1)),12)&amp;"개월"</f>
        <v>12년9개월</v>
      </c>
      <c r="AE89" s="33" t="s">
        <v>1264</v>
      </c>
      <c r="AF89" s="34" t="str">
        <f ca="1">DATEDIF($L89,TODAY(),"y")&amp;"년"&amp;DATEDIF($L89,TODAY(),"ym")&amp;"개월"</f>
        <v>2년3개월</v>
      </c>
      <c r="AG89" s="35" t="s">
        <v>1265</v>
      </c>
      <c r="AH89" s="35" t="s">
        <v>1266</v>
      </c>
      <c r="AI89" s="30" t="s">
        <v>205</v>
      </c>
      <c r="AJ89" s="32">
        <v>41319</v>
      </c>
      <c r="AK89" s="36">
        <f ca="1">VALUE(LEFT($AD89,FIND("년",$AD89)-1))</f>
        <v>12</v>
      </c>
      <c r="AL89" s="31" t="str">
        <f ca="1">IF($AI89="전문학사",IF($AK89&lt;=8,"초급",IF($AK89&lt;12,"중급",IF($AK89&lt;15,"고급",IF($AK89&gt;=15,"특급")))))</f>
        <v>고급</v>
      </c>
      <c r="AM89" s="31" t="str">
        <f>IF(ISNUMBER(SEARCH("산업기사",$AT89)),IF($AK89&gt;=13,"특급",IF($AK89&gt;=10,"고급",IF($AK89&gt;=7,"중급","초급"))),IF(ISNUMBER(SEARCH("기사",$AR89)),IF($AK89&gt;=10,"특급",IF($AK89&gt;=7,"고급",IF($AK89&gt;=4,"중급","초급"))),"미해당"))</f>
        <v>미해당</v>
      </c>
      <c r="AN89" s="27"/>
      <c r="AO89" s="32"/>
      <c r="AP89" s="27"/>
      <c r="AQ89" s="32"/>
      <c r="AR89" s="27"/>
      <c r="AS89" s="27"/>
      <c r="AT89" s="37"/>
      <c r="AU89" s="27"/>
      <c r="AV89" s="38"/>
      <c r="AW89" s="39"/>
      <c r="AX89" s="39"/>
      <c r="AY89" s="40" t="s">
        <v>251</v>
      </c>
      <c r="AZ89" s="41" t="s">
        <v>252</v>
      </c>
      <c r="BA89" s="30" t="s">
        <v>230</v>
      </c>
      <c r="BB89" s="30" t="s">
        <v>1267</v>
      </c>
      <c r="BC89" s="42" t="s">
        <v>254</v>
      </c>
      <c r="BD89" s="42" t="s">
        <v>1268</v>
      </c>
      <c r="BE89" s="43" t="s">
        <v>1269</v>
      </c>
      <c r="BF89" s="42" t="s">
        <v>234</v>
      </c>
      <c r="BG89" s="42" t="s">
        <v>328</v>
      </c>
      <c r="BH89" s="35" t="s">
        <v>1270</v>
      </c>
      <c r="BI89" s="44" t="s">
        <v>1271</v>
      </c>
      <c r="BJ89" s="45" t="str">
        <f>IFERROR(VLOOKUP($BG89,[1]프로젝트현황!Y:Z,2,0),"기타")</f>
        <v>동남권</v>
      </c>
      <c r="BK89" s="46" t="str">
        <f>(IF(BF89="","",BF89&amp;" "))&amp;(IF(BG89="","",BG89&amp;" "))&amp;(IF(BH89="","",BH89&amp;" "))&amp;BI89</f>
        <v>경기도 성남시 중원구 광명로335번길 24-20, B01호(금광동, 다세대주택)</v>
      </c>
      <c r="BL89" s="47">
        <v>30</v>
      </c>
      <c r="BM89" s="47">
        <v>30</v>
      </c>
      <c r="BN89" s="48">
        <v>38433333.333333336</v>
      </c>
      <c r="BO89" s="48">
        <f>BP89*12</f>
        <v>38433376.799999997</v>
      </c>
      <c r="BP89" s="49">
        <f>SUM(BQ89:BS89)</f>
        <v>3202781.4</v>
      </c>
      <c r="BQ89" s="49">
        <f>ROUNDUP(BN89/12*209/(209+BU89*1.5)/BL89*BM89,-1)-BS89</f>
        <v>2132340</v>
      </c>
      <c r="BR89" s="49">
        <f>ROUNDUP(BN89/12*(BU89*1.5)/(209+BU89*1.5)/BL89*BM89,1)</f>
        <v>870441.4</v>
      </c>
      <c r="BS89" s="49">
        <v>200000</v>
      </c>
      <c r="BT89" s="50">
        <v>209</v>
      </c>
      <c r="BU89" s="49">
        <f>IF($BN89="","",
IFERROR(
    IF($BN89&lt;'[1]시간외시간 기준표'!$B$2,0,
        IF($BN89&gt;LOOKUP(9.9E+307,'[1]시간외시간 기준표'!$B$2:$B$999),
            LOOKUP(9.9E+307,'[1]시간외시간 기준표'!$C$2:$C$999),
            LOOKUP($BN89,'[1]시간외시간 기준표'!$B$2:$B$999,'[1]시간외시간 기준표'!$C$2:$C$999)
        )
    ),0)
)</f>
        <v>52</v>
      </c>
      <c r="BV89" s="50">
        <f>(BQ89+BS89)/209</f>
        <v>11159.521531100478</v>
      </c>
      <c r="BW89" s="51">
        <v>30</v>
      </c>
      <c r="BX89" s="51">
        <v>30</v>
      </c>
      <c r="BY89" s="52">
        <v>38433333.333333336</v>
      </c>
      <c r="BZ89" s="52">
        <f>CA89*12</f>
        <v>38433376.799999997</v>
      </c>
      <c r="CA89" s="49">
        <f>SUM(CB89:CD89)</f>
        <v>3202781.4</v>
      </c>
      <c r="CB89" s="49">
        <f>ROUNDUP(BY89/12*209/(209+CF89*1.5)/BW89*BX89,-1)-CD89</f>
        <v>2132340</v>
      </c>
      <c r="CC89" s="49">
        <f>ROUNDUP(BY89/12*(CF89*1.5)/(209+CF89*1.5)/BW89*BX89,1)</f>
        <v>870441.4</v>
      </c>
      <c r="CD89" s="49">
        <v>200000</v>
      </c>
      <c r="CE89" s="50">
        <v>209</v>
      </c>
      <c r="CF89" s="49">
        <f>IF(BY89&lt;26000000,0,IF(BY89&lt;26500000,4,IF(BY89&lt;27000000,7,IF(BY89&lt;27500000,9,IF(BY89&lt;28000000,11,IF(BY89&lt;28500000,15,IF(BY89&lt;29000000,17,IF(BY89&lt;29500000,20,IF(BY89&lt;30000000,23,IF(BY89&lt;30500000,25,IF(BY89&lt;31000000,27,IF(BY89&lt;31500000,29,IF(BY89&lt;32000000,33,IF(BY89&lt;32500000,37,IF(BY89&lt;33000000,39,IF(BY89&lt;33500000,42,IF(BY89&lt;34000000,45,IF(BY89&lt;34500000,48,IF(BY89&lt;35000000,52,52)))))))))))))))))))</f>
        <v>52</v>
      </c>
      <c r="CG89" s="50">
        <f>(CB89+CD89)/209</f>
        <v>11159.521531100478</v>
      </c>
      <c r="CH89" s="51">
        <v>30</v>
      </c>
      <c r="CI89" s="51">
        <v>30</v>
      </c>
      <c r="CJ89" s="52">
        <v>37500000</v>
      </c>
      <c r="CK89" s="52">
        <f>CL89*12</f>
        <v>37500038.400000006</v>
      </c>
      <c r="CL89" s="49">
        <f>SUM(CM89:CO89)</f>
        <v>3125003.2</v>
      </c>
      <c r="CM89" s="49">
        <f>ROUNDUP(CJ89/12*209/(209+CQ89*1.5)/CH89*CI89,-1)-CO89</f>
        <v>2075700</v>
      </c>
      <c r="CN89" s="49">
        <f>ROUNDUP(CJ89/12*(CQ89*1.5)/(209+CQ89*1.5)/CH89*CI89,1)</f>
        <v>849303.2</v>
      </c>
      <c r="CO89" s="50">
        <v>200000</v>
      </c>
      <c r="CP89" s="50">
        <v>209</v>
      </c>
      <c r="CQ89" s="50">
        <f>IF(CJ89&lt;26000000,0,IF(CJ89&lt;26500000,4,IF(CJ89&lt;27000000,7,IF(CJ89&lt;27500000,9,IF(CJ89&lt;28000000,11,IF(CJ89&lt;28500000,15,IF(CJ89&lt;29000000,17,IF(CJ89&lt;29500000,20,IF(CJ89&lt;30000000,23,IF(CJ89&lt;30500000,25,IF(CJ89&lt;31000000,27,IF(CJ89&lt;31500000,29,IF(CJ89&lt;32000000,33,IF(CJ89&lt;32500000,37,IF(CJ89&lt;33000000,39,IF(CJ89&lt;33500000,42,IF(CJ89&lt;34000000,45,IF(CJ89&lt;34500000,48,IF(CJ89&lt;35000000,52,52)))))))))))))))))))</f>
        <v>52</v>
      </c>
      <c r="CR89" s="50">
        <f>(CM89+CO89)/209</f>
        <v>10888.516746411484</v>
      </c>
      <c r="CS89" s="52">
        <v>37500000</v>
      </c>
      <c r="CT89" s="53">
        <f>IFERROR(CS89/12,"")</f>
        <v>3125000</v>
      </c>
      <c r="CU89" s="53">
        <f>IFERROR(CT89-CV89-CW89,"")</f>
        <v>2075696.864111498</v>
      </c>
      <c r="CV89" s="53">
        <f>IFERROR(CT89*(CY89*1.5)/(209+(CY89*1.5)),"")</f>
        <v>849303.13588850177</v>
      </c>
      <c r="CW89" s="54">
        <v>200000</v>
      </c>
      <c r="CX89" s="54">
        <v>209</v>
      </c>
      <c r="CY89" s="54">
        <v>52</v>
      </c>
      <c r="CZ89" s="55">
        <f>SUM(CX89:CY89)</f>
        <v>261</v>
      </c>
      <c r="DA89" s="55">
        <f>IFERROR((CU89/209)+(CW89-(9620*209*0.01))/209,"")</f>
        <v>10792.301742160278</v>
      </c>
      <c r="DB89" s="56">
        <f>IFERROR((CU89+CW89)/209,"")</f>
        <v>10888.501742160277</v>
      </c>
      <c r="DC89" s="57">
        <v>2023</v>
      </c>
      <c r="DD89" s="58"/>
      <c r="DE89" s="58"/>
      <c r="DF89" s="57"/>
      <c r="DG89" s="59">
        <f>B89</f>
        <v>231101</v>
      </c>
      <c r="DH89" s="58"/>
      <c r="DI89" s="58"/>
      <c r="DJ89" s="60"/>
      <c r="DK89" s="58"/>
      <c r="DL89" s="61"/>
      <c r="DM89" s="24"/>
    </row>
    <row r="90" spans="1:117" ht="15" customHeight="1">
      <c r="A90" s="25">
        <f>ROW()-2</f>
        <v>88</v>
      </c>
      <c r="B90" s="26">
        <v>231102</v>
      </c>
      <c r="C90" s="27" t="s">
        <v>1272</v>
      </c>
      <c r="D90" s="27"/>
      <c r="E90" s="27" t="s">
        <v>239</v>
      </c>
      <c r="F90" s="27" t="s">
        <v>196</v>
      </c>
      <c r="G90" s="27" t="s">
        <v>240</v>
      </c>
      <c r="H90" s="27" t="s">
        <v>241</v>
      </c>
      <c r="I90" s="27" t="s">
        <v>242</v>
      </c>
      <c r="J90" s="27" t="str">
        <f>+VLOOKUP($I90,[1]프로젝트현황!$I:$N,5,0)</f>
        <v>서울시</v>
      </c>
      <c r="K90" s="27" t="str">
        <f>+VLOOKUP($I90,[1]프로젝트현황!$I:$N,6,0)</f>
        <v>영등포구</v>
      </c>
      <c r="L90" s="28">
        <v>45231</v>
      </c>
      <c r="M90" s="28">
        <v>45231</v>
      </c>
      <c r="N90" s="28"/>
      <c r="O90" s="29"/>
      <c r="P90" s="30" t="s">
        <v>1273</v>
      </c>
      <c r="Q90" s="27" t="s">
        <v>1274</v>
      </c>
      <c r="R90" s="31" t="str">
        <f>LEFT(Q90,6)</f>
        <v>900517</v>
      </c>
      <c r="S90" s="31" t="str">
        <f>MID($Q90,3,2)</f>
        <v>05</v>
      </c>
      <c r="T90" s="31" t="str">
        <f>IF(OR(MID($Q90,8,1)="1",MID($Q90,8,1)="3"),"남자",IF(OR(MID($Q90,8,1)="2",MID($Q90,8,1)="4"),"여자",""))</f>
        <v>남자</v>
      </c>
      <c r="U90" s="31">
        <f ca="1">YEAR(TODAY())-IF(OR(MID($Q90,8,1)="1",MID($Q90,8,1)="2"),19&amp;LEFT($Q90,2),IF(OR(MID($Q90,8,1)="3",MID($Q90,8,1)="4"),20&amp;LEFT($Q90,2),""))+1</f>
        <v>37</v>
      </c>
      <c r="V90" s="31" t="s">
        <v>200</v>
      </c>
      <c r="W90" s="31" t="s">
        <v>201</v>
      </c>
      <c r="X90" s="27" t="s">
        <v>1275</v>
      </c>
      <c r="Y90" s="27"/>
      <c r="Z90" s="27"/>
      <c r="AA90" s="32"/>
      <c r="AB90" s="31" t="s">
        <v>203</v>
      </c>
      <c r="AC90" s="27"/>
      <c r="AD90" s="33" t="str">
        <f ca="1">QUOTIENT(SUMPRODUCT(LEFT($AE90:$AF90,FIND("년",$AE90:$AF90)-1)*12+MID($AE90:$AF90,FIND("년",$AE90:$AF90)+1,FIND("개월",$AE90:$AF90)-FIND("년",$AE90:$AF90)-1)),12)&amp;"년"&amp;MOD(SUMPRODUCT(LEFT($AE90:$AF90,FIND("년",$AE90:$AF90)-1)*12+MID($AE90:$AF90,FIND("년",$AE90:$AF90)+1,FIND("개월",$AE90:$AF90)-FIND("년",$AE90:$AF90)-1)),12)&amp;"개월"</f>
        <v>8년8개월</v>
      </c>
      <c r="AE90" s="33" t="s">
        <v>362</v>
      </c>
      <c r="AF90" s="34" t="str">
        <f ca="1">DATEDIF($L90,TODAY(),"y")&amp;"년"&amp;DATEDIF($L90,TODAY(),"ym")&amp;"개월"</f>
        <v>2년3개월</v>
      </c>
      <c r="AG90" s="35" t="s">
        <v>1276</v>
      </c>
      <c r="AH90" s="35" t="s">
        <v>269</v>
      </c>
      <c r="AI90" s="30" t="s">
        <v>270</v>
      </c>
      <c r="AJ90" s="32">
        <v>42780</v>
      </c>
      <c r="AK90" s="36">
        <f ca="1">VALUE(LEFT($AD90,FIND("년",$AD90)-1))</f>
        <v>8</v>
      </c>
      <c r="AL90" s="31" t="str">
        <f ca="1">IF($AI90="학사",IF($AK90&lt;=5,"초급",IF($AK90&lt;9,"중급",IF($AK90&lt;12,"고급",IF($AK90&gt;=12,"특급")))))</f>
        <v>중급</v>
      </c>
      <c r="AM90" s="31" t="str">
        <f>IF(ISNUMBER(SEARCH("산업기사",$AT90)),IF($AK90&gt;=13,"특급",IF($AK90&gt;=10,"고급",IF($AK90&gt;=7,"중급","초급"))),IF(ISNUMBER(SEARCH("기사",$AR90)),IF($AK90&gt;=10,"특급",IF($AK90&gt;=7,"고급",IF($AK90&gt;=4,"중급","초급"))),"미해당"))</f>
        <v>미해당</v>
      </c>
      <c r="AN90" s="27"/>
      <c r="AO90" s="32"/>
      <c r="AP90" s="27" t="s">
        <v>137</v>
      </c>
      <c r="AQ90" s="32">
        <v>44278</v>
      </c>
      <c r="AR90" s="27"/>
      <c r="AS90" s="27"/>
      <c r="AT90" s="37"/>
      <c r="AU90" s="27"/>
      <c r="AV90" s="38"/>
      <c r="AW90" s="39"/>
      <c r="AX90" s="39"/>
      <c r="AY90" s="40" t="s">
        <v>251</v>
      </c>
      <c r="AZ90" s="41" t="s">
        <v>252</v>
      </c>
      <c r="BA90" s="30" t="s">
        <v>230</v>
      </c>
      <c r="BB90" s="30" t="s">
        <v>1277</v>
      </c>
      <c r="BC90" s="42"/>
      <c r="BD90" s="42"/>
      <c r="BE90" s="43" t="s">
        <v>1278</v>
      </c>
      <c r="BF90" s="42" t="s">
        <v>211</v>
      </c>
      <c r="BG90" s="42" t="s">
        <v>371</v>
      </c>
      <c r="BH90" s="35"/>
      <c r="BI90" s="44" t="s">
        <v>1279</v>
      </c>
      <c r="BJ90" s="45" t="str">
        <f>IFERROR(VLOOKUP($BG90,[1]프로젝트현황!Y:Z,2,0),"기타")</f>
        <v>서남권</v>
      </c>
      <c r="BK90" s="46" t="str">
        <f>(IF(BF90="","",BF90&amp;" "))&amp;(IF(BG90="","",BG90&amp;" "))&amp;(IF(BH90="","",BH90&amp;" "))&amp;BI90</f>
        <v>서울시 관악구 난곡로35길 28-7, 다동 1001호(신림동, 건영아파트)</v>
      </c>
      <c r="BL90" s="47">
        <v>30</v>
      </c>
      <c r="BM90" s="47">
        <v>30</v>
      </c>
      <c r="BN90" s="48">
        <v>40000000</v>
      </c>
      <c r="BO90" s="48">
        <f>BP90*12</f>
        <v>40000000.799999997</v>
      </c>
      <c r="BP90" s="49">
        <f>SUM(BQ90:BS90)</f>
        <v>3333333.4</v>
      </c>
      <c r="BQ90" s="49">
        <f>ROUNDUP(BN90/12*209/(209+BU90*1.5)/BL90*BM90,-1)-BS90</f>
        <v>2227410</v>
      </c>
      <c r="BR90" s="49">
        <f>ROUNDUP(BN90/12*(BU90*1.5)/(209+BU90*1.5)/BL90*BM90,1)</f>
        <v>905923.4</v>
      </c>
      <c r="BS90" s="49">
        <v>200000</v>
      </c>
      <c r="BT90" s="50">
        <v>209</v>
      </c>
      <c r="BU90" s="49">
        <f>IF($BN90="","",
IFERROR(
    IF($BN90&lt;'[1]시간외시간 기준표'!$B$2,0,
        IF($BN90&gt;LOOKUP(9.9E+307,'[1]시간외시간 기준표'!$B$2:$B$999),
            LOOKUP(9.9E+307,'[1]시간외시간 기준표'!$C$2:$C$999),
            LOOKUP($BN90,'[1]시간외시간 기준표'!$B$2:$B$999,'[1]시간외시간 기준표'!$C$2:$C$999)
        )
    ),0)
)</f>
        <v>52</v>
      </c>
      <c r="BV90" s="50">
        <f>(BQ90+BS90)/209</f>
        <v>11614.401913875598</v>
      </c>
      <c r="BW90" s="51">
        <v>30</v>
      </c>
      <c r="BX90" s="51">
        <v>30</v>
      </c>
      <c r="BY90" s="52">
        <v>40000000</v>
      </c>
      <c r="BZ90" s="52">
        <f>CA90*12</f>
        <v>40000000.799999997</v>
      </c>
      <c r="CA90" s="49">
        <f>SUM(CB90:CD90)</f>
        <v>3333333.4</v>
      </c>
      <c r="CB90" s="49">
        <f>ROUNDUP(BY90/12*209/(209+CF90*1.5)/BW90*BX90,-1)-CD90</f>
        <v>2227410</v>
      </c>
      <c r="CC90" s="49">
        <f>ROUNDUP(BY90/12*(CF90*1.5)/(209+CF90*1.5)/BW90*BX90,1)</f>
        <v>905923.4</v>
      </c>
      <c r="CD90" s="49">
        <v>200000</v>
      </c>
      <c r="CE90" s="50">
        <v>209</v>
      </c>
      <c r="CF90" s="49">
        <f>IF(BY90&lt;26000000,0,IF(BY90&lt;26500000,4,IF(BY90&lt;27000000,7,IF(BY90&lt;27500000,9,IF(BY90&lt;28000000,11,IF(BY90&lt;28500000,15,IF(BY90&lt;29000000,17,IF(BY90&lt;29500000,20,IF(BY90&lt;30000000,23,IF(BY90&lt;30500000,25,IF(BY90&lt;31000000,27,IF(BY90&lt;31500000,29,IF(BY90&lt;32000000,33,IF(BY90&lt;32500000,37,IF(BY90&lt;33000000,39,IF(BY90&lt;33500000,42,IF(BY90&lt;34000000,45,IF(BY90&lt;34500000,48,IF(BY90&lt;35000000,52,52)))))))))))))))))))</f>
        <v>52</v>
      </c>
      <c r="CG90" s="50">
        <f>(CB90+CD90)/209</f>
        <v>11614.401913875598</v>
      </c>
      <c r="CH90" s="51">
        <v>30</v>
      </c>
      <c r="CI90" s="51">
        <v>30</v>
      </c>
      <c r="CJ90" s="52">
        <v>40000000</v>
      </c>
      <c r="CK90" s="52">
        <f>CL90*12</f>
        <v>40000000.799999997</v>
      </c>
      <c r="CL90" s="49">
        <f>SUM(CM90:CO90)</f>
        <v>3333333.4</v>
      </c>
      <c r="CM90" s="49">
        <f>ROUNDUP(CJ90/12*209/(209+CQ90*1.5)/CH90*CI90,-1)-CO90</f>
        <v>2227410</v>
      </c>
      <c r="CN90" s="49">
        <f>ROUNDUP(CJ90/12*(CQ90*1.5)/(209+CQ90*1.5)/CH90*CI90,1)</f>
        <v>905923.4</v>
      </c>
      <c r="CO90" s="50">
        <v>200000</v>
      </c>
      <c r="CP90" s="50">
        <v>209</v>
      </c>
      <c r="CQ90" s="50">
        <f>IF(CJ90&lt;26000000,0,IF(CJ90&lt;26500000,4,IF(CJ90&lt;27000000,7,IF(CJ90&lt;27500000,9,IF(CJ90&lt;28000000,11,IF(CJ90&lt;28500000,15,IF(CJ90&lt;29000000,17,IF(CJ90&lt;29500000,20,IF(CJ90&lt;30000000,23,IF(CJ90&lt;30500000,25,IF(CJ90&lt;31000000,27,IF(CJ90&lt;31500000,29,IF(CJ90&lt;32000000,33,IF(CJ90&lt;32500000,37,IF(CJ90&lt;33000000,39,IF(CJ90&lt;33500000,42,IF(CJ90&lt;34000000,45,IF(CJ90&lt;34500000,48,IF(CJ90&lt;35000000,52,52)))))))))))))))))))</f>
        <v>52</v>
      </c>
      <c r="CR90" s="50">
        <f>(CM90+CO90)/209</f>
        <v>11614.401913875598</v>
      </c>
      <c r="CS90" s="52">
        <v>40000000</v>
      </c>
      <c r="CT90" s="53">
        <f>IFERROR(CS90/12,"")</f>
        <v>3333333.3333333335</v>
      </c>
      <c r="CU90" s="53">
        <f>IFERROR(CT90-CV90-CW90,"")</f>
        <v>2227409.9883855982</v>
      </c>
      <c r="CV90" s="53">
        <f>IFERROR(CT90*(CY90*1.5)/(209+(CY90*1.5)),"")</f>
        <v>905923.3449477352</v>
      </c>
      <c r="CW90" s="54">
        <v>200000</v>
      </c>
      <c r="CX90" s="54">
        <v>209</v>
      </c>
      <c r="CY90" s="54">
        <v>52</v>
      </c>
      <c r="CZ90" s="55">
        <f>SUM(CX90:CY90)</f>
        <v>261</v>
      </c>
      <c r="DA90" s="55">
        <f>IFERROR((CU90/209)+(CW90-(9620*209*0.01))/209,"")</f>
        <v>11518.201858304299</v>
      </c>
      <c r="DB90" s="56">
        <f>IFERROR((CU90+CW90)/209,"")</f>
        <v>11614.401858304298</v>
      </c>
      <c r="DC90" s="57">
        <v>2023</v>
      </c>
      <c r="DD90" s="58"/>
      <c r="DE90" s="58"/>
      <c r="DF90" s="57"/>
      <c r="DG90" s="59">
        <f>B90</f>
        <v>231102</v>
      </c>
      <c r="DH90" s="58"/>
      <c r="DI90" s="58"/>
      <c r="DJ90" s="60"/>
      <c r="DK90" s="58"/>
      <c r="DL90" s="61"/>
      <c r="DM90" s="24"/>
    </row>
    <row r="91" spans="1:117" ht="15" customHeight="1">
      <c r="A91" s="25">
        <f>ROW()-2</f>
        <v>89</v>
      </c>
      <c r="B91" s="26">
        <v>231104</v>
      </c>
      <c r="C91" s="27" t="s">
        <v>1280</v>
      </c>
      <c r="D91" s="27"/>
      <c r="E91" s="27" t="s">
        <v>283</v>
      </c>
      <c r="F91" s="27" t="s">
        <v>196</v>
      </c>
      <c r="G91" s="27" t="s">
        <v>1051</v>
      </c>
      <c r="H91" s="27" t="s">
        <v>217</v>
      </c>
      <c r="I91" s="27" t="s">
        <v>1052</v>
      </c>
      <c r="J91" s="27" t="str">
        <f>+VLOOKUP($I91,[1]프로젝트현황!$I:$N,5,0)</f>
        <v>서울시</v>
      </c>
      <c r="K91" s="27" t="str">
        <f>+VLOOKUP($I91,[1]프로젝트현황!$I:$N,6,0)</f>
        <v>서초구</v>
      </c>
      <c r="L91" s="28">
        <v>45243</v>
      </c>
      <c r="M91" s="28">
        <v>45243</v>
      </c>
      <c r="N91" s="28"/>
      <c r="O91" s="29"/>
      <c r="P91" s="30" t="s">
        <v>1281</v>
      </c>
      <c r="Q91" s="27" t="s">
        <v>1282</v>
      </c>
      <c r="R91" s="31" t="str">
        <f>LEFT(Q91,6)</f>
        <v>771222</v>
      </c>
      <c r="S91" s="31" t="str">
        <f>MID($Q91,3,2)</f>
        <v>12</v>
      </c>
      <c r="T91" s="31" t="str">
        <f>IF(OR(MID($Q91,8,1)="1",MID($Q91,8,1)="3"),"남자",IF(OR(MID($Q91,8,1)="2",MID($Q91,8,1)="4"),"여자",""))</f>
        <v>여자</v>
      </c>
      <c r="U91" s="31">
        <f ca="1">YEAR(TODAY())-IF(OR(MID($Q91,8,1)="1",MID($Q91,8,1)="2"),19&amp;LEFT($Q91,2),IF(OR(MID($Q91,8,1)="3",MID($Q91,8,1)="4"),20&amp;LEFT($Q91,2),""))+1</f>
        <v>50</v>
      </c>
      <c r="V91" s="31" t="s">
        <v>200</v>
      </c>
      <c r="W91" s="31" t="s">
        <v>201</v>
      </c>
      <c r="X91" s="27" t="s">
        <v>1283</v>
      </c>
      <c r="Y91" s="27"/>
      <c r="Z91" s="27"/>
      <c r="AA91" s="32"/>
      <c r="AB91" s="31" t="s">
        <v>203</v>
      </c>
      <c r="AC91" s="27"/>
      <c r="AD91" s="33" t="str">
        <f ca="1">QUOTIENT(SUMPRODUCT(LEFT($AE91:$AF91,FIND("년",$AE91:$AF91)-1)*12+MID($AE91:$AF91,FIND("년",$AE91:$AF91)+1,FIND("개월",$AE91:$AF91)-FIND("년",$AE91:$AF91)-1)),12)&amp;"년"&amp;MOD(SUMPRODUCT(LEFT($AE91:$AF91,FIND("년",$AE91:$AF91)-1)*12+MID($AE91:$AF91,FIND("년",$AE91:$AF91)+1,FIND("개월",$AE91:$AF91)-FIND("년",$AE91:$AF91)-1)),12)&amp;"개월"</f>
        <v>17년8개월</v>
      </c>
      <c r="AE91" s="33" t="s">
        <v>1284</v>
      </c>
      <c r="AF91" s="34" t="str">
        <f ca="1">DATEDIF($L91,TODAY(),"y")&amp;"년"&amp;DATEDIF($L91,TODAY(),"ym")&amp;"개월"</f>
        <v>2년2개월</v>
      </c>
      <c r="AG91" s="35" t="s">
        <v>691</v>
      </c>
      <c r="AH91" s="35" t="s">
        <v>702</v>
      </c>
      <c r="AI91" s="30" t="s">
        <v>270</v>
      </c>
      <c r="AJ91" s="32">
        <v>36578</v>
      </c>
      <c r="AK91" s="36">
        <f ca="1">VALUE(LEFT($AD91,FIND("년",$AD91)-1))</f>
        <v>17</v>
      </c>
      <c r="AL91" s="31" t="str">
        <f ca="1">IF($AI91="학사",IF($AK91&lt;=5,"초급",IF($AK91&lt;9,"중급",IF($AK91&lt;12,"고급",IF($AK91&gt;=12,"특급")))))</f>
        <v>특급</v>
      </c>
      <c r="AM91" s="31" t="str">
        <f ca="1">IF(ISNUMBER(SEARCH("산업기사",$AT91)),IF($AK91&gt;=13,"특급",IF($AK91&gt;=10,"고급",IF($AK91&gt;=7,"중급","초급"))),IF(ISNUMBER(SEARCH("기사",$AR91)),IF($AK91&gt;=10,"특급",IF($AK91&gt;=7,"고급",IF($AK91&gt;=4,"중급","초급"))),"미해당"))</f>
        <v>특급</v>
      </c>
      <c r="AN91" s="27"/>
      <c r="AO91" s="32"/>
      <c r="AP91" s="27" t="s">
        <v>137</v>
      </c>
      <c r="AQ91" s="32">
        <v>45184</v>
      </c>
      <c r="AR91" s="27" t="s">
        <v>139</v>
      </c>
      <c r="AS91" s="27">
        <v>36521</v>
      </c>
      <c r="AT91" s="37"/>
      <c r="AU91" s="27"/>
      <c r="AV91" s="38" t="s">
        <v>1285</v>
      </c>
      <c r="AW91" s="39" t="s">
        <v>1286</v>
      </c>
      <c r="AX91" s="39" t="s">
        <v>1287</v>
      </c>
      <c r="AY91" s="40" t="s">
        <v>251</v>
      </c>
      <c r="AZ91" s="41" t="s">
        <v>252</v>
      </c>
      <c r="BA91" s="30" t="s">
        <v>230</v>
      </c>
      <c r="BB91" s="30" t="s">
        <v>1288</v>
      </c>
      <c r="BC91" s="42" t="s">
        <v>507</v>
      </c>
      <c r="BD91" s="42" t="s">
        <v>1289</v>
      </c>
      <c r="BE91" s="43" t="s">
        <v>1290</v>
      </c>
      <c r="BF91" s="42" t="s">
        <v>234</v>
      </c>
      <c r="BG91" s="42" t="s">
        <v>295</v>
      </c>
      <c r="BH91" s="35" t="s">
        <v>1291</v>
      </c>
      <c r="BI91" s="44" t="s">
        <v>1292</v>
      </c>
      <c r="BJ91" s="45" t="str">
        <f>IFERROR(VLOOKUP($BG91,[1]프로젝트현황!Y:Z,2,0),"기타")</f>
        <v>동남권</v>
      </c>
      <c r="BK91" s="46" t="str">
        <f>(IF(BF91="","",BF91&amp;" "))&amp;(IF(BG91="","",BG91&amp;" "))&amp;(IF(BH91="","",BH91&amp;" "))&amp;BI91</f>
        <v>경기도 수원시 영통구 도청로 65, 5405동 301호(이의동, 자연&amp;힐스테이트아파트)</v>
      </c>
      <c r="BL91" s="47">
        <v>30</v>
      </c>
      <c r="BM91" s="47">
        <v>30</v>
      </c>
      <c r="BN91" s="48">
        <v>50866666.666666664</v>
      </c>
      <c r="BO91" s="48">
        <f>BP91*12</f>
        <v>50866711.199999996</v>
      </c>
      <c r="BP91" s="49">
        <f>SUM(BQ91:BS91)</f>
        <v>4238892.5999999996</v>
      </c>
      <c r="BQ91" s="49">
        <f>ROUNDUP(BN91/12*209/(209+BU91*1.5)/BL91*BM91,-1)-BS91</f>
        <v>2886860</v>
      </c>
      <c r="BR91" s="49">
        <f>ROUNDUP(BN91/12*(BU91*1.5)/(209+BU91*1.5)/BL91*BM91,1)</f>
        <v>1152032.6000000001</v>
      </c>
      <c r="BS91" s="49">
        <v>200000</v>
      </c>
      <c r="BT91" s="50">
        <v>209</v>
      </c>
      <c r="BU91" s="49">
        <f>IF($BN91="","",
IFERROR(
    IF($BN91&lt;'[1]시간외시간 기준표'!$B$2,0,
        IF($BN91&gt;LOOKUP(9.9E+307,'[1]시간외시간 기준표'!$B$2:$B$999),
            LOOKUP(9.9E+307,'[1]시간외시간 기준표'!$C$2:$C$999),
            LOOKUP($BN91,'[1]시간외시간 기준표'!$B$2:$B$999,'[1]시간외시간 기준표'!$C$2:$C$999)
        )
    ),0)
)</f>
        <v>52</v>
      </c>
      <c r="BV91" s="50">
        <f>(BQ91+BS91)/209</f>
        <v>14769.665071770334</v>
      </c>
      <c r="BW91" s="51">
        <v>30</v>
      </c>
      <c r="BX91" s="51">
        <v>30</v>
      </c>
      <c r="BY91" s="52">
        <v>50866666.666666664</v>
      </c>
      <c r="BZ91" s="52">
        <f>CA91*12</f>
        <v>50866711.199999996</v>
      </c>
      <c r="CA91" s="49">
        <f>SUM(CB91:CD91)</f>
        <v>4238892.5999999996</v>
      </c>
      <c r="CB91" s="49">
        <f>ROUNDUP(BY91/12*209/(209+CF91*1.5)/BW91*BX91,-1)-CD91</f>
        <v>2886860</v>
      </c>
      <c r="CC91" s="49">
        <f>ROUNDUP(BY91/12*(CF91*1.5)/(209+CF91*1.5)/BW91*BX91,1)</f>
        <v>1152032.6000000001</v>
      </c>
      <c r="CD91" s="49">
        <v>200000</v>
      </c>
      <c r="CE91" s="50">
        <v>209</v>
      </c>
      <c r="CF91" s="49">
        <f>IF(BY91&lt;26000000,0,IF(BY91&lt;26500000,4,IF(BY91&lt;27000000,7,IF(BY91&lt;27500000,9,IF(BY91&lt;28000000,11,IF(BY91&lt;28500000,15,IF(BY91&lt;29000000,17,IF(BY91&lt;29500000,20,IF(BY91&lt;30000000,23,IF(BY91&lt;30500000,25,IF(BY91&lt;31000000,27,IF(BY91&lt;31500000,29,IF(BY91&lt;32000000,33,IF(BY91&lt;32500000,37,IF(BY91&lt;33000000,39,IF(BY91&lt;33500000,42,IF(BY91&lt;34000000,45,IF(BY91&lt;34500000,48,IF(BY91&lt;35000000,52,52)))))))))))))))))))</f>
        <v>52</v>
      </c>
      <c r="CG91" s="50">
        <f>(CB91+CD91)/209</f>
        <v>14769.665071770334</v>
      </c>
      <c r="CH91" s="51">
        <v>30</v>
      </c>
      <c r="CI91" s="51">
        <v>30</v>
      </c>
      <c r="CJ91" s="52">
        <v>50000000</v>
      </c>
      <c r="CK91" s="52">
        <f>CL91*12</f>
        <v>50000090.400000006</v>
      </c>
      <c r="CL91" s="49">
        <f>SUM(CM91:CO91)</f>
        <v>4166674.2</v>
      </c>
      <c r="CM91" s="49">
        <f>ROUNDUP(CJ91/12*209/(209+CQ91*1.5)/CH91*CI91,-1)-CO91</f>
        <v>2834270</v>
      </c>
      <c r="CN91" s="49">
        <f>ROUNDUP(CJ91/12*(CQ91*1.5)/(209+CQ91*1.5)/CH91*CI91,1)</f>
        <v>1132404.2000000002</v>
      </c>
      <c r="CO91" s="50">
        <v>200000</v>
      </c>
      <c r="CP91" s="50">
        <v>209</v>
      </c>
      <c r="CQ91" s="50">
        <f>IF(CJ91&lt;26000000,0,IF(CJ91&lt;26500000,4,IF(CJ91&lt;27000000,7,IF(CJ91&lt;27500000,9,IF(CJ91&lt;28000000,11,IF(CJ91&lt;28500000,15,IF(CJ91&lt;29000000,17,IF(CJ91&lt;29500000,20,IF(CJ91&lt;30000000,23,IF(CJ91&lt;30500000,25,IF(CJ91&lt;31000000,27,IF(CJ91&lt;31500000,29,IF(CJ91&lt;32000000,33,IF(CJ91&lt;32500000,37,IF(CJ91&lt;33000000,39,IF(CJ91&lt;33500000,42,IF(CJ91&lt;34000000,45,IF(CJ91&lt;34500000,48,IF(CJ91&lt;35000000,52,52)))))))))))))))))))</f>
        <v>52</v>
      </c>
      <c r="CR91" s="50">
        <f>(CM91+CO91)/209</f>
        <v>14518.038277511961</v>
      </c>
      <c r="CS91" s="52">
        <v>50000000</v>
      </c>
      <c r="CT91" s="53">
        <f>IFERROR(CS91/12,"")</f>
        <v>4166666.6666666665</v>
      </c>
      <c r="CU91" s="53">
        <f>IFERROR(CT91-CV91-CW91,"")</f>
        <v>2834262.4854819975</v>
      </c>
      <c r="CV91" s="53">
        <f>IFERROR(CT91*(CY91*1.5)/(209+(CY91*1.5)),"")</f>
        <v>1132404.181184669</v>
      </c>
      <c r="CW91" s="54">
        <v>200000</v>
      </c>
      <c r="CX91" s="54">
        <v>209</v>
      </c>
      <c r="CY91" s="54">
        <v>52</v>
      </c>
      <c r="CZ91" s="55">
        <f>SUM(CX91:CY91)</f>
        <v>261</v>
      </c>
      <c r="DA91" s="55">
        <f>IFERROR((CU91/209)+(CW91-(9620*209*0.01))/209,"")</f>
        <v>14421.802322880372</v>
      </c>
      <c r="DB91" s="56">
        <f>IFERROR((CU91+CW91)/209,"")</f>
        <v>14518.002322880371</v>
      </c>
      <c r="DC91" s="57">
        <v>2023</v>
      </c>
      <c r="DD91" s="58"/>
      <c r="DE91" s="58"/>
      <c r="DF91" s="57"/>
      <c r="DG91" s="59">
        <f>B91</f>
        <v>231104</v>
      </c>
      <c r="DH91" s="58"/>
      <c r="DI91" s="58"/>
      <c r="DJ91" s="60"/>
      <c r="DK91" s="58"/>
      <c r="DL91" s="61"/>
      <c r="DM91" s="24"/>
    </row>
    <row r="92" spans="1:117" ht="15" customHeight="1">
      <c r="A92" s="25">
        <f>ROW()-2</f>
        <v>90</v>
      </c>
      <c r="B92" s="26">
        <v>231201</v>
      </c>
      <c r="C92" s="27" t="s">
        <v>1293</v>
      </c>
      <c r="D92" s="27" t="s">
        <v>282</v>
      </c>
      <c r="E92" s="27" t="s">
        <v>283</v>
      </c>
      <c r="F92" s="27" t="s">
        <v>196</v>
      </c>
      <c r="G92" s="27" t="s">
        <v>240</v>
      </c>
      <c r="H92" s="27" t="s">
        <v>217</v>
      </c>
      <c r="I92" s="27" t="s">
        <v>1052</v>
      </c>
      <c r="J92" s="27" t="str">
        <f>+VLOOKUP($I92,[1]프로젝트현황!$I:$N,5,0)</f>
        <v>서울시</v>
      </c>
      <c r="K92" s="27" t="str">
        <f>+VLOOKUP($I92,[1]프로젝트현황!$I:$N,6,0)</f>
        <v>서초구</v>
      </c>
      <c r="L92" s="28">
        <v>45261</v>
      </c>
      <c r="M92" s="28">
        <v>45261</v>
      </c>
      <c r="N92" s="28"/>
      <c r="O92" s="29"/>
      <c r="P92" s="30" t="s">
        <v>1294</v>
      </c>
      <c r="Q92" s="27" t="s">
        <v>1295</v>
      </c>
      <c r="R92" s="31" t="str">
        <f>LEFT(Q92,6)</f>
        <v>790518</v>
      </c>
      <c r="S92" s="31" t="str">
        <f>MID($Q92,3,2)</f>
        <v>05</v>
      </c>
      <c r="T92" s="31" t="str">
        <f>IF(OR(MID($Q92,8,1)="1",MID($Q92,8,1)="3"),"남자",IF(OR(MID($Q92,8,1)="2",MID($Q92,8,1)="4"),"여자",""))</f>
        <v>남자</v>
      </c>
      <c r="U92" s="31">
        <f ca="1">YEAR(TODAY())-IF(OR(MID($Q92,8,1)="1",MID($Q92,8,1)="2"),19&amp;LEFT($Q92,2),IF(OR(MID($Q92,8,1)="3",MID($Q92,8,1)="4"),20&amp;LEFT($Q92,2),""))+1</f>
        <v>48</v>
      </c>
      <c r="V92" s="31" t="s">
        <v>200</v>
      </c>
      <c r="W92" s="31" t="s">
        <v>201</v>
      </c>
      <c r="X92" s="27" t="s">
        <v>1296</v>
      </c>
      <c r="Y92" s="27"/>
      <c r="Z92" s="27" t="s">
        <v>222</v>
      </c>
      <c r="AA92" s="32"/>
      <c r="AB92" s="31" t="s">
        <v>203</v>
      </c>
      <c r="AC92" s="27"/>
      <c r="AD92" s="33" t="str">
        <f ca="1">QUOTIENT(SUMPRODUCT(LEFT($AE92:$AF92,FIND("년",$AE92:$AF92)-1)*12+MID($AE92:$AF92,FIND("년",$AE92:$AF92)+1,FIND("개월",$AE92:$AF92)-FIND("년",$AE92:$AF92)-1)),12)&amp;"년"&amp;MOD(SUMPRODUCT(LEFT($AE92:$AF92,FIND("년",$AE92:$AF92)-1)*12+MID($AE92:$AF92,FIND("년",$AE92:$AF92)+1,FIND("개월",$AE92:$AF92)-FIND("년",$AE92:$AF92)-1)),12)&amp;"개월"</f>
        <v>15년4개월</v>
      </c>
      <c r="AE92" s="33" t="s">
        <v>1297</v>
      </c>
      <c r="AF92" s="34" t="str">
        <f ca="1">DATEDIF($L92,TODAY(),"y")&amp;"년"&amp;DATEDIF($L92,TODAY(),"ym")&amp;"개월"</f>
        <v>2년2개월</v>
      </c>
      <c r="AG92" s="35" t="s">
        <v>1298</v>
      </c>
      <c r="AH92" s="35" t="s">
        <v>1299</v>
      </c>
      <c r="AI92" s="30" t="s">
        <v>270</v>
      </c>
      <c r="AJ92" s="32">
        <v>39493</v>
      </c>
      <c r="AK92" s="36">
        <f ca="1">VALUE(LEFT($AD92,FIND("년",$AD92)-1))</f>
        <v>15</v>
      </c>
      <c r="AL92" s="31" t="str">
        <f ca="1">IF($AI92="학사",IF($AK92&lt;=5,"초급",IF($AK92&lt;9,"중급",IF($AK92&lt;12,"고급",IF($AK92&gt;=12,"특급")))))</f>
        <v>특급</v>
      </c>
      <c r="AM92" s="31" t="str">
        <f>IF(ISNUMBER(SEARCH("산업기사",$AT92)),IF($AK92&gt;=13,"특급",IF($AK92&gt;=10,"고급",IF($AK92&gt;=7,"중급","초급"))),IF(ISNUMBER(SEARCH("기사",$AR92)),IF($AK92&gt;=10,"특급",IF($AK92&gt;=7,"고급",IF($AK92&gt;=4,"중급","초급"))),"미해당"))</f>
        <v>미해당</v>
      </c>
      <c r="AN92" s="27" t="s">
        <v>135</v>
      </c>
      <c r="AO92" s="32">
        <v>40731</v>
      </c>
      <c r="AP92" s="27"/>
      <c r="AQ92" s="32"/>
      <c r="AR92" s="27"/>
      <c r="AS92" s="27"/>
      <c r="AT92" s="37"/>
      <c r="AU92" s="27"/>
      <c r="AV92" s="38" t="s">
        <v>1300</v>
      </c>
      <c r="AW92" s="39" t="s">
        <v>1301</v>
      </c>
      <c r="AX92" s="39" t="s">
        <v>1302</v>
      </c>
      <c r="AY92" s="40" t="s">
        <v>251</v>
      </c>
      <c r="AZ92" s="41" t="s">
        <v>252</v>
      </c>
      <c r="BA92" s="30" t="s">
        <v>230</v>
      </c>
      <c r="BB92" s="30" t="s">
        <v>1303</v>
      </c>
      <c r="BC92" s="42" t="s">
        <v>507</v>
      </c>
      <c r="BD92" s="42" t="s">
        <v>1304</v>
      </c>
      <c r="BE92" s="43" t="s">
        <v>1305</v>
      </c>
      <c r="BF92" s="42" t="s">
        <v>234</v>
      </c>
      <c r="BG92" s="42" t="s">
        <v>1306</v>
      </c>
      <c r="BH92" s="35"/>
      <c r="BI92" s="44" t="s">
        <v>1307</v>
      </c>
      <c r="BJ92" s="45" t="str">
        <f>IFERROR(VLOOKUP($BG92,[1]프로젝트현황!Y:Z,2,0),"기타")</f>
        <v>동남권</v>
      </c>
      <c r="BK92" s="46" t="str">
        <f>(IF(BF92="","",BF92&amp;" "))&amp;(IF(BG92="","",BG92&amp;" "))&amp;(IF(BH92="","",BH92&amp;" "))&amp;BI92</f>
        <v>경기도 하남시 미사강변동로 177, 1201동 1303호(망월동, 미사강변도시12단지)</v>
      </c>
      <c r="BL92" s="47">
        <v>30</v>
      </c>
      <c r="BM92" s="47">
        <v>30</v>
      </c>
      <c r="BN92" s="48">
        <v>50866666.666666664</v>
      </c>
      <c r="BO92" s="48">
        <f>BP92*12</f>
        <v>50866711.199999996</v>
      </c>
      <c r="BP92" s="49">
        <f>SUM(BQ92:BS92)</f>
        <v>4238892.5999999996</v>
      </c>
      <c r="BQ92" s="49">
        <f>ROUNDUP(BN92/12*209/(209+BU92*1.5)/BL92*BM92,-1)-BS92</f>
        <v>2886860</v>
      </c>
      <c r="BR92" s="49">
        <f>ROUNDUP(BN92/12*(BU92*1.5)/(209+BU92*1.5)/BL92*BM92,1)</f>
        <v>1152032.6000000001</v>
      </c>
      <c r="BS92" s="49">
        <v>200000</v>
      </c>
      <c r="BT92" s="50">
        <v>209</v>
      </c>
      <c r="BU92" s="49">
        <f>IF($BN92="","",
IFERROR(
    IF($BN92&lt;'[1]시간외시간 기준표'!$B$2,0,
        IF($BN92&gt;LOOKUP(9.9E+307,'[1]시간외시간 기준표'!$B$2:$B$999),
            LOOKUP(9.9E+307,'[1]시간외시간 기준표'!$C$2:$C$999),
            LOOKUP($BN92,'[1]시간외시간 기준표'!$B$2:$B$999,'[1]시간외시간 기준표'!$C$2:$C$999)
        )
    ),0)
)</f>
        <v>52</v>
      </c>
      <c r="BV92" s="50">
        <f>(BQ92+BS92)/209</f>
        <v>14769.665071770334</v>
      </c>
      <c r="BW92" s="51">
        <v>30</v>
      </c>
      <c r="BX92" s="51">
        <v>30</v>
      </c>
      <c r="BY92" s="52">
        <v>50866666.666666664</v>
      </c>
      <c r="BZ92" s="52">
        <f>CA92*12</f>
        <v>50866711.199999996</v>
      </c>
      <c r="CA92" s="49">
        <f>SUM(CB92:CD92)</f>
        <v>4238892.5999999996</v>
      </c>
      <c r="CB92" s="49">
        <f>ROUNDUP(BY92/12*209/(209+CF92*1.5)/BW92*BX92,-1)-CD92</f>
        <v>2886860</v>
      </c>
      <c r="CC92" s="49">
        <f>ROUNDUP(BY92/12*(CF92*1.5)/(209+CF92*1.5)/BW92*BX92,1)</f>
        <v>1152032.6000000001</v>
      </c>
      <c r="CD92" s="49">
        <v>200000</v>
      </c>
      <c r="CE92" s="50">
        <v>209</v>
      </c>
      <c r="CF92" s="49">
        <f>IF(BY92&lt;26000000,0,IF(BY92&lt;26500000,4,IF(BY92&lt;27000000,7,IF(BY92&lt;27500000,9,IF(BY92&lt;28000000,11,IF(BY92&lt;28500000,15,IF(BY92&lt;29000000,17,IF(BY92&lt;29500000,20,IF(BY92&lt;30000000,23,IF(BY92&lt;30500000,25,IF(BY92&lt;31000000,27,IF(BY92&lt;31500000,29,IF(BY92&lt;32000000,33,IF(BY92&lt;32500000,37,IF(BY92&lt;33000000,39,IF(BY92&lt;33500000,42,IF(BY92&lt;34000000,45,IF(BY92&lt;34500000,48,IF(BY92&lt;35000000,52,52)))))))))))))))))))</f>
        <v>52</v>
      </c>
      <c r="CG92" s="50">
        <f>(CB92+CD92)/209</f>
        <v>14769.665071770334</v>
      </c>
      <c r="CH92" s="51">
        <v>30</v>
      </c>
      <c r="CI92" s="51">
        <v>30</v>
      </c>
      <c r="CJ92" s="52">
        <v>50000000</v>
      </c>
      <c r="CK92" s="52">
        <f>CL92*12</f>
        <v>50000090.400000006</v>
      </c>
      <c r="CL92" s="49">
        <f>SUM(CM92:CO92)</f>
        <v>4166674.2</v>
      </c>
      <c r="CM92" s="49">
        <f>ROUNDUP(CJ92/12*209/(209+CQ92*1.5)/CH92*CI92,-1)-CO92</f>
        <v>2834270</v>
      </c>
      <c r="CN92" s="49">
        <f>ROUNDUP(CJ92/12*(CQ92*1.5)/(209+CQ92*1.5)/CH92*CI92,1)</f>
        <v>1132404.2000000002</v>
      </c>
      <c r="CO92" s="50">
        <v>200000</v>
      </c>
      <c r="CP92" s="50">
        <v>209</v>
      </c>
      <c r="CQ92" s="50">
        <f>IF(CJ92&lt;26000000,0,IF(CJ92&lt;26500000,4,IF(CJ92&lt;27000000,7,IF(CJ92&lt;27500000,9,IF(CJ92&lt;28000000,11,IF(CJ92&lt;28500000,15,IF(CJ92&lt;29000000,17,IF(CJ92&lt;29500000,20,IF(CJ92&lt;30000000,23,IF(CJ92&lt;30500000,25,IF(CJ92&lt;31000000,27,IF(CJ92&lt;31500000,29,IF(CJ92&lt;32000000,33,IF(CJ92&lt;32500000,37,IF(CJ92&lt;33000000,39,IF(CJ92&lt;33500000,42,IF(CJ92&lt;34000000,45,IF(CJ92&lt;34500000,48,IF(CJ92&lt;35000000,52,52)))))))))))))))))))</f>
        <v>52</v>
      </c>
      <c r="CR92" s="50">
        <f>(CM92+CO92)/209</f>
        <v>14518.038277511961</v>
      </c>
      <c r="CS92" s="52">
        <v>50000000</v>
      </c>
      <c r="CT92" s="53">
        <f>IFERROR(CS92/12,"")</f>
        <v>4166666.6666666665</v>
      </c>
      <c r="CU92" s="53">
        <f>IFERROR(CT92-CV92-CW92,"")</f>
        <v>2834262.4854819975</v>
      </c>
      <c r="CV92" s="53">
        <f>IFERROR(CT92*(CY92*1.5)/(209+(CY92*1.5)),"")</f>
        <v>1132404.181184669</v>
      </c>
      <c r="CW92" s="54">
        <v>200000</v>
      </c>
      <c r="CX92" s="54">
        <v>209</v>
      </c>
      <c r="CY92" s="54">
        <v>52</v>
      </c>
      <c r="CZ92" s="55">
        <f>SUM(CX92:CY92)</f>
        <v>261</v>
      </c>
      <c r="DA92" s="55">
        <f>IFERROR((CU92/209)+(CW92-(9620*209*0.01))/209,"")</f>
        <v>14421.802322880372</v>
      </c>
      <c r="DB92" s="56">
        <f>IFERROR((CU92+CW92)/209,"")</f>
        <v>14518.002322880371</v>
      </c>
      <c r="DC92" s="57">
        <v>2023</v>
      </c>
      <c r="DD92" s="58"/>
      <c r="DE92" s="58"/>
      <c r="DF92" s="57"/>
      <c r="DG92" s="59">
        <f>B92</f>
        <v>231201</v>
      </c>
      <c r="DH92" s="58"/>
      <c r="DI92" s="58"/>
      <c r="DJ92" s="60"/>
      <c r="DK92" s="58"/>
      <c r="DL92" s="61"/>
      <c r="DM92" s="24"/>
    </row>
    <row r="93" spans="1:117" ht="15" customHeight="1">
      <c r="A93" s="25">
        <f>ROW()-2</f>
        <v>91</v>
      </c>
      <c r="B93" s="26">
        <v>231202</v>
      </c>
      <c r="C93" s="27" t="s">
        <v>1308</v>
      </c>
      <c r="D93" s="27" t="s">
        <v>282</v>
      </c>
      <c r="E93" s="27" t="s">
        <v>283</v>
      </c>
      <c r="F93" s="27" t="s">
        <v>196</v>
      </c>
      <c r="G93" s="27" t="s">
        <v>240</v>
      </c>
      <c r="H93" s="27" t="s">
        <v>260</v>
      </c>
      <c r="I93" s="27" t="s">
        <v>902</v>
      </c>
      <c r="J93" s="27" t="str">
        <f>+VLOOKUP($I93,[1]프로젝트현황!$I:$N,5,0)</f>
        <v>서울시</v>
      </c>
      <c r="K93" s="27" t="str">
        <f>+VLOOKUP($I93,[1]프로젝트현황!$I:$N,6,0)</f>
        <v>종로구</v>
      </c>
      <c r="L93" s="28">
        <v>45261</v>
      </c>
      <c r="M93" s="28">
        <v>45261</v>
      </c>
      <c r="N93" s="28"/>
      <c r="O93" s="29"/>
      <c r="P93" s="30" t="s">
        <v>1309</v>
      </c>
      <c r="Q93" s="27" t="s">
        <v>1310</v>
      </c>
      <c r="R93" s="31" t="str">
        <f>LEFT(Q93,6)</f>
        <v>801026</v>
      </c>
      <c r="S93" s="31" t="str">
        <f>MID($Q93,3,2)</f>
        <v>10</v>
      </c>
      <c r="T93" s="31" t="str">
        <f>IF(OR(MID($Q93,8,1)="1",MID($Q93,8,1)="3"),"남자",IF(OR(MID($Q93,8,1)="2",MID($Q93,8,1)="4"),"여자",""))</f>
        <v>남자</v>
      </c>
      <c r="U93" s="31">
        <f ca="1">YEAR(TODAY())-IF(OR(MID($Q93,8,1)="1",MID($Q93,8,1)="2"),19&amp;LEFT($Q93,2),IF(OR(MID($Q93,8,1)="3",MID($Q93,8,1)="4"),20&amp;LEFT($Q93,2),""))+1</f>
        <v>47</v>
      </c>
      <c r="V93" s="31" t="s">
        <v>200</v>
      </c>
      <c r="W93" s="31" t="s">
        <v>201</v>
      </c>
      <c r="X93" s="27" t="s">
        <v>1311</v>
      </c>
      <c r="Y93" s="27"/>
      <c r="Z93" s="27"/>
      <c r="AA93" s="32"/>
      <c r="AB93" s="31" t="s">
        <v>203</v>
      </c>
      <c r="AC93" s="27"/>
      <c r="AD93" s="33" t="str">
        <f ca="1">QUOTIENT(SUMPRODUCT(LEFT($AE93:$AF93,FIND("년",$AE93:$AF93)-1)*12+MID($AE93:$AF93,FIND("년",$AE93:$AF93)+1,FIND("개월",$AE93:$AF93)-FIND("년",$AE93:$AF93)-1)),12)&amp;"년"&amp;MOD(SUMPRODUCT(LEFT($AE93:$AF93,FIND("년",$AE93:$AF93)-1)*12+MID($AE93:$AF93,FIND("년",$AE93:$AF93)+1,FIND("개월",$AE93:$AF93)-FIND("년",$AE93:$AF93)-1)),12)&amp;"개월"</f>
        <v>14년1개월</v>
      </c>
      <c r="AE93" s="33" t="s">
        <v>1312</v>
      </c>
      <c r="AF93" s="34" t="str">
        <f ca="1">DATEDIF($L93,TODAY(),"y")&amp;"년"&amp;DATEDIF($L93,TODAY(),"ym")&amp;"개월"</f>
        <v>2년2개월</v>
      </c>
      <c r="AG93" s="35" t="s">
        <v>1313</v>
      </c>
      <c r="AH93" s="35" t="s">
        <v>1314</v>
      </c>
      <c r="AI93" s="30" t="s">
        <v>270</v>
      </c>
      <c r="AJ93" s="32">
        <v>38408</v>
      </c>
      <c r="AK93" s="36">
        <f ca="1">VALUE(LEFT($AD93,FIND("년",$AD93)-1))</f>
        <v>14</v>
      </c>
      <c r="AL93" s="31" t="str">
        <f ca="1">IF($AI93="학사",IF($AK93&lt;=5,"초급",IF($AK93&lt;9,"중급",IF($AK93&lt;12,"고급",IF($AK93&gt;=12,"특급")))))</f>
        <v>특급</v>
      </c>
      <c r="AM93" s="31" t="str">
        <f>IF(ISNUMBER(SEARCH("산업기사",$AT93)),IF($AK93&gt;=13,"특급",IF($AK93&gt;=10,"고급",IF($AK93&gt;=7,"중급","초급"))),IF(ISNUMBER(SEARCH("기사",$AR93)),IF($AK93&gt;=10,"특급",IF($AK93&gt;=7,"고급",IF($AK93&gt;=4,"중급","초급"))),"미해당"))</f>
        <v>미해당</v>
      </c>
      <c r="AN93" s="27"/>
      <c r="AO93" s="32"/>
      <c r="AP93" s="27"/>
      <c r="AQ93" s="32"/>
      <c r="AR93" s="27"/>
      <c r="AS93" s="27"/>
      <c r="AT93" s="37"/>
      <c r="AU93" s="27"/>
      <c r="AV93" s="38"/>
      <c r="AW93" s="39"/>
      <c r="AX93" s="39"/>
      <c r="AY93" s="40" t="s">
        <v>251</v>
      </c>
      <c r="AZ93" s="41" t="s">
        <v>252</v>
      </c>
      <c r="BA93" s="30" t="s">
        <v>230</v>
      </c>
      <c r="BB93" s="30" t="s">
        <v>1315</v>
      </c>
      <c r="BC93" s="42" t="s">
        <v>507</v>
      </c>
      <c r="BD93" s="42" t="s">
        <v>1316</v>
      </c>
      <c r="BE93" s="43" t="s">
        <v>1317</v>
      </c>
      <c r="BF93" s="42" t="s">
        <v>211</v>
      </c>
      <c r="BG93" s="42" t="s">
        <v>535</v>
      </c>
      <c r="BH93" s="35"/>
      <c r="BI93" s="44" t="s">
        <v>1318</v>
      </c>
      <c r="BJ93" s="45" t="str">
        <f>IFERROR(VLOOKUP($BG93,[1]프로젝트현황!Y:Z,2,0),"기타")</f>
        <v>서남권</v>
      </c>
      <c r="BK93" s="46" t="str">
        <f>(IF(BF93="","",BF93&amp;" "))&amp;(IF(BG93="","",BG93&amp;" "))&amp;(IF(BH93="","",BH93&amp;" "))&amp;BI93</f>
        <v>서울시 영등포구 영신로41길 8, 502호(당산동1가, D.S퍼스트)</v>
      </c>
      <c r="BL93" s="47">
        <v>30</v>
      </c>
      <c r="BM93" s="47">
        <v>30</v>
      </c>
      <c r="BN93" s="48">
        <v>52866666.666666664</v>
      </c>
      <c r="BO93" s="48">
        <f>BP93*12</f>
        <v>52866704.400000006</v>
      </c>
      <c r="BP93" s="49">
        <f>SUM(BQ93:BS93)</f>
        <v>4405558.7</v>
      </c>
      <c r="BQ93" s="49">
        <f>ROUNDUP(BN93/12*209/(209+BU93*1.5)/BL93*BM93,-1)-BS93</f>
        <v>3008230</v>
      </c>
      <c r="BR93" s="49">
        <f>ROUNDUP(BN93/12*(BU93*1.5)/(209+BU93*1.5)/BL93*BM93,1)</f>
        <v>1197328.7000000002</v>
      </c>
      <c r="BS93" s="49">
        <v>200000</v>
      </c>
      <c r="BT93" s="50">
        <v>209</v>
      </c>
      <c r="BU93" s="49">
        <f>IF($BN93="","",
IFERROR(
    IF($BN93&lt;'[1]시간외시간 기준표'!$B$2,0,
        IF($BN93&gt;LOOKUP(9.9E+307,'[1]시간외시간 기준표'!$B$2:$B$999),
            LOOKUP(9.9E+307,'[1]시간외시간 기준표'!$C$2:$C$999),
            LOOKUP($BN93,'[1]시간외시간 기준표'!$B$2:$B$999,'[1]시간외시간 기준표'!$C$2:$C$999)
        )
    ),0)
)</f>
        <v>52</v>
      </c>
      <c r="BV93" s="50">
        <f>(BQ93+BS93)/209</f>
        <v>15350.382775119617</v>
      </c>
      <c r="BW93" s="51">
        <v>30</v>
      </c>
      <c r="BX93" s="51">
        <v>30</v>
      </c>
      <c r="BY93" s="52">
        <v>52866666.666666664</v>
      </c>
      <c r="BZ93" s="52">
        <f>CA93*12</f>
        <v>52866704.400000006</v>
      </c>
      <c r="CA93" s="49">
        <f>SUM(CB93:CD93)</f>
        <v>4405558.7</v>
      </c>
      <c r="CB93" s="49">
        <f>ROUNDUP(BY93/12*209/(209+CF93*1.5)/BW93*BX93,-1)-CD93</f>
        <v>3008230</v>
      </c>
      <c r="CC93" s="49">
        <f>ROUNDUP(BY93/12*(CF93*1.5)/(209+CF93*1.5)/BW93*BX93,1)</f>
        <v>1197328.7000000002</v>
      </c>
      <c r="CD93" s="49">
        <v>200000</v>
      </c>
      <c r="CE93" s="50">
        <v>209</v>
      </c>
      <c r="CF93" s="49">
        <f>IF(BY93&lt;26000000,0,IF(BY93&lt;26500000,4,IF(BY93&lt;27000000,7,IF(BY93&lt;27500000,9,IF(BY93&lt;28000000,11,IF(BY93&lt;28500000,15,IF(BY93&lt;29000000,17,IF(BY93&lt;29500000,20,IF(BY93&lt;30000000,23,IF(BY93&lt;30500000,25,IF(BY93&lt;31000000,27,IF(BY93&lt;31500000,29,IF(BY93&lt;32000000,33,IF(BY93&lt;32500000,37,IF(BY93&lt;33000000,39,IF(BY93&lt;33500000,42,IF(BY93&lt;34000000,45,IF(BY93&lt;34500000,48,IF(BY93&lt;35000000,52,52)))))))))))))))))))</f>
        <v>52</v>
      </c>
      <c r="CG93" s="50">
        <f>(CB93+CD93)/209</f>
        <v>15350.382775119617</v>
      </c>
      <c r="CH93" s="51">
        <v>30</v>
      </c>
      <c r="CI93" s="51">
        <v>30</v>
      </c>
      <c r="CJ93" s="52">
        <v>52000000</v>
      </c>
      <c r="CK93" s="52">
        <f>CL93*12</f>
        <v>52000084.800000004</v>
      </c>
      <c r="CL93" s="49">
        <f>SUM(CM93:CO93)</f>
        <v>4333340.4000000004</v>
      </c>
      <c r="CM93" s="49">
        <f>ROUNDUP(CJ93/12*209/(209+CQ93*1.5)/CH93*CI93,-1)-CO93</f>
        <v>2955640</v>
      </c>
      <c r="CN93" s="49">
        <f>ROUNDUP(CJ93/12*(CQ93*1.5)/(209+CQ93*1.5)/CH93*CI93,1)</f>
        <v>1177700.4000000001</v>
      </c>
      <c r="CO93" s="50">
        <v>200000</v>
      </c>
      <c r="CP93" s="50">
        <v>209</v>
      </c>
      <c r="CQ93" s="50">
        <f>IF(CJ93&lt;26000000,0,IF(CJ93&lt;26500000,4,IF(CJ93&lt;27000000,7,IF(CJ93&lt;27500000,9,IF(CJ93&lt;28000000,11,IF(CJ93&lt;28500000,15,IF(CJ93&lt;29000000,17,IF(CJ93&lt;29500000,20,IF(CJ93&lt;30000000,23,IF(CJ93&lt;30500000,25,IF(CJ93&lt;31000000,27,IF(CJ93&lt;31500000,29,IF(CJ93&lt;32000000,33,IF(CJ93&lt;32500000,37,IF(CJ93&lt;33000000,39,IF(CJ93&lt;33500000,42,IF(CJ93&lt;34000000,45,IF(CJ93&lt;34500000,48,IF(CJ93&lt;35000000,52,52)))))))))))))))))))</f>
        <v>52</v>
      </c>
      <c r="CR93" s="50">
        <f>(CM93+CO93)/209</f>
        <v>15098.755980861244</v>
      </c>
      <c r="CS93" s="52">
        <v>52000000</v>
      </c>
      <c r="CT93" s="53">
        <f>IFERROR(CS93/12,"")</f>
        <v>4333333.333333333</v>
      </c>
      <c r="CU93" s="53">
        <f>IFERROR(CT93-CV93-CW93,"")</f>
        <v>2955632.9849012773</v>
      </c>
      <c r="CV93" s="53">
        <f>IFERROR(CT93*(CY93*1.5)/(209+(CY93*1.5)),"")</f>
        <v>1177700.3484320557</v>
      </c>
      <c r="CW93" s="54">
        <v>200000</v>
      </c>
      <c r="CX93" s="54">
        <v>209</v>
      </c>
      <c r="CY93" s="54">
        <v>52</v>
      </c>
      <c r="CZ93" s="55">
        <f>SUM(CX93:CY93)</f>
        <v>261</v>
      </c>
      <c r="DA93" s="55">
        <f>IFERROR((CU93/209)+(CW93-(9620*209*0.01))/209,"")</f>
        <v>15002.522415795585</v>
      </c>
      <c r="DB93" s="56">
        <f>IFERROR((CU93+CW93)/209,"")</f>
        <v>15098.722415795586</v>
      </c>
      <c r="DC93" s="57">
        <v>2023</v>
      </c>
      <c r="DD93" s="58"/>
      <c r="DE93" s="58"/>
      <c r="DF93" s="57"/>
      <c r="DG93" s="59">
        <f>B93</f>
        <v>231202</v>
      </c>
      <c r="DH93" s="58"/>
      <c r="DI93" s="58"/>
      <c r="DJ93" s="60"/>
      <c r="DK93" s="58"/>
      <c r="DL93" s="61"/>
      <c r="DM93" s="24"/>
    </row>
    <row r="94" spans="1:117" ht="15" customHeight="1">
      <c r="A94" s="25">
        <f>ROW()-2</f>
        <v>92</v>
      </c>
      <c r="B94" s="26">
        <v>231203</v>
      </c>
      <c r="C94" s="27" t="s">
        <v>1319</v>
      </c>
      <c r="D94" s="27" t="s">
        <v>388</v>
      </c>
      <c r="E94" s="27" t="s">
        <v>239</v>
      </c>
      <c r="F94" s="27" t="s">
        <v>196</v>
      </c>
      <c r="G94" s="27" t="s">
        <v>240</v>
      </c>
      <c r="H94" s="27" t="s">
        <v>260</v>
      </c>
      <c r="I94" s="27" t="s">
        <v>1320</v>
      </c>
      <c r="J94" s="27" t="str">
        <f>+VLOOKUP($I94,[1]프로젝트현황!$I:$N,5,0)</f>
        <v>서울시</v>
      </c>
      <c r="K94" s="27" t="str">
        <f>+VLOOKUP($I94,[1]프로젝트현황!$I:$N,6,0)</f>
        <v>중구</v>
      </c>
      <c r="L94" s="28">
        <v>45261</v>
      </c>
      <c r="M94" s="28">
        <v>45261</v>
      </c>
      <c r="N94" s="28"/>
      <c r="O94" s="29"/>
      <c r="P94" s="30" t="s">
        <v>1321</v>
      </c>
      <c r="Q94" s="27" t="s">
        <v>1322</v>
      </c>
      <c r="R94" s="31" t="str">
        <f>LEFT(Q94,6)</f>
        <v>890307</v>
      </c>
      <c r="S94" s="31" t="str">
        <f>MID($Q94,3,2)</f>
        <v>03</v>
      </c>
      <c r="T94" s="31" t="str">
        <f>IF(OR(MID($Q94,8,1)="1",MID($Q94,8,1)="3"),"남자",IF(OR(MID($Q94,8,1)="2",MID($Q94,8,1)="4"),"여자",""))</f>
        <v>남자</v>
      </c>
      <c r="U94" s="31">
        <f ca="1">YEAR(TODAY())-IF(OR(MID($Q94,8,1)="1",MID($Q94,8,1)="2"),19&amp;LEFT($Q94,2),IF(OR(MID($Q94,8,1)="3",MID($Q94,8,1)="4"),20&amp;LEFT($Q94,2),""))+1</f>
        <v>38</v>
      </c>
      <c r="V94" s="31" t="s">
        <v>200</v>
      </c>
      <c r="W94" s="31" t="s">
        <v>201</v>
      </c>
      <c r="X94" s="27" t="s">
        <v>1323</v>
      </c>
      <c r="Y94" s="27"/>
      <c r="Z94" s="27"/>
      <c r="AA94" s="32"/>
      <c r="AB94" s="31" t="s">
        <v>203</v>
      </c>
      <c r="AC94" s="27"/>
      <c r="AD94" s="33" t="str">
        <f ca="1">QUOTIENT(SUMPRODUCT(LEFT($AE94:$AF94,FIND("년",$AE94:$AF94)-1)*12+MID($AE94:$AF94,FIND("년",$AE94:$AF94)+1,FIND("개월",$AE94:$AF94)-FIND("년",$AE94:$AF94)-1)),12)&amp;"년"&amp;MOD(SUMPRODUCT(LEFT($AE94:$AF94,FIND("년",$AE94:$AF94)-1)*12+MID($AE94:$AF94,FIND("년",$AE94:$AF94)+1,FIND("개월",$AE94:$AF94)-FIND("년",$AE94:$AF94)-1)),12)&amp;"개월"</f>
        <v>6년4개월</v>
      </c>
      <c r="AE94" s="33" t="s">
        <v>1324</v>
      </c>
      <c r="AF94" s="34" t="str">
        <f ca="1">DATEDIF($L94,TODAY(),"y")&amp;"년"&amp;DATEDIF($L94,TODAY(),"ym")&amp;"개월"</f>
        <v>2년2개월</v>
      </c>
      <c r="AG94" s="35" t="s">
        <v>691</v>
      </c>
      <c r="AH94" s="35" t="s">
        <v>1325</v>
      </c>
      <c r="AI94" s="30" t="s">
        <v>270</v>
      </c>
      <c r="AJ94" s="32">
        <v>42058</v>
      </c>
      <c r="AK94" s="36">
        <f ca="1">VALUE(LEFT($AD94,FIND("년",$AD94)-1))</f>
        <v>6</v>
      </c>
      <c r="AL94" s="31" t="str">
        <f ca="1">IF($AI94="학사",IF($AK94&lt;=5,"초급",IF($AK94&lt;9,"중급",IF($AK94&lt;12,"고급",IF($AK94&gt;=12,"특급")))))</f>
        <v>중급</v>
      </c>
      <c r="AM94" s="31" t="str">
        <f ca="1">IF(ISNUMBER(SEARCH("산업기사",$AT94)),IF($AK94&gt;=13,"특급",IF($AK94&gt;=10,"고급",IF($AK94&gt;=7,"중급","초급"))),IF(ISNUMBER(SEARCH("기사",$AR94)),IF($AK94&gt;=10,"특급",IF($AK94&gt;=7,"고급",IF($AK94&gt;=4,"중급","초급"))),"미해당"))</f>
        <v>중급</v>
      </c>
      <c r="AN94" s="27"/>
      <c r="AO94" s="32"/>
      <c r="AP94" s="27"/>
      <c r="AQ94" s="32"/>
      <c r="AR94" s="27" t="s">
        <v>139</v>
      </c>
      <c r="AS94" s="27">
        <v>42566</v>
      </c>
      <c r="AT94" s="37"/>
      <c r="AU94" s="27"/>
      <c r="AV94" s="38"/>
      <c r="AW94" s="39"/>
      <c r="AX94" s="39"/>
      <c r="AY94" s="40" t="s">
        <v>251</v>
      </c>
      <c r="AZ94" s="41" t="s">
        <v>252</v>
      </c>
      <c r="BA94" s="30" t="s">
        <v>230</v>
      </c>
      <c r="BB94" s="30" t="s">
        <v>1326</v>
      </c>
      <c r="BC94" s="42" t="s">
        <v>275</v>
      </c>
      <c r="BD94" s="42" t="s">
        <v>1327</v>
      </c>
      <c r="BE94" s="43" t="s">
        <v>1328</v>
      </c>
      <c r="BF94" s="42" t="s">
        <v>211</v>
      </c>
      <c r="BG94" s="42" t="s">
        <v>341</v>
      </c>
      <c r="BH94" s="35"/>
      <c r="BI94" s="44" t="s">
        <v>1329</v>
      </c>
      <c r="BJ94" s="45" t="str">
        <f>IFERROR(VLOOKUP($BG94,[1]프로젝트현황!Y:Z,2,0),"기타")</f>
        <v>서남권</v>
      </c>
      <c r="BK94" s="46" t="str">
        <f>(IF(BF94="","",BF94&amp;" "))&amp;(IF(BG94="","",BG94&amp;" "))&amp;(IF(BH94="","",BH94&amp;" "))&amp;BI94</f>
        <v>서울시 구로구 공원로6나길 17-5</v>
      </c>
      <c r="BL94" s="47">
        <v>30</v>
      </c>
      <c r="BM94" s="47">
        <v>30</v>
      </c>
      <c r="BN94" s="48">
        <v>34866666.666666664</v>
      </c>
      <c r="BO94" s="48">
        <f>BP94*12</f>
        <v>34866768</v>
      </c>
      <c r="BP94" s="49">
        <f>SUM(BQ94:BS94)</f>
        <v>2905564</v>
      </c>
      <c r="BQ94" s="49">
        <f>ROUNDUP(BN94/12*209/(209+BU94*1.5)/BL94*BM94,-1)-BS94</f>
        <v>1961080</v>
      </c>
      <c r="BR94" s="49">
        <f>ROUNDUP(BN94/12*(BU94*1.5)/(209+BU94*1.5)/BL94*BM94,1)</f>
        <v>744484</v>
      </c>
      <c r="BS94" s="49">
        <v>200000</v>
      </c>
      <c r="BT94" s="50">
        <v>209</v>
      </c>
      <c r="BU94" s="49">
        <f>IF($BN94="","",
IFERROR(
    IF($BN94&lt;'[1]시간외시간 기준표'!$B$2,0,
        IF($BN94&gt;LOOKUP(9.9E+307,'[1]시간외시간 기준표'!$B$2:$B$999),
            LOOKUP(9.9E+307,'[1]시간외시간 기준표'!$C$2:$C$999),
            LOOKUP($BN94,'[1]시간외시간 기준표'!$B$2:$B$999,'[1]시간외시간 기준표'!$C$2:$C$999)
        )
    ),0)
)</f>
        <v>48</v>
      </c>
      <c r="BV94" s="50">
        <f>(BQ94+BS94)/209</f>
        <v>10340.095693779904</v>
      </c>
      <c r="BW94" s="51">
        <v>30</v>
      </c>
      <c r="BX94" s="51">
        <v>30</v>
      </c>
      <c r="BY94" s="52">
        <v>34866666.666666664</v>
      </c>
      <c r="BZ94" s="52">
        <f>CA94*12</f>
        <v>34866758.400000006</v>
      </c>
      <c r="CA94" s="49">
        <f>SUM(CB94:CD94)</f>
        <v>2905563.2</v>
      </c>
      <c r="CB94" s="49">
        <f>ROUNDUP(BY94/12*209/(209+CF94*1.5)/BW94*BX94,-1)-CD94</f>
        <v>1915900</v>
      </c>
      <c r="CC94" s="49">
        <f>ROUNDUP(BY94/12*(CF94*1.5)/(209+CF94*1.5)/BW94*BX94,1)</f>
        <v>789663.2</v>
      </c>
      <c r="CD94" s="49">
        <v>200000</v>
      </c>
      <c r="CE94" s="50">
        <v>209</v>
      </c>
      <c r="CF94" s="49">
        <f>IF(BY94&lt;26000000,0,IF(BY94&lt;26500000,4,IF(BY94&lt;27000000,7,IF(BY94&lt;27500000,9,IF(BY94&lt;28000000,11,IF(BY94&lt;28500000,15,IF(BY94&lt;29000000,17,IF(BY94&lt;29500000,20,IF(BY94&lt;30000000,23,IF(BY94&lt;30500000,25,IF(BY94&lt;31000000,27,IF(BY94&lt;31500000,29,IF(BY94&lt;32000000,33,IF(BY94&lt;32500000,37,IF(BY94&lt;33000000,39,IF(BY94&lt;33500000,42,IF(BY94&lt;34000000,45,IF(BY94&lt;34500000,48,IF(BY94&lt;35000000,52,52)))))))))))))))))))</f>
        <v>52</v>
      </c>
      <c r="CG94" s="50">
        <f>(CB94+CD94)/209</f>
        <v>10123.923444976077</v>
      </c>
      <c r="CH94" s="51">
        <v>30</v>
      </c>
      <c r="CI94" s="51">
        <v>30</v>
      </c>
      <c r="CJ94" s="52">
        <v>34000000</v>
      </c>
      <c r="CK94" s="52">
        <f>CL94*12</f>
        <v>34000064.400000006</v>
      </c>
      <c r="CL94" s="49">
        <f>SUM(CM94:CO94)</f>
        <v>2833338.7</v>
      </c>
      <c r="CM94" s="49">
        <f>ROUNDUP(CJ94/12*209/(209+CQ94*1.5)/CH94*CI94,-1)-CO94</f>
        <v>1907360</v>
      </c>
      <c r="CN94" s="49">
        <f>ROUNDUP(CJ94/12*(CQ94*1.5)/(209+CQ94*1.5)/CH94*CI94,1)</f>
        <v>725978.7</v>
      </c>
      <c r="CO94" s="50">
        <v>200000</v>
      </c>
      <c r="CP94" s="50">
        <v>209</v>
      </c>
      <c r="CQ94" s="50">
        <f>IF(CJ94&lt;26000000,0,IF(CJ94&lt;26500000,4,IF(CJ94&lt;27000000,7,IF(CJ94&lt;27500000,9,IF(CJ94&lt;28000000,11,IF(CJ94&lt;28500000,15,IF(CJ94&lt;29000000,17,IF(CJ94&lt;29500000,20,IF(CJ94&lt;30000000,23,IF(CJ94&lt;30500000,25,IF(CJ94&lt;31000000,27,IF(CJ94&lt;31500000,29,IF(CJ94&lt;32000000,33,IF(CJ94&lt;32500000,37,IF(CJ94&lt;33000000,39,IF(CJ94&lt;33500000,42,IF(CJ94&lt;34000000,45,IF(CJ94&lt;34500000,48,IF(CJ94&lt;35000000,52,52)))))))))))))))))))</f>
        <v>48</v>
      </c>
      <c r="CR94" s="50">
        <f>(CM94+CO94)/209</f>
        <v>10083.062200956938</v>
      </c>
      <c r="CS94" s="52">
        <v>34000000</v>
      </c>
      <c r="CT94" s="53">
        <f>IFERROR(CS94/12,"")</f>
        <v>2833333.3333333335</v>
      </c>
      <c r="CU94" s="53">
        <f>IFERROR(CT94-CV94-CW94,"")</f>
        <v>1863298.4901277586</v>
      </c>
      <c r="CV94" s="53">
        <f>IFERROR(CT94*(CY94*1.5)/(209+(CY94*1.5)),"")</f>
        <v>770034.8432055749</v>
      </c>
      <c r="CW94" s="54">
        <v>200000</v>
      </c>
      <c r="CX94" s="54">
        <v>209</v>
      </c>
      <c r="CY94" s="54">
        <v>52</v>
      </c>
      <c r="CZ94" s="55">
        <f>SUM(CX94:CY94)</f>
        <v>261</v>
      </c>
      <c r="DA94" s="55">
        <f>IFERROR((CU94/209)+(CW94-(9620*209*0.01))/209,"")</f>
        <v>9776.0415795586523</v>
      </c>
      <c r="DB94" s="56">
        <f>IFERROR((CU94+CW94)/209,"")</f>
        <v>9872.241579558653</v>
      </c>
      <c r="DC94" s="57">
        <v>2023</v>
      </c>
      <c r="DD94" s="58"/>
      <c r="DE94" s="58"/>
      <c r="DF94" s="57"/>
      <c r="DG94" s="59">
        <f>B94</f>
        <v>231203</v>
      </c>
      <c r="DH94" s="58"/>
      <c r="DI94" s="58"/>
      <c r="DJ94" s="60"/>
      <c r="DK94" s="58"/>
      <c r="DL94" s="61"/>
      <c r="DM94" s="24"/>
    </row>
    <row r="95" spans="1:117" ht="15" customHeight="1">
      <c r="A95" s="25">
        <f>ROW()-2</f>
        <v>93</v>
      </c>
      <c r="B95" s="26">
        <v>231205</v>
      </c>
      <c r="C95" s="27" t="s">
        <v>1330</v>
      </c>
      <c r="D95" s="27"/>
      <c r="E95" s="27" t="s">
        <v>239</v>
      </c>
      <c r="F95" s="27" t="s">
        <v>196</v>
      </c>
      <c r="G95" s="27" t="s">
        <v>240</v>
      </c>
      <c r="H95" s="27" t="s">
        <v>1331</v>
      </c>
      <c r="I95" s="27" t="s">
        <v>1332</v>
      </c>
      <c r="J95" s="27" t="str">
        <f>+VLOOKUP($I95,[1]프로젝트현황!$I:$N,5,0)</f>
        <v>서울시</v>
      </c>
      <c r="K95" s="27" t="str">
        <f>+VLOOKUP($I95,[1]프로젝트현황!$I:$N,6,0)</f>
        <v>강남구</v>
      </c>
      <c r="L95" s="28">
        <v>45266</v>
      </c>
      <c r="M95" s="28">
        <v>45266</v>
      </c>
      <c r="N95" s="28"/>
      <c r="O95" s="29"/>
      <c r="P95" s="30" t="s">
        <v>1333</v>
      </c>
      <c r="Q95" s="27" t="s">
        <v>1334</v>
      </c>
      <c r="R95" s="31" t="str">
        <f>LEFT(Q95,6)</f>
        <v>880910</v>
      </c>
      <c r="S95" s="31" t="str">
        <f>MID($Q95,3,2)</f>
        <v>09</v>
      </c>
      <c r="T95" s="31" t="str">
        <f>IF(OR(MID($Q95,8,1)="1",MID($Q95,8,1)="3"),"남자",IF(OR(MID($Q95,8,1)="2",MID($Q95,8,1)="4"),"여자",""))</f>
        <v>여자</v>
      </c>
      <c r="U95" s="31">
        <f ca="1">YEAR(TODAY())-IF(OR(MID($Q95,8,1)="1",MID($Q95,8,1)="2"),19&amp;LEFT($Q95,2),IF(OR(MID($Q95,8,1)="3",MID($Q95,8,1)="4"),20&amp;LEFT($Q95,2),""))+1</f>
        <v>39</v>
      </c>
      <c r="V95" s="31" t="s">
        <v>200</v>
      </c>
      <c r="W95" s="31" t="s">
        <v>201</v>
      </c>
      <c r="X95" s="27" t="s">
        <v>1335</v>
      </c>
      <c r="Y95" s="27"/>
      <c r="Z95" s="27"/>
      <c r="AA95" s="32"/>
      <c r="AB95" s="31" t="s">
        <v>203</v>
      </c>
      <c r="AC95" s="27"/>
      <c r="AD95" s="33" t="str">
        <f ca="1">QUOTIENT(SUMPRODUCT(LEFT($AE95:$AF95,FIND("년",$AE95:$AF95)-1)*12+MID($AE95:$AF95,FIND("년",$AE95:$AF95)+1,FIND("개월",$AE95:$AF95)-FIND("년",$AE95:$AF95)-1)),12)&amp;"년"&amp;MOD(SUMPRODUCT(LEFT($AE95:$AF95,FIND("년",$AE95:$AF95)-1)*12+MID($AE95:$AF95,FIND("년",$AE95:$AF95)+1,FIND("개월",$AE95:$AF95)-FIND("년",$AE95:$AF95)-1)),12)&amp;"개월"</f>
        <v>2년10개월</v>
      </c>
      <c r="AE95" s="33" t="s">
        <v>1043</v>
      </c>
      <c r="AF95" s="34" t="str">
        <f ca="1">DATEDIF($L95,TODAY(),"y")&amp;"년"&amp;DATEDIF($L95,TODAY(),"ym")&amp;"개월"</f>
        <v>2년2개월</v>
      </c>
      <c r="AG95" s="35" t="s">
        <v>1336</v>
      </c>
      <c r="AH95" s="35" t="s">
        <v>1337</v>
      </c>
      <c r="AI95" s="30" t="s">
        <v>270</v>
      </c>
      <c r="AJ95" s="32">
        <v>40391</v>
      </c>
      <c r="AK95" s="36">
        <f ca="1">VALUE(LEFT($AD95,FIND("년",$AD95)-1))</f>
        <v>2</v>
      </c>
      <c r="AL95" s="31" t="str">
        <f ca="1">IF($AI95="학사",IF($AK95&lt;=5,"초급",IF($AK95&lt;9,"중급",IF($AK95&lt;12,"고급",IF($AK95&gt;=12,"특급")))))</f>
        <v>초급</v>
      </c>
      <c r="AM95" s="31" t="str">
        <f>IF(ISNUMBER(SEARCH("산업기사",$AT95)),IF($AK95&gt;=13,"특급",IF($AK95&gt;=10,"고급",IF($AK95&gt;=7,"중급","초급"))),IF(ISNUMBER(SEARCH("기사",$AR95)),IF($AK95&gt;=10,"특급",IF($AK95&gt;=7,"고급",IF($AK95&gt;=4,"중급","초급"))),"미해당"))</f>
        <v>미해당</v>
      </c>
      <c r="AN95" s="27"/>
      <c r="AO95" s="32"/>
      <c r="AP95" s="27" t="s">
        <v>137</v>
      </c>
      <c r="AQ95" s="32">
        <v>45580</v>
      </c>
      <c r="AR95" s="27"/>
      <c r="AS95" s="27"/>
      <c r="AT95" s="37"/>
      <c r="AU95" s="27"/>
      <c r="AV95" s="38"/>
      <c r="AW95" s="39"/>
      <c r="AX95" s="39"/>
      <c r="AY95" s="40" t="s">
        <v>251</v>
      </c>
      <c r="AZ95" s="41" t="s">
        <v>252</v>
      </c>
      <c r="BA95" s="30" t="s">
        <v>230</v>
      </c>
      <c r="BB95" s="30" t="s">
        <v>1338</v>
      </c>
      <c r="BC95" s="42" t="s">
        <v>607</v>
      </c>
      <c r="BD95" s="42" t="s">
        <v>1339</v>
      </c>
      <c r="BE95" s="43" t="s">
        <v>1340</v>
      </c>
      <c r="BF95" s="42" t="s">
        <v>211</v>
      </c>
      <c r="BG95" s="42" t="s">
        <v>371</v>
      </c>
      <c r="BH95" s="35"/>
      <c r="BI95" s="44" t="s">
        <v>1341</v>
      </c>
      <c r="BJ95" s="45" t="str">
        <f>IFERROR(VLOOKUP($BG95,[1]프로젝트현황!Y:Z,2,0),"기타")</f>
        <v>서남권</v>
      </c>
      <c r="BK95" s="46" t="str">
        <f>(IF(BF95="","",BF95&amp;" "))&amp;(IF(BG95="","",BG95&amp;" "))&amp;(IF(BH95="","",BH95&amp;" "))&amp;BI95</f>
        <v>서울시 관악구 남부순환로 248길 56, 101동 509호(봉천동, 낙성현대아파트)</v>
      </c>
      <c r="BL95" s="47">
        <v>30</v>
      </c>
      <c r="BM95" s="47">
        <v>30</v>
      </c>
      <c r="BN95" s="48">
        <v>32000000</v>
      </c>
      <c r="BO95" s="48">
        <f>BP95*12</f>
        <v>32000094</v>
      </c>
      <c r="BP95" s="49">
        <f>SUM(BQ95:BS95)</f>
        <v>2666674.5</v>
      </c>
      <c r="BQ95" s="49">
        <f>ROUNDUP(BN95/12*209/(209+BU95*1.5)/BL95*BM95,-1)-BS95</f>
        <v>1968620</v>
      </c>
      <c r="BR95" s="49">
        <f>ROUNDUP(BN95/12*(BU95*1.5)/(209+BU95*1.5)/BL95*BM95,1)</f>
        <v>498054.5</v>
      </c>
      <c r="BS95" s="49">
        <v>200000</v>
      </c>
      <c r="BT95" s="50">
        <v>209</v>
      </c>
      <c r="BU95" s="49">
        <f>IF($BN95="","",
IFERROR(
    IF($BN95&lt;'[1]시간외시간 기준표'!$B$2,0,
        IF($BN95&gt;LOOKUP(9.9E+307,'[1]시간외시간 기준표'!$B$2:$B$999),
            LOOKUP(9.9E+307,'[1]시간외시간 기준표'!$C$2:$C$999),
            LOOKUP($BN95,'[1]시간외시간 기준표'!$B$2:$B$999,'[1]시간외시간 기준표'!$C$2:$C$999)
        )
    ),0)
)</f>
        <v>32</v>
      </c>
      <c r="BV95" s="50">
        <f>(BQ95+BS95)/209</f>
        <v>10376.172248803829</v>
      </c>
      <c r="BW95" s="51">
        <v>30</v>
      </c>
      <c r="BX95" s="51">
        <v>30</v>
      </c>
      <c r="BY95" s="52">
        <v>32000000</v>
      </c>
      <c r="BZ95" s="52">
        <f>CA95*12</f>
        <v>32000116.799999997</v>
      </c>
      <c r="CA95" s="49">
        <f>SUM(CB95:CD95)</f>
        <v>2666676.4</v>
      </c>
      <c r="CB95" s="49">
        <f>ROUNDUP(BY95/12*209/(209+CF95*1.5)/BW95*BX95,-1)-CD95</f>
        <v>1907130</v>
      </c>
      <c r="CC95" s="49">
        <f>ROUNDUP(BY95/12*(CF95*1.5)/(209+CF95*1.5)/BW95*BX95,1)</f>
        <v>559546.4</v>
      </c>
      <c r="CD95" s="49">
        <v>200000</v>
      </c>
      <c r="CE95" s="50">
        <v>209</v>
      </c>
      <c r="CF95" s="49">
        <f>IF(BY95&lt;26000000,0,IF(BY95&lt;26500000,4,IF(BY95&lt;27000000,7,IF(BY95&lt;27500000,9,IF(BY95&lt;28000000,11,IF(BY95&lt;28500000,15,IF(BY95&lt;29000000,17,IF(BY95&lt;29500000,20,IF(BY95&lt;30000000,23,IF(BY95&lt;30500000,25,IF(BY95&lt;31000000,27,IF(BY95&lt;31500000,29,IF(BY95&lt;32000000,33,IF(BY95&lt;32500000,37,IF(BY95&lt;33000000,39,IF(BY95&lt;33500000,42,IF(BY95&lt;34000000,45,IF(BY95&lt;34500000,48,IF(BY95&lt;35000000,52,52)))))))))))))))))))</f>
        <v>37</v>
      </c>
      <c r="CG95" s="50">
        <f>(CB95+CD95)/209</f>
        <v>10081.961722488039</v>
      </c>
      <c r="CH95" s="51">
        <v>30</v>
      </c>
      <c r="CI95" s="51">
        <v>30</v>
      </c>
      <c r="CJ95" s="52">
        <v>30999000</v>
      </c>
      <c r="CK95" s="52">
        <f>CL95*12</f>
        <v>30999062.400000002</v>
      </c>
      <c r="CL95" s="49">
        <f>SUM(CM95:CO95)</f>
        <v>2583255.2000000002</v>
      </c>
      <c r="CM95" s="49">
        <f>ROUNDUP(CJ95/12*209/(209+CQ95*1.5)/CH95*CI95,-1)-CO95</f>
        <v>1963930</v>
      </c>
      <c r="CN95" s="49">
        <f>ROUNDUP(CJ95/12*(CQ95*1.5)/(209+CQ95*1.5)/CH95*CI95,1)</f>
        <v>419325.19999999995</v>
      </c>
      <c r="CO95" s="50">
        <v>200000</v>
      </c>
      <c r="CP95" s="50">
        <v>209</v>
      </c>
      <c r="CQ95" s="50">
        <f>IF(CJ95&lt;26000000,0,IF(CJ95&lt;26500000,4,IF(CJ95&lt;27000000,7,IF(CJ95&lt;27500000,9,IF(CJ95&lt;28000000,11,IF(CJ95&lt;28500000,15,IF(CJ95&lt;29000000,17,IF(CJ95&lt;29500000,20,IF(CJ95&lt;30000000,23,IF(CJ95&lt;30500000,25,IF(CJ95&lt;31000000,27,IF(CJ95&lt;31500000,29,IF(CJ95&lt;32000000,33,IF(CJ95&lt;32500000,37,IF(CJ95&lt;33000000,39,IF(CJ95&lt;33500000,42,IF(CJ95&lt;34000000,45,IF(CJ95&lt;34500000,48,IF(CJ95&lt;35000000,52,52)))))))))))))))))))</f>
        <v>27</v>
      </c>
      <c r="CR95" s="50">
        <f>(CM95+CO95)/209</f>
        <v>10353.732057416268</v>
      </c>
      <c r="CS95" s="52">
        <v>31000000</v>
      </c>
      <c r="CT95" s="53">
        <f>IFERROR(CS95/12,"")</f>
        <v>2583333.3333333335</v>
      </c>
      <c r="CU95" s="53">
        <f>IFERROR(CT95-CV95-CW95,"")</f>
        <v>1841272.8418399496</v>
      </c>
      <c r="CV95" s="53">
        <f>IFERROR(CT95*(CY95*1.5)/(209+(CY95*1.5)),"")</f>
        <v>542060.49149338377</v>
      </c>
      <c r="CW95" s="54">
        <v>200000</v>
      </c>
      <c r="CX95" s="54">
        <v>209</v>
      </c>
      <c r="CY95" s="54">
        <v>37</v>
      </c>
      <c r="CZ95" s="55">
        <f>SUM(CX95:CY95)</f>
        <v>246</v>
      </c>
      <c r="DA95" s="55">
        <f>IFERROR((CU95/209)+(CW95-(9620*209*0.01))/209,"")</f>
        <v>9670.6557025834918</v>
      </c>
      <c r="DB95" s="56">
        <f>IFERROR((CU95+CW95)/209,"")</f>
        <v>9766.8557025834907</v>
      </c>
      <c r="DC95" s="57">
        <v>2023</v>
      </c>
      <c r="DD95" s="58"/>
      <c r="DE95" s="58"/>
      <c r="DF95" s="57"/>
      <c r="DG95" s="59">
        <f>B95</f>
        <v>231205</v>
      </c>
      <c r="DH95" s="58"/>
      <c r="DI95" s="58"/>
      <c r="DJ95" s="60"/>
      <c r="DK95" s="58"/>
      <c r="DL95" s="61"/>
      <c r="DM95" s="63"/>
    </row>
    <row r="96" spans="1:117" ht="15" customHeight="1">
      <c r="A96" s="25">
        <f>ROW()-2</f>
        <v>94</v>
      </c>
      <c r="B96" s="26">
        <v>240201</v>
      </c>
      <c r="C96" s="27" t="s">
        <v>1342</v>
      </c>
      <c r="D96" s="27" t="s">
        <v>282</v>
      </c>
      <c r="E96" s="27" t="s">
        <v>947</v>
      </c>
      <c r="F96" s="27" t="s">
        <v>196</v>
      </c>
      <c r="G96" s="27" t="s">
        <v>240</v>
      </c>
      <c r="H96" s="27" t="s">
        <v>217</v>
      </c>
      <c r="I96" s="27" t="s">
        <v>359</v>
      </c>
      <c r="J96" s="27" t="str">
        <f>+VLOOKUP($I96,[1]프로젝트현황!$I:$N,5,0)</f>
        <v>서울시</v>
      </c>
      <c r="K96" s="27" t="str">
        <f>+VLOOKUP($I96,[1]프로젝트현황!$I:$N,6,0)</f>
        <v>금천구</v>
      </c>
      <c r="L96" s="28">
        <v>45323</v>
      </c>
      <c r="M96" s="28">
        <v>45323</v>
      </c>
      <c r="N96" s="28"/>
      <c r="O96" s="29"/>
      <c r="P96" s="30" t="s">
        <v>1343</v>
      </c>
      <c r="Q96" s="27" t="s">
        <v>1344</v>
      </c>
      <c r="R96" s="31" t="str">
        <f>LEFT(Q96,6)</f>
        <v>810225</v>
      </c>
      <c r="S96" s="31" t="str">
        <f>MID($Q96,3,2)</f>
        <v>02</v>
      </c>
      <c r="T96" s="31" t="str">
        <f>IF(OR(MID($Q96,8,1)="1",MID($Q96,8,1)="3"),"남자",IF(OR(MID($Q96,8,1)="2",MID($Q96,8,1)="4"),"여자",""))</f>
        <v>여자</v>
      </c>
      <c r="U96" s="31">
        <f ca="1">YEAR(TODAY())-IF(OR(MID($Q96,8,1)="1",MID($Q96,8,1)="2"),19&amp;LEFT($Q96,2),IF(OR(MID($Q96,8,1)="3",MID($Q96,8,1)="4"),20&amp;LEFT($Q96,2),""))+1</f>
        <v>46</v>
      </c>
      <c r="V96" s="31" t="s">
        <v>200</v>
      </c>
      <c r="W96" s="31" t="s">
        <v>201</v>
      </c>
      <c r="X96" s="27" t="s">
        <v>1345</v>
      </c>
      <c r="Y96" s="27"/>
      <c r="Z96" s="27"/>
      <c r="AA96" s="32"/>
      <c r="AB96" s="31" t="s">
        <v>203</v>
      </c>
      <c r="AC96" s="27"/>
      <c r="AD96" s="33" t="str">
        <f ca="1">QUOTIENT(SUMPRODUCT(LEFT($AE96:$AF96,FIND("년",$AE96:$AF96)-1)*12+MID($AE96:$AF96,FIND("년",$AE96:$AF96)+1,FIND("개월",$AE96:$AF96)-FIND("년",$AE96:$AF96)-1)),12)&amp;"년"&amp;MOD(SUMPRODUCT(LEFT($AE96:$AF96,FIND("년",$AE96:$AF96)-1)*12+MID($AE96:$AF96,FIND("년",$AE96:$AF96)+1,FIND("개월",$AE96:$AF96)-FIND("년",$AE96:$AF96)-1)),12)&amp;"개월"</f>
        <v>21년6개월</v>
      </c>
      <c r="AE96" s="33" t="s">
        <v>1346</v>
      </c>
      <c r="AF96" s="34" t="str">
        <f ca="1">DATEDIF($L96,TODAY(),"y")&amp;"년"&amp;DATEDIF($L96,TODAY(),"ym")&amp;"개월"</f>
        <v>2년0개월</v>
      </c>
      <c r="AG96" s="35" t="s">
        <v>1347</v>
      </c>
      <c r="AH96" s="35" t="s">
        <v>1348</v>
      </c>
      <c r="AI96" s="30" t="s">
        <v>270</v>
      </c>
      <c r="AJ96" s="32">
        <v>40597</v>
      </c>
      <c r="AK96" s="36">
        <f ca="1">VALUE(LEFT($AD96,FIND("년",$AD96)-1))</f>
        <v>21</v>
      </c>
      <c r="AL96" s="31" t="str">
        <f ca="1">IF($AI96="학사",IF($AK96&lt;=5,"초급",IF($AK96&lt;9,"중급",IF($AK96&lt;12,"고급",IF($AK96&gt;=12,"특급")))))</f>
        <v>특급</v>
      </c>
      <c r="AM96" s="31" t="str">
        <f>IF(ISNUMBER(SEARCH("산업기사",$AT96)),IF($AK96&gt;=13,"특급",IF($AK96&gt;=10,"고급",IF($AK96&gt;=7,"중급","초급"))),IF(ISNUMBER(SEARCH("기사",$AR96)),IF($AK96&gt;=10,"특급",IF($AK96&gt;=7,"고급",IF($AK96&gt;=4,"중급","초급"))),"미해당"))</f>
        <v>미해당</v>
      </c>
      <c r="AN96" s="27"/>
      <c r="AO96" s="32"/>
      <c r="AP96" s="27" t="s">
        <v>137</v>
      </c>
      <c r="AQ96" s="32">
        <v>39165</v>
      </c>
      <c r="AR96" s="27"/>
      <c r="AS96" s="27"/>
      <c r="AT96" s="37"/>
      <c r="AU96" s="27"/>
      <c r="AV96" s="38"/>
      <c r="AW96" s="39"/>
      <c r="AX96" s="39"/>
      <c r="AY96" s="40" t="s">
        <v>251</v>
      </c>
      <c r="AZ96" s="41" t="s">
        <v>252</v>
      </c>
      <c r="BA96" s="30" t="s">
        <v>230</v>
      </c>
      <c r="BB96" s="30" t="s">
        <v>1349</v>
      </c>
      <c r="BC96" s="42" t="s">
        <v>254</v>
      </c>
      <c r="BD96" s="42" t="s">
        <v>1350</v>
      </c>
      <c r="BE96" s="43" t="s">
        <v>1351</v>
      </c>
      <c r="BF96" s="42" t="s">
        <v>234</v>
      </c>
      <c r="BG96" s="42" t="s">
        <v>672</v>
      </c>
      <c r="BH96" s="35"/>
      <c r="BI96" s="44" t="s">
        <v>1352</v>
      </c>
      <c r="BJ96" s="45" t="str">
        <f>IFERROR(VLOOKUP($BG96,[1]프로젝트현황!Y:Z,2,0),"기타")</f>
        <v>서남권</v>
      </c>
      <c r="BK96" s="46" t="str">
        <f>(IF(BF96="","",BF96&amp;" "))&amp;(IF(BG96="","",BG96&amp;" "))&amp;(IF(BH96="","",BH96&amp;" "))&amp;BI96</f>
        <v>경기도 김포시 김포한강2로 361, 707동 1002호(장기동,호반베르디움 더퍼스트)</v>
      </c>
      <c r="BL96" s="47">
        <v>30</v>
      </c>
      <c r="BM96" s="47">
        <v>30</v>
      </c>
      <c r="BN96" s="48">
        <v>52733333.333333336</v>
      </c>
      <c r="BO96" s="48">
        <f>BP96*12</f>
        <v>52733388</v>
      </c>
      <c r="BP96" s="49">
        <f>SUM(BQ96:BS96)</f>
        <v>4394449</v>
      </c>
      <c r="BQ96" s="49">
        <f>ROUNDUP(BN96/12*209/(209+BU96*1.5)/BL96*BM96,-1)-BS96</f>
        <v>3000140</v>
      </c>
      <c r="BR96" s="49">
        <f>ROUNDUP(BN96/12*(BU96*1.5)/(209+BU96*1.5)/BL96*BM96,1)</f>
        <v>1194309</v>
      </c>
      <c r="BS96" s="49">
        <v>200000</v>
      </c>
      <c r="BT96" s="50">
        <v>209</v>
      </c>
      <c r="BU96" s="49">
        <f>IF($BN96="","",
IFERROR(
    IF($BN96&lt;'[1]시간외시간 기준표'!$B$2,0,
        IF($BN96&gt;LOOKUP(9.9E+307,'[1]시간외시간 기준표'!$B$2:$B$999),
            LOOKUP(9.9E+307,'[1]시간외시간 기준표'!$C$2:$C$999),
            LOOKUP($BN96,'[1]시간외시간 기준표'!$B$2:$B$999,'[1]시간외시간 기준표'!$C$2:$C$999)
        )
    ),0)
)</f>
        <v>52</v>
      </c>
      <c r="BV96" s="50">
        <f>(BQ96+BS96)/209</f>
        <v>15311.674641148325</v>
      </c>
      <c r="BW96" s="51">
        <v>30</v>
      </c>
      <c r="BX96" s="51">
        <v>30</v>
      </c>
      <c r="BY96" s="52">
        <v>52733333.333333336</v>
      </c>
      <c r="BZ96" s="52">
        <f>CA96*12</f>
        <v>52733388</v>
      </c>
      <c r="CA96" s="49">
        <f>SUM(CB96:CD96)</f>
        <v>4394449</v>
      </c>
      <c r="CB96" s="49">
        <f>ROUNDUP(BY96/12*209/(209+CF96*1.5)/BW96*BX96,-1)-CD96</f>
        <v>3000140</v>
      </c>
      <c r="CC96" s="49">
        <f>ROUNDUP(BY96/12*(CF96*1.5)/(209+CF96*1.5)/BW96*BX96,1)</f>
        <v>1194309</v>
      </c>
      <c r="CD96" s="49">
        <v>200000</v>
      </c>
      <c r="CE96" s="50">
        <v>209</v>
      </c>
      <c r="CF96" s="49">
        <f>IF(BY96&lt;26000000,0,IF(BY96&lt;26500000,4,IF(BY96&lt;27000000,7,IF(BY96&lt;27500000,9,IF(BY96&lt;28000000,11,IF(BY96&lt;28500000,15,IF(BY96&lt;29000000,17,IF(BY96&lt;29500000,20,IF(BY96&lt;30000000,23,IF(BY96&lt;30500000,25,IF(BY96&lt;31000000,27,IF(BY96&lt;31500000,29,IF(BY96&lt;32000000,33,IF(BY96&lt;32500000,37,IF(BY96&lt;33000000,39,IF(BY96&lt;33500000,42,IF(BY96&lt;34000000,45,IF(BY96&lt;34500000,48,IF(BY96&lt;35000000,52,52)))))))))))))))))))</f>
        <v>52</v>
      </c>
      <c r="CG96" s="50">
        <f>(CB96+CD96)/209</f>
        <v>15311.674641148325</v>
      </c>
      <c r="CH96" s="51">
        <v>30</v>
      </c>
      <c r="CI96" s="51">
        <v>30</v>
      </c>
      <c r="CJ96" s="52">
        <v>52000000</v>
      </c>
      <c r="CK96" s="52">
        <f>CL96*12</f>
        <v>52000084.800000004</v>
      </c>
      <c r="CL96" s="49">
        <f>SUM(CM96:CO96)</f>
        <v>4333340.4000000004</v>
      </c>
      <c r="CM96" s="49">
        <f>ROUNDUP(CJ96/12*209/(209+CQ96*1.5)/CH96*CI96,-1)-CO96</f>
        <v>2955640</v>
      </c>
      <c r="CN96" s="49">
        <f>ROUNDUP(CJ96/12*(CQ96*1.5)/(209+CQ96*1.5)/CH96*CI96,1)</f>
        <v>1177700.4000000001</v>
      </c>
      <c r="CO96" s="50">
        <v>200000</v>
      </c>
      <c r="CP96" s="50">
        <v>209</v>
      </c>
      <c r="CQ96" s="50">
        <f>IF(CJ96&lt;26000000,0,IF(CJ96&lt;26500000,4,IF(CJ96&lt;27000000,7,IF(CJ96&lt;27500000,9,IF(CJ96&lt;28000000,11,IF(CJ96&lt;28500000,15,IF(CJ96&lt;29000000,17,IF(CJ96&lt;29500000,20,IF(CJ96&lt;30000000,23,IF(CJ96&lt;30500000,25,IF(CJ96&lt;31000000,27,IF(CJ96&lt;31500000,29,IF(CJ96&lt;32000000,33,IF(CJ96&lt;32500000,37,IF(CJ96&lt;33000000,39,IF(CJ96&lt;33500000,42,IF(CJ96&lt;34000000,45,IF(CJ96&lt;34500000,48,IF(CJ96&lt;35000000,52,52)))))))))))))))))))</f>
        <v>52</v>
      </c>
      <c r="CR96" s="50">
        <f>(CM96+CO96)/209</f>
        <v>15098.755980861244</v>
      </c>
      <c r="CS96" s="52">
        <f>인사기본정보!$CT42*12</f>
        <v>27000000</v>
      </c>
      <c r="CT96" s="53">
        <v>4333340</v>
      </c>
      <c r="CU96" s="53">
        <v>2955640</v>
      </c>
      <c r="CV96" s="53">
        <v>1177700</v>
      </c>
      <c r="CW96" s="54">
        <v>200000</v>
      </c>
      <c r="CX96" s="54">
        <v>209</v>
      </c>
      <c r="CY96" s="54">
        <v>52</v>
      </c>
      <c r="CZ96" s="55">
        <f>SUM(CX96:CY96)</f>
        <v>261</v>
      </c>
      <c r="DA96" s="55"/>
      <c r="DB96" s="56">
        <f>IFERROR((CU96+CW96)/209,"")</f>
        <v>15098.755980861244</v>
      </c>
      <c r="DC96" s="57">
        <v>2024</v>
      </c>
      <c r="DD96" s="58"/>
      <c r="DE96" s="58"/>
      <c r="DF96" s="57"/>
      <c r="DG96" s="59">
        <f>B96</f>
        <v>240201</v>
      </c>
      <c r="DH96" s="58"/>
      <c r="DI96" s="58"/>
      <c r="DJ96" s="60"/>
      <c r="DK96" s="58"/>
      <c r="DL96" s="61"/>
      <c r="DM96" s="24"/>
    </row>
    <row r="97" spans="1:117" ht="15" customHeight="1">
      <c r="A97" s="25">
        <f>ROW()-2</f>
        <v>95</v>
      </c>
      <c r="B97" s="26">
        <v>240202</v>
      </c>
      <c r="C97" s="27" t="s">
        <v>1353</v>
      </c>
      <c r="D97" s="27"/>
      <c r="E97" s="27" t="s">
        <v>613</v>
      </c>
      <c r="F97" s="27" t="s">
        <v>196</v>
      </c>
      <c r="G97" s="27" t="s">
        <v>216</v>
      </c>
      <c r="H97" s="27" t="s">
        <v>198</v>
      </c>
      <c r="I97" s="27" t="s">
        <v>1354</v>
      </c>
      <c r="J97" s="27" t="str">
        <f>+VLOOKUP($I97,[1]프로젝트현황!$I:$N,5,0)</f>
        <v>서울시</v>
      </c>
      <c r="K97" s="27" t="str">
        <f>+VLOOKUP($I97,[1]프로젝트현황!$I:$N,6,0)</f>
        <v>강남구</v>
      </c>
      <c r="L97" s="28">
        <v>45327</v>
      </c>
      <c r="M97" s="28">
        <v>45327</v>
      </c>
      <c r="N97" s="28"/>
      <c r="O97" s="29"/>
      <c r="P97" s="30" t="s">
        <v>1355</v>
      </c>
      <c r="Q97" s="27" t="s">
        <v>1356</v>
      </c>
      <c r="R97" s="31" t="str">
        <f>LEFT(Q97,6)</f>
        <v>021225</v>
      </c>
      <c r="S97" s="31" t="str">
        <f>MID($Q97,3,2)</f>
        <v>12</v>
      </c>
      <c r="T97" s="31" t="str">
        <f>IF(OR(MID($Q97,8,1)="1",MID($Q97,8,1)="3"),"남자",IF(OR(MID($Q97,8,1)="2",MID($Q97,8,1)="4"),"여자",""))</f>
        <v>여자</v>
      </c>
      <c r="U97" s="31">
        <f ca="1">YEAR(TODAY())-IF(OR(MID($Q97,8,1)="1",MID($Q97,8,1)="2"),19&amp;LEFT($Q97,2),IF(OR(MID($Q97,8,1)="3",MID($Q97,8,1)="4"),20&amp;LEFT($Q97,2),""))+1</f>
        <v>25</v>
      </c>
      <c r="V97" s="31" t="s">
        <v>200</v>
      </c>
      <c r="W97" s="31" t="s">
        <v>201</v>
      </c>
      <c r="X97" s="27" t="s">
        <v>1357</v>
      </c>
      <c r="Y97" s="27"/>
      <c r="Z97" s="27"/>
      <c r="AA97" s="32"/>
      <c r="AB97" s="31" t="s">
        <v>203</v>
      </c>
      <c r="AC97" s="27"/>
      <c r="AD97" s="33" t="str">
        <f ca="1">QUOTIENT(SUMPRODUCT(LEFT($AE97:$AF97,FIND("년",$AE97:$AF97)-1)*12+MID($AE97:$AF97,FIND("년",$AE97:$AF97)+1,FIND("개월",$AE97:$AF97)-FIND("년",$AE97:$AF97)-1)),12)&amp;"년"&amp;MOD(SUMPRODUCT(LEFT($AE97:$AF97,FIND("년",$AE97:$AF97)-1)*12+MID($AE97:$AF97,FIND("년",$AE97:$AF97)+1,FIND("개월",$AE97:$AF97)-FIND("년",$AE97:$AF97)-1)),12)&amp;"개월"</f>
        <v>2년0개월</v>
      </c>
      <c r="AE97" s="33" t="s">
        <v>543</v>
      </c>
      <c r="AF97" s="34" t="str">
        <f ca="1">DATEDIF($L97,TODAY(),"y")&amp;"년"&amp;DATEDIF($L97,TODAY(),"ym")&amp;"개월"</f>
        <v>2년0개월</v>
      </c>
      <c r="AG97" s="35" t="s">
        <v>447</v>
      </c>
      <c r="AH97" s="35" t="s">
        <v>448</v>
      </c>
      <c r="AI97" s="30" t="s">
        <v>205</v>
      </c>
      <c r="AJ97" s="32">
        <v>45520</v>
      </c>
      <c r="AK97" s="36">
        <f ca="1">VALUE(LEFT($AD97,FIND("년",$AD97)-1))</f>
        <v>2</v>
      </c>
      <c r="AL97" s="31" t="str">
        <f ca="1">IF($AI97="전문학사",IF($AK97&lt;=8,"초급",IF($AK97&lt;12,"중급",IF($AK97&lt;15,"고급",IF($AK97&gt;=15,"특급")))))</f>
        <v>초급</v>
      </c>
      <c r="AM97" s="31" t="str">
        <f>IF(ISNUMBER(SEARCH("산업기사",$AT97)),IF($AK97&gt;=13,"특급",IF($AK97&gt;=10,"고급",IF($AK97&gt;=7,"중급","초급"))),IF(ISNUMBER(SEARCH("기사",$AR97)),IF($AK97&gt;=10,"특급",IF($AK97&gt;=7,"고급",IF($AK97&gt;=4,"중급","초급"))),"미해당"))</f>
        <v>미해당</v>
      </c>
      <c r="AN97" s="27"/>
      <c r="AO97" s="32"/>
      <c r="AP97" s="27"/>
      <c r="AQ97" s="32"/>
      <c r="AR97" s="27"/>
      <c r="AS97" s="27"/>
      <c r="AT97" s="37"/>
      <c r="AU97" s="27"/>
      <c r="AV97" s="38"/>
      <c r="AW97" s="39"/>
      <c r="AX97" s="39"/>
      <c r="AY97" s="40" t="s">
        <v>558</v>
      </c>
      <c r="AZ97" s="41" t="s">
        <v>559</v>
      </c>
      <c r="BA97" s="30" t="s">
        <v>1358</v>
      </c>
      <c r="BB97" s="30" t="s">
        <v>1359</v>
      </c>
      <c r="BC97" s="42" t="s">
        <v>254</v>
      </c>
      <c r="BD97" s="42" t="s">
        <v>1360</v>
      </c>
      <c r="BE97" s="43" t="s">
        <v>1361</v>
      </c>
      <c r="BF97" s="42" t="s">
        <v>234</v>
      </c>
      <c r="BG97" s="42" t="s">
        <v>1362</v>
      </c>
      <c r="BH97" s="35"/>
      <c r="BI97" s="44" t="s">
        <v>1363</v>
      </c>
      <c r="BJ97" s="45" t="str">
        <f>IFERROR(VLOOKUP($BG97,[1]프로젝트현황!Y:Z,2,0),"기타")</f>
        <v>서남권</v>
      </c>
      <c r="BK97" s="46" t="str">
        <f>(IF(BF97="","",BF97&amp;" "))&amp;(IF(BG97="","",BG97&amp;" "))&amp;(IF(BH97="","",BH97&amp;" "))&amp;BI97</f>
        <v>경기도 시흥시 역전로 375-8, 101동 704호 (정왕동, 화성아파트)</v>
      </c>
      <c r="BL97" s="47">
        <v>30</v>
      </c>
      <c r="BM97" s="47">
        <v>30</v>
      </c>
      <c r="BN97" s="48">
        <v>27666666.666666668</v>
      </c>
      <c r="BO97" s="48">
        <f>BP97*12</f>
        <v>27666692.400000002</v>
      </c>
      <c r="BP97" s="49">
        <f>SUM(BQ97:BS97)</f>
        <v>2305557.7000000002</v>
      </c>
      <c r="BQ97" s="49">
        <f>ROUNDUP(BN97/12*209/(209+BU97*1.5)/BL97*BM97,-1)-BS97</f>
        <v>1965670</v>
      </c>
      <c r="BR97" s="49">
        <f>ROUNDUP(BN97/12*(BU97*1.5)/(209+BU97*1.5)/BL97*BM97,1)</f>
        <v>139887.70000000001</v>
      </c>
      <c r="BS97" s="49">
        <v>200000</v>
      </c>
      <c r="BT97" s="50">
        <v>209</v>
      </c>
      <c r="BU97" s="49">
        <f>IF($BN97="","",
IFERROR(
    IF($BN97&lt;'[1]시간외시간 기준표'!$B$2,0,
        IF($BN97&gt;LOOKUP(9.9E+307,'[1]시간외시간 기준표'!$B$2:$B$999),
            LOOKUP(9.9E+307,'[1]시간외시간 기준표'!$C$2:$C$999),
            LOOKUP($BN97,'[1]시간외시간 기준표'!$B$2:$B$999,'[1]시간외시간 기준표'!$C$2:$C$999)
        )
    ),0)
)</f>
        <v>9</v>
      </c>
      <c r="BV97" s="50">
        <f>(BQ97+BS97)/209</f>
        <v>10362.057416267942</v>
      </c>
      <c r="BW97" s="51">
        <v>30</v>
      </c>
      <c r="BX97" s="51">
        <v>30</v>
      </c>
      <c r="BY97" s="52">
        <v>27666666.666666668</v>
      </c>
      <c r="BZ97" s="52">
        <f>CA97*12</f>
        <v>27666710.400000002</v>
      </c>
      <c r="CA97" s="49">
        <f>SUM(CB97:CD97)</f>
        <v>2305559.2000000002</v>
      </c>
      <c r="CB97" s="49">
        <f>ROUNDUP(BY97/12*209/(209+CF97*1.5)/BW97*BX97,-1)-CD97</f>
        <v>1936860</v>
      </c>
      <c r="CC97" s="49">
        <f>ROUNDUP(BY97/12*(CF97*1.5)/(209+CF97*1.5)/BW97*BX97,1)</f>
        <v>168699.2</v>
      </c>
      <c r="CD97" s="49">
        <v>200000</v>
      </c>
      <c r="CE97" s="50">
        <v>209</v>
      </c>
      <c r="CF97" s="49">
        <f>IF(BY97&lt;26000000,0,IF(BY97&lt;26500000,4,IF(BY97&lt;27000000,7,IF(BY97&lt;27500000,9,IF(BY97&lt;28000000,11,IF(BY97&lt;28500000,15,IF(BY97&lt;29000000,17,IF(BY97&lt;29500000,20,IF(BY97&lt;30000000,23,IF(BY97&lt;30500000,25,IF(BY97&lt;31000000,27,IF(BY97&lt;31500000,29,IF(BY97&lt;32000000,33,IF(BY97&lt;32500000,37,IF(BY97&lt;33000000,39,IF(BY97&lt;33500000,42,IF(BY97&lt;34000000,45,IF(BY97&lt;34500000,48,IF(BY97&lt;35000000,52,52)))))))))))))))))))</f>
        <v>11</v>
      </c>
      <c r="CG97" s="50">
        <f>(CB97+CD97)/209</f>
        <v>10224.21052631579</v>
      </c>
      <c r="CH97" s="51">
        <v>30</v>
      </c>
      <c r="CI97" s="51">
        <v>30</v>
      </c>
      <c r="CJ97" s="52">
        <v>27000000</v>
      </c>
      <c r="CK97" s="52">
        <f>CL97*12</f>
        <v>27000082.799999997</v>
      </c>
      <c r="CL97" s="49">
        <f>SUM(CM97:CO97)</f>
        <v>2250006.9</v>
      </c>
      <c r="CM97" s="49">
        <f>ROUNDUP(CJ97/12*209/(209+CQ97*1.5)/CH97*CI97,-1)-CO97</f>
        <v>1913490</v>
      </c>
      <c r="CN97" s="49">
        <f>ROUNDUP(CJ97/12*(CQ97*1.5)/(209+CQ97*1.5)/CH97*CI97,1)</f>
        <v>136516.9</v>
      </c>
      <c r="CO97" s="50">
        <v>200000</v>
      </c>
      <c r="CP97" s="50">
        <v>209</v>
      </c>
      <c r="CQ97" s="50">
        <f>IF(CJ97&lt;26000000,0,IF(CJ97&lt;26500000,4,IF(CJ97&lt;27000000,7,IF(CJ97&lt;27500000,9,IF(CJ97&lt;28000000,11,IF(CJ97&lt;28500000,15,IF(CJ97&lt;29000000,17,IF(CJ97&lt;29500000,20,IF(CJ97&lt;30000000,23,IF(CJ97&lt;30500000,25,IF(CJ97&lt;31000000,27,IF(CJ97&lt;31500000,29,IF(CJ97&lt;32000000,33,IF(CJ97&lt;32500000,37,IF(CJ97&lt;33000000,39,IF(CJ97&lt;33500000,42,IF(CJ97&lt;34000000,45,IF(CJ97&lt;34500000,48,IF(CJ97&lt;35000000,52,52)))))))))))))))))))</f>
        <v>9</v>
      </c>
      <c r="CR97" s="50">
        <f>(CM97+CO97)/209</f>
        <v>10112.392344497608</v>
      </c>
      <c r="CS97" s="52">
        <f>인사기본정보!$CT43*12</f>
        <v>28000000</v>
      </c>
      <c r="CT97" s="53">
        <f>SUM(인사기본정보!$CU43:$CW43)</f>
        <v>200000</v>
      </c>
      <c r="CU97" s="53">
        <v>1871590</v>
      </c>
      <c r="CV97" s="53">
        <v>178414</v>
      </c>
      <c r="CW97" s="54">
        <v>200000</v>
      </c>
      <c r="CX97" s="54">
        <v>209</v>
      </c>
      <c r="CY97" s="54">
        <v>12</v>
      </c>
      <c r="CZ97" s="55">
        <f>SUM(CX97:CY97)</f>
        <v>221</v>
      </c>
      <c r="DA97" s="55"/>
      <c r="DB97" s="56">
        <f>IFERROR((CU97+CW97)/209,"")</f>
        <v>9911.9138755980857</v>
      </c>
      <c r="DC97" s="57">
        <v>2024</v>
      </c>
      <c r="DD97" s="58"/>
      <c r="DE97" s="58"/>
      <c r="DF97" s="57"/>
      <c r="DG97" s="59">
        <f>B97</f>
        <v>240202</v>
      </c>
      <c r="DH97" s="58"/>
      <c r="DI97" s="58"/>
      <c r="DJ97" s="60"/>
      <c r="DK97" s="58"/>
      <c r="DL97" s="61"/>
      <c r="DM97" s="24"/>
    </row>
    <row r="98" spans="1:117" ht="15" customHeight="1">
      <c r="A98" s="25">
        <f>ROW()-2</f>
        <v>96</v>
      </c>
      <c r="B98" s="26">
        <v>240301</v>
      </c>
      <c r="C98" s="27" t="s">
        <v>1364</v>
      </c>
      <c r="D98" s="27"/>
      <c r="E98" s="27" t="s">
        <v>613</v>
      </c>
      <c r="F98" s="27" t="s">
        <v>196</v>
      </c>
      <c r="G98" s="27" t="s">
        <v>240</v>
      </c>
      <c r="H98" s="27" t="s">
        <v>217</v>
      </c>
      <c r="I98" s="27" t="s">
        <v>359</v>
      </c>
      <c r="J98" s="27" t="str">
        <f>+VLOOKUP($I98,[1]프로젝트현황!$I:$N,5,0)</f>
        <v>서울시</v>
      </c>
      <c r="K98" s="27" t="str">
        <f>+VLOOKUP($I98,[1]프로젝트현황!$I:$N,6,0)</f>
        <v>금천구</v>
      </c>
      <c r="L98" s="28">
        <v>45355</v>
      </c>
      <c r="M98" s="28">
        <v>45355</v>
      </c>
      <c r="N98" s="28"/>
      <c r="O98" s="29"/>
      <c r="P98" s="30" t="s">
        <v>1365</v>
      </c>
      <c r="Q98" s="27" t="s">
        <v>1366</v>
      </c>
      <c r="R98" s="31" t="str">
        <f>LEFT(Q98,6)</f>
        <v>050819</v>
      </c>
      <c r="S98" s="31" t="str">
        <f>MID($Q98,3,2)</f>
        <v>08</v>
      </c>
      <c r="T98" s="31" t="str">
        <f>IF(OR(MID($Q98,8,1)="1",MID($Q98,8,1)="3"),"남자",IF(OR(MID($Q98,8,1)="2",MID($Q98,8,1)="4"),"여자",""))</f>
        <v>남자</v>
      </c>
      <c r="U98" s="31">
        <f ca="1">YEAR(TODAY())-IF(OR(MID($Q98,8,1)="1",MID($Q98,8,1)="2"),19&amp;LEFT($Q98,2),IF(OR(MID($Q98,8,1)="3",MID($Q98,8,1)="4"),20&amp;LEFT($Q98,2),""))+1</f>
        <v>22</v>
      </c>
      <c r="V98" s="31" t="s">
        <v>200</v>
      </c>
      <c r="W98" s="31" t="s">
        <v>201</v>
      </c>
      <c r="X98" s="27" t="s">
        <v>1367</v>
      </c>
      <c r="Y98" s="27"/>
      <c r="Z98" s="27"/>
      <c r="AA98" s="32"/>
      <c r="AB98" s="31" t="s">
        <v>203</v>
      </c>
      <c r="AC98" s="27"/>
      <c r="AD98" s="33" t="str">
        <f ca="1">QUOTIENT(SUMPRODUCT(LEFT($AE98:$AF98,FIND("년",$AE98:$AF98)-1)*12+MID($AE98:$AF98,FIND("년",$AE98:$AF98)+1,FIND("개월",$AE98:$AF98)-FIND("년",$AE98:$AF98)-1)),12)&amp;"년"&amp;MOD(SUMPRODUCT(LEFT($AE98:$AF98,FIND("년",$AE98:$AF98)-1)*12+MID($AE98:$AF98,FIND("년",$AE98:$AF98)+1,FIND("개월",$AE98:$AF98)-FIND("년",$AE98:$AF98)-1)),12)&amp;"개월"</f>
        <v>1년11개월</v>
      </c>
      <c r="AE98" s="33" t="s">
        <v>543</v>
      </c>
      <c r="AF98" s="34" t="str">
        <f ca="1">DATEDIF($L98,TODAY(),"y")&amp;"년"&amp;DATEDIF($L98,TODAY(),"ym")&amp;"개월"</f>
        <v>1년11개월</v>
      </c>
      <c r="AG98" s="35" t="s">
        <v>894</v>
      </c>
      <c r="AH98" s="35" t="s">
        <v>895</v>
      </c>
      <c r="AI98" s="30" t="s">
        <v>365</v>
      </c>
      <c r="AJ98" s="32">
        <v>45309</v>
      </c>
      <c r="AK98" s="36">
        <f ca="1">VALUE(LEFT($AD98,FIND("년",$AD98)-1))</f>
        <v>1</v>
      </c>
      <c r="AL98" s="31" t="str">
        <f ca="1">IF($AI98="고졸",IF($AK98&lt;=11,"초급",IF($AK98&lt;=14,"중급",IF($AK98&lt;=17,"고급",IF($AK98&gt;=18,"특급")))))</f>
        <v>초급</v>
      </c>
      <c r="AM98" s="31" t="str">
        <f ca="1">IF(ISNUMBER(SEARCH("산업기사",$AT98)),IF($AK98&gt;=13,"특급",IF($AK98&gt;=10,"고급",IF($AK98&gt;=7,"중급","초급"))),IF(ISNUMBER(SEARCH("기사",$AR98)),IF($AK98&gt;=10,"특급",IF($AK98&gt;=7,"고급",IF($AK98&gt;=4,"중급","초급"))),"미해당"))</f>
        <v>초급</v>
      </c>
      <c r="AN98" s="27"/>
      <c r="AO98" s="32"/>
      <c r="AP98" s="27"/>
      <c r="AQ98" s="32"/>
      <c r="AR98" s="27"/>
      <c r="AS98" s="27"/>
      <c r="AT98" s="37" t="s">
        <v>141</v>
      </c>
      <c r="AU98" s="27">
        <v>45135</v>
      </c>
      <c r="AV98" s="38"/>
      <c r="AW98" s="39"/>
      <c r="AX98" s="39"/>
      <c r="AY98" s="40" t="s">
        <v>251</v>
      </c>
      <c r="AZ98" s="41" t="s">
        <v>252</v>
      </c>
      <c r="BA98" s="30" t="s">
        <v>230</v>
      </c>
      <c r="BB98" s="30" t="s">
        <v>1368</v>
      </c>
      <c r="BC98" s="42"/>
      <c r="BD98" s="42"/>
      <c r="BE98" s="43" t="s">
        <v>1369</v>
      </c>
      <c r="BF98" s="42" t="s">
        <v>211</v>
      </c>
      <c r="BG98" s="42" t="s">
        <v>1239</v>
      </c>
      <c r="BH98" s="35"/>
      <c r="BI98" s="44" t="s">
        <v>1370</v>
      </c>
      <c r="BJ98" s="45" t="str">
        <f>IFERROR(VLOOKUP($BG98,[1]프로젝트현황!Y:Z,2,0),"기타")</f>
        <v>동남권</v>
      </c>
      <c r="BK98" s="46" t="str">
        <f>(IF(BF98="","",BF98&amp;" "))&amp;(IF(BG98="","",BG98&amp;" "))&amp;(IF(BH98="","",BH98&amp;" "))&amp;BI98</f>
        <v>서울시 송파구 성내천로43라길8, 201호(마천동,을해빌라 4차)</v>
      </c>
      <c r="BL98" s="47">
        <v>30</v>
      </c>
      <c r="BM98" s="47">
        <v>30</v>
      </c>
      <c r="BN98" s="48">
        <v>26600000</v>
      </c>
      <c r="BO98" s="48">
        <f>BP98*12</f>
        <v>26600056.799999997</v>
      </c>
      <c r="BP98" s="49">
        <f>SUM(BQ98:BS98)</f>
        <v>2216671.4</v>
      </c>
      <c r="BQ98" s="49">
        <f>ROUNDUP(BN98/12*209/(209+BU98*1.5)/BL98*BM98,-1)-BS98</f>
        <v>1969950</v>
      </c>
      <c r="BR98" s="49">
        <f>ROUNDUP(BN98/12*(BU98*1.5)/(209+BU98*1.5)/BL98*BM98,1)</f>
        <v>46721.4</v>
      </c>
      <c r="BS98" s="49">
        <v>200000</v>
      </c>
      <c r="BT98" s="50">
        <v>209</v>
      </c>
      <c r="BU98" s="49">
        <f>IF($BN98="","",
IFERROR(
    IF($BN98&lt;'[1]시간외시간 기준표'!$B$2,0,
        IF($BN98&gt;LOOKUP(9.9E+307,'[1]시간외시간 기준표'!$B$2:$B$999),
            LOOKUP(9.9E+307,'[1]시간외시간 기준표'!$C$2:$C$999),
            LOOKUP($BN98,'[1]시간외시간 기준표'!$B$2:$B$999,'[1]시간외시간 기준표'!$C$2:$C$999)
        )
    ),0)
)</f>
        <v>3</v>
      </c>
      <c r="BV98" s="50">
        <f>(BQ98+BS98)/209</f>
        <v>10382.535885167465</v>
      </c>
      <c r="BW98" s="51">
        <v>30</v>
      </c>
      <c r="BX98" s="51">
        <v>30</v>
      </c>
      <c r="BY98" s="52">
        <v>26600000</v>
      </c>
      <c r="BZ98" s="52">
        <f>CA98*12</f>
        <v>26600118</v>
      </c>
      <c r="CA98" s="49">
        <f>SUM(CB98:CD98)</f>
        <v>2216676.5</v>
      </c>
      <c r="CB98" s="49">
        <f>ROUNDUP(BY98/12*209/(209+CF98*1.5)/BW98*BX98,-1)-CD98</f>
        <v>1910640</v>
      </c>
      <c r="CC98" s="49">
        <f>ROUNDUP(BY98/12*(CF98*1.5)/(209+CF98*1.5)/BW98*BX98,1)</f>
        <v>106036.5</v>
      </c>
      <c r="CD98" s="49">
        <v>200000</v>
      </c>
      <c r="CE98" s="50">
        <v>209</v>
      </c>
      <c r="CF98" s="49">
        <f>IF(BY98&lt;26000000,0,IF(BY98&lt;26500000,4,IF(BY98&lt;27000000,7,IF(BY98&lt;27500000,9,IF(BY98&lt;28000000,11,IF(BY98&lt;28500000,15,IF(BY98&lt;29000000,17,IF(BY98&lt;29500000,20,IF(BY98&lt;30000000,23,IF(BY98&lt;30500000,25,IF(BY98&lt;31000000,27,IF(BY98&lt;31500000,29,IF(BY98&lt;32000000,33,IF(BY98&lt;32500000,37,IF(BY98&lt;33000000,39,IF(BY98&lt;33500000,42,IF(BY98&lt;34000000,45,IF(BY98&lt;34500000,48,IF(BY98&lt;35000000,52,52)))))))))))))))))))</f>
        <v>7</v>
      </c>
      <c r="CG98" s="50">
        <f>(CB98+CD98)/209</f>
        <v>10098.755980861244</v>
      </c>
      <c r="CH98" s="51">
        <v>30</v>
      </c>
      <c r="CI98" s="51">
        <v>30</v>
      </c>
      <c r="CJ98" s="52">
        <v>26000000</v>
      </c>
      <c r="CK98" s="52">
        <f>CL98*12</f>
        <v>26000102.400000002</v>
      </c>
      <c r="CL98" s="49">
        <f>SUM(CM98:CO98)</f>
        <v>2166675.2000000002</v>
      </c>
      <c r="CM98" s="49">
        <f>ROUNDUP(CJ98/12*209/(209+CQ98*1.5)/CH98*CI98,-1)-CO98</f>
        <v>1906210</v>
      </c>
      <c r="CN98" s="49">
        <f>ROUNDUP(CJ98/12*(CQ98*1.5)/(209+CQ98*1.5)/CH98*CI98,1)</f>
        <v>60465.2</v>
      </c>
      <c r="CO98" s="50">
        <v>200000</v>
      </c>
      <c r="CP98" s="50">
        <v>209</v>
      </c>
      <c r="CQ98" s="50">
        <f>IF(CJ98&lt;26000000,0,IF(CJ98&lt;26500000,4,IF(CJ98&lt;27000000,7,IF(CJ98&lt;27500000,9,IF(CJ98&lt;28000000,11,IF(CJ98&lt;28500000,15,IF(CJ98&lt;29000000,17,IF(CJ98&lt;29500000,20,IF(CJ98&lt;30000000,23,IF(CJ98&lt;30500000,25,IF(CJ98&lt;31000000,27,IF(CJ98&lt;31500000,29,IF(CJ98&lt;32000000,33,IF(CJ98&lt;32500000,37,IF(CJ98&lt;33000000,39,IF(CJ98&lt;33500000,42,IF(CJ98&lt;34000000,45,IF(CJ98&lt;34500000,48,IF(CJ98&lt;35000000,52,52)))))))))))))))))))</f>
        <v>4</v>
      </c>
      <c r="CR98" s="50">
        <f>(CM98+CO98)/209</f>
        <v>10077.559808612441</v>
      </c>
      <c r="CS98" s="52"/>
      <c r="CT98" s="53"/>
      <c r="CU98" s="53"/>
      <c r="CV98" s="53"/>
      <c r="CW98" s="54"/>
      <c r="CX98" s="54"/>
      <c r="CY98" s="54"/>
      <c r="CZ98" s="55"/>
      <c r="DA98" s="55"/>
      <c r="DB98" s="56"/>
      <c r="DC98" s="57"/>
      <c r="DD98" s="58"/>
      <c r="DE98" s="58"/>
      <c r="DF98" s="57"/>
      <c r="DG98" s="59">
        <f>B98</f>
        <v>240301</v>
      </c>
      <c r="DH98" s="58"/>
      <c r="DI98" s="58"/>
      <c r="DJ98" s="60"/>
      <c r="DK98" s="58"/>
      <c r="DL98" s="61"/>
      <c r="DM98" s="24"/>
    </row>
    <row r="99" spans="1:117" ht="15" customHeight="1">
      <c r="A99" s="25">
        <f>ROW()-2</f>
        <v>97</v>
      </c>
      <c r="B99" s="26">
        <v>240302</v>
      </c>
      <c r="C99" s="27" t="s">
        <v>1371</v>
      </c>
      <c r="D99" s="27"/>
      <c r="E99" s="27" t="s">
        <v>613</v>
      </c>
      <c r="F99" s="27" t="s">
        <v>196</v>
      </c>
      <c r="G99" s="27" t="s">
        <v>240</v>
      </c>
      <c r="H99" s="27" t="s">
        <v>217</v>
      </c>
      <c r="I99" s="27" t="s">
        <v>359</v>
      </c>
      <c r="J99" s="27" t="str">
        <f>+VLOOKUP($I99,[1]프로젝트현황!$I:$N,5,0)</f>
        <v>서울시</v>
      </c>
      <c r="K99" s="27" t="str">
        <f>+VLOOKUP($I99,[1]프로젝트현황!$I:$N,6,0)</f>
        <v>금천구</v>
      </c>
      <c r="L99" s="28">
        <v>45355</v>
      </c>
      <c r="M99" s="28">
        <v>45355</v>
      </c>
      <c r="N99" s="28"/>
      <c r="O99" s="29"/>
      <c r="P99" s="30" t="s">
        <v>1372</v>
      </c>
      <c r="Q99" s="27" t="s">
        <v>1373</v>
      </c>
      <c r="R99" s="31" t="str">
        <f>LEFT(Q99,6)</f>
        <v>051220</v>
      </c>
      <c r="S99" s="31" t="str">
        <f>MID($Q99,3,2)</f>
        <v>12</v>
      </c>
      <c r="T99" s="31" t="str">
        <f>IF(OR(MID($Q99,8,1)="1",MID($Q99,8,1)="3"),"남자",IF(OR(MID($Q99,8,1)="2",MID($Q99,8,1)="4"),"여자",""))</f>
        <v>남자</v>
      </c>
      <c r="U99" s="31">
        <f ca="1">YEAR(TODAY())-IF(OR(MID($Q99,8,1)="1",MID($Q99,8,1)="2"),19&amp;LEFT($Q99,2),IF(OR(MID($Q99,8,1)="3",MID($Q99,8,1)="4"),20&amp;LEFT($Q99,2),""))+1</f>
        <v>22</v>
      </c>
      <c r="V99" s="31" t="s">
        <v>200</v>
      </c>
      <c r="W99" s="31" t="s">
        <v>201</v>
      </c>
      <c r="X99" s="27" t="s">
        <v>1374</v>
      </c>
      <c r="Y99" s="27"/>
      <c r="Z99" s="27"/>
      <c r="AA99" s="32"/>
      <c r="AB99" s="31" t="s">
        <v>203</v>
      </c>
      <c r="AC99" s="27"/>
      <c r="AD99" s="33" t="str">
        <f ca="1">QUOTIENT(SUMPRODUCT(LEFT($AE99:$AF99,FIND("년",$AE99:$AF99)-1)*12+MID($AE99:$AF99,FIND("년",$AE99:$AF99)+1,FIND("개월",$AE99:$AF99)-FIND("년",$AE99:$AF99)-1)),12)&amp;"년"&amp;MOD(SUMPRODUCT(LEFT($AE99:$AF99,FIND("년",$AE99:$AF99)-1)*12+MID($AE99:$AF99,FIND("년",$AE99:$AF99)+1,FIND("개월",$AE99:$AF99)-FIND("년",$AE99:$AF99)-1)),12)&amp;"개월"</f>
        <v>1년11개월</v>
      </c>
      <c r="AE99" s="33" t="s">
        <v>543</v>
      </c>
      <c r="AF99" s="34" t="str">
        <f ca="1">DATEDIF($L99,TODAY(),"y")&amp;"년"&amp;DATEDIF($L99,TODAY(),"ym")&amp;"개월"</f>
        <v>1년11개월</v>
      </c>
      <c r="AG99" s="35" t="s">
        <v>894</v>
      </c>
      <c r="AH99" s="35" t="s">
        <v>895</v>
      </c>
      <c r="AI99" s="30" t="s">
        <v>365</v>
      </c>
      <c r="AJ99" s="32">
        <v>45309</v>
      </c>
      <c r="AK99" s="36">
        <f ca="1">VALUE(LEFT($AD99,FIND("년",$AD99)-1))</f>
        <v>1</v>
      </c>
      <c r="AL99" s="31" t="str">
        <f ca="1">IF($AI99="고졸",IF($AK99&lt;=11,"초급",IF($AK99&lt;=14,"중급",IF($AK99&lt;=17,"고급",IF($AK99&gt;=18,"특급")))))</f>
        <v>초급</v>
      </c>
      <c r="AM99" s="31" t="str">
        <f>IF(ISNUMBER(SEARCH("산업기사",$AT99)),IF($AK99&gt;=13,"특급",IF($AK99&gt;=10,"고급",IF($AK99&gt;=7,"중급","초급"))),IF(ISNUMBER(SEARCH("기사",$AR99)),IF($AK99&gt;=10,"특급",IF($AK99&gt;=7,"고급",IF($AK99&gt;=4,"중급","초급"))),"미해당"))</f>
        <v>미해당</v>
      </c>
      <c r="AN99" s="27"/>
      <c r="AO99" s="32"/>
      <c r="AP99" s="27"/>
      <c r="AQ99" s="32"/>
      <c r="AR99" s="27"/>
      <c r="AS99" s="27"/>
      <c r="AT99" s="37"/>
      <c r="AU99" s="27"/>
      <c r="AV99" s="38"/>
      <c r="AW99" s="39"/>
      <c r="AX99" s="39"/>
      <c r="AY99" s="40" t="s">
        <v>251</v>
      </c>
      <c r="AZ99" s="41" t="s">
        <v>252</v>
      </c>
      <c r="BA99" s="30" t="s">
        <v>230</v>
      </c>
      <c r="BB99" s="30" t="s">
        <v>1375</v>
      </c>
      <c r="BC99" s="42"/>
      <c r="BD99" s="42"/>
      <c r="BE99" s="43" t="s">
        <v>1376</v>
      </c>
      <c r="BF99" s="42" t="s">
        <v>211</v>
      </c>
      <c r="BG99" s="42" t="s">
        <v>718</v>
      </c>
      <c r="BH99" s="35"/>
      <c r="BI99" s="44" t="s">
        <v>1377</v>
      </c>
      <c r="BJ99" s="45" t="str">
        <f>IFERROR(VLOOKUP($BG99,[1]프로젝트현황!Y:Z,2,0),"기타")</f>
        <v>동북권</v>
      </c>
      <c r="BK99" s="46" t="str">
        <f>(IF(BF99="","",BF99&amp;" "))&amp;(IF(BG99="","",BG99&amp;" "))&amp;(IF(BH99="","",BH99&amp;" "))&amp;BI99</f>
        <v>서울시 중랑구 중랑천로 8, 1502호 (면목동,형진아파트)</v>
      </c>
      <c r="BL99" s="47">
        <v>30</v>
      </c>
      <c r="BM99" s="47">
        <v>30</v>
      </c>
      <c r="BN99" s="48">
        <v>26600000</v>
      </c>
      <c r="BO99" s="48">
        <f>BP99*12</f>
        <v>26600056.799999997</v>
      </c>
      <c r="BP99" s="49">
        <f>SUM(BQ99:BS99)</f>
        <v>2216671.4</v>
      </c>
      <c r="BQ99" s="49">
        <f>ROUNDUP(BN99/12*209/(209+BU99*1.5)/BL99*BM99,-1)-BS99</f>
        <v>1969950</v>
      </c>
      <c r="BR99" s="49">
        <f>ROUNDUP(BN99/12*(BU99*1.5)/(209+BU99*1.5)/BL99*BM99,1)</f>
        <v>46721.4</v>
      </c>
      <c r="BS99" s="49">
        <v>200000</v>
      </c>
      <c r="BT99" s="50">
        <v>209</v>
      </c>
      <c r="BU99" s="49">
        <f>IF($BN99="","",
IFERROR(
    IF($BN99&lt;'[1]시간외시간 기준표'!$B$2,0,
        IF($BN99&gt;LOOKUP(9.9E+307,'[1]시간외시간 기준표'!$B$2:$B$999),
            LOOKUP(9.9E+307,'[1]시간외시간 기준표'!$C$2:$C$999),
            LOOKUP($BN99,'[1]시간외시간 기준표'!$B$2:$B$999,'[1]시간외시간 기준표'!$C$2:$C$999)
        )
    ),0)
)</f>
        <v>3</v>
      </c>
      <c r="BV99" s="50">
        <f>(BQ99+BS99)/209</f>
        <v>10382.535885167465</v>
      </c>
      <c r="BW99" s="51">
        <v>30</v>
      </c>
      <c r="BX99" s="51">
        <v>30</v>
      </c>
      <c r="BY99" s="52">
        <v>26600000</v>
      </c>
      <c r="BZ99" s="52">
        <f>CA99*12</f>
        <v>26600118</v>
      </c>
      <c r="CA99" s="49">
        <f>SUM(CB99:CD99)</f>
        <v>2216676.5</v>
      </c>
      <c r="CB99" s="49">
        <f>ROUNDUP(BY99/12*209/(209+CF99*1.5)/BW99*BX99,-1)-CD99</f>
        <v>1910640</v>
      </c>
      <c r="CC99" s="49">
        <f>ROUNDUP(BY99/12*(CF99*1.5)/(209+CF99*1.5)/BW99*BX99,1)</f>
        <v>106036.5</v>
      </c>
      <c r="CD99" s="49">
        <v>200000</v>
      </c>
      <c r="CE99" s="50">
        <v>209</v>
      </c>
      <c r="CF99" s="49">
        <f>IF(BY99&lt;26000000,0,IF(BY99&lt;26500000,4,IF(BY99&lt;27000000,7,IF(BY99&lt;27500000,9,IF(BY99&lt;28000000,11,IF(BY99&lt;28500000,15,IF(BY99&lt;29000000,17,IF(BY99&lt;29500000,20,IF(BY99&lt;30000000,23,IF(BY99&lt;30500000,25,IF(BY99&lt;31000000,27,IF(BY99&lt;31500000,29,IF(BY99&lt;32000000,33,IF(BY99&lt;32500000,37,IF(BY99&lt;33000000,39,IF(BY99&lt;33500000,42,IF(BY99&lt;34000000,45,IF(BY99&lt;34500000,48,IF(BY99&lt;35000000,52,52)))))))))))))))))))</f>
        <v>7</v>
      </c>
      <c r="CG99" s="50">
        <f>(CB99+CD99)/209</f>
        <v>10098.755980861244</v>
      </c>
      <c r="CH99" s="51">
        <v>30</v>
      </c>
      <c r="CI99" s="51">
        <v>30</v>
      </c>
      <c r="CJ99" s="52">
        <v>26000000</v>
      </c>
      <c r="CK99" s="52">
        <f>CL99*12</f>
        <v>26000102.400000002</v>
      </c>
      <c r="CL99" s="49">
        <f>SUM(CM99:CO99)</f>
        <v>2166675.2000000002</v>
      </c>
      <c r="CM99" s="49">
        <f>ROUNDUP(CJ99/12*209/(209+CQ99*1.5)/CH99*CI99,-1)-CO99</f>
        <v>1906210</v>
      </c>
      <c r="CN99" s="49">
        <f>ROUNDUP(CJ99/12*(CQ99*1.5)/(209+CQ99*1.5)/CH99*CI99,1)</f>
        <v>60465.2</v>
      </c>
      <c r="CO99" s="50">
        <v>200000</v>
      </c>
      <c r="CP99" s="50">
        <v>209</v>
      </c>
      <c r="CQ99" s="50">
        <f>IF(CJ99&lt;26000000,0,IF(CJ99&lt;26500000,4,IF(CJ99&lt;27000000,7,IF(CJ99&lt;27500000,9,IF(CJ99&lt;28000000,11,IF(CJ99&lt;28500000,15,IF(CJ99&lt;29000000,17,IF(CJ99&lt;29500000,20,IF(CJ99&lt;30000000,23,IF(CJ99&lt;30500000,25,IF(CJ99&lt;31000000,27,IF(CJ99&lt;31500000,29,IF(CJ99&lt;32000000,33,IF(CJ99&lt;32500000,37,IF(CJ99&lt;33000000,39,IF(CJ99&lt;33500000,42,IF(CJ99&lt;34000000,45,IF(CJ99&lt;34500000,48,IF(CJ99&lt;35000000,52,52)))))))))))))))))))</f>
        <v>4</v>
      </c>
      <c r="CR99" s="50">
        <f>(CM99+CO99)/209</f>
        <v>10077.559808612441</v>
      </c>
      <c r="CS99" s="52"/>
      <c r="CT99" s="53"/>
      <c r="CU99" s="53"/>
      <c r="CV99" s="53"/>
      <c r="CW99" s="54"/>
      <c r="CX99" s="54"/>
      <c r="CY99" s="54"/>
      <c r="CZ99" s="55"/>
      <c r="DA99" s="55"/>
      <c r="DB99" s="56"/>
      <c r="DC99" s="57"/>
      <c r="DD99" s="58"/>
      <c r="DE99" s="58"/>
      <c r="DF99" s="57"/>
      <c r="DG99" s="59">
        <f>B99</f>
        <v>240302</v>
      </c>
      <c r="DH99" s="58"/>
      <c r="DI99" s="58"/>
      <c r="DJ99" s="60"/>
      <c r="DK99" s="58"/>
      <c r="DL99" s="61"/>
      <c r="DM99" s="24"/>
    </row>
    <row r="100" spans="1:117" ht="15" customHeight="1">
      <c r="A100" s="25">
        <f>ROW()-2</f>
        <v>98</v>
      </c>
      <c r="B100" s="26">
        <v>240303</v>
      </c>
      <c r="C100" s="27" t="s">
        <v>1378</v>
      </c>
      <c r="D100" s="27"/>
      <c r="E100" s="27" t="s">
        <v>613</v>
      </c>
      <c r="F100" s="27" t="s">
        <v>196</v>
      </c>
      <c r="G100" s="27" t="s">
        <v>240</v>
      </c>
      <c r="H100" s="27" t="s">
        <v>260</v>
      </c>
      <c r="I100" s="27" t="s">
        <v>902</v>
      </c>
      <c r="J100" s="27" t="str">
        <f>+VLOOKUP($I100,[1]프로젝트현황!$I:$N,5,0)</f>
        <v>서울시</v>
      </c>
      <c r="K100" s="27" t="str">
        <f>+VLOOKUP($I100,[1]프로젝트현황!$I:$N,6,0)</f>
        <v>종로구</v>
      </c>
      <c r="L100" s="28">
        <v>45355</v>
      </c>
      <c r="M100" s="28">
        <v>45355</v>
      </c>
      <c r="N100" s="28"/>
      <c r="O100" s="29"/>
      <c r="P100" s="30" t="s">
        <v>1379</v>
      </c>
      <c r="Q100" s="27" t="s">
        <v>1380</v>
      </c>
      <c r="R100" s="31" t="str">
        <f>LEFT(Q100,6)</f>
        <v>020314</v>
      </c>
      <c r="S100" s="31" t="str">
        <f>MID($Q100,3,2)</f>
        <v>03</v>
      </c>
      <c r="T100" s="31" t="str">
        <f>IF(OR(MID($Q100,8,1)="1",MID($Q100,8,1)="3"),"남자",IF(OR(MID($Q100,8,1)="2",MID($Q100,8,1)="4"),"여자",""))</f>
        <v>여자</v>
      </c>
      <c r="U100" s="31">
        <f ca="1">YEAR(TODAY())-IF(OR(MID($Q100,8,1)="1",MID($Q100,8,1)="2"),19&amp;LEFT($Q100,2),IF(OR(MID($Q100,8,1)="3",MID($Q100,8,1)="4"),20&amp;LEFT($Q100,2),""))+1</f>
        <v>25</v>
      </c>
      <c r="V100" s="31" t="s">
        <v>200</v>
      </c>
      <c r="W100" s="31" t="s">
        <v>201</v>
      </c>
      <c r="X100" s="27" t="s">
        <v>1381</v>
      </c>
      <c r="Y100" s="27"/>
      <c r="Z100" s="27"/>
      <c r="AA100" s="32"/>
      <c r="AB100" s="31" t="s">
        <v>203</v>
      </c>
      <c r="AC100" s="27"/>
      <c r="AD100" s="33" t="str">
        <f ca="1">QUOTIENT(SUMPRODUCT(LEFT($AE100:$AF100,FIND("년",$AE100:$AF100)-1)*12+MID($AE100:$AF100,FIND("년",$AE100:$AF100)+1,FIND("개월",$AE100:$AF100)-FIND("년",$AE100:$AF100)-1)),12)&amp;"년"&amp;MOD(SUMPRODUCT(LEFT($AE100:$AF100,FIND("년",$AE100:$AF100)-1)*12+MID($AE100:$AF100,FIND("년",$AE100:$AF100)+1,FIND("개월",$AE100:$AF100)-FIND("년",$AE100:$AF100)-1)),12)&amp;"개월"</f>
        <v>1년11개월</v>
      </c>
      <c r="AE100" s="33" t="s">
        <v>543</v>
      </c>
      <c r="AF100" s="34" t="str">
        <f ca="1">DATEDIF($L100,TODAY(),"y")&amp;"년"&amp;DATEDIF($L100,TODAY(),"ym")&amp;"개월"</f>
        <v>1년11개월</v>
      </c>
      <c r="AG100" s="35" t="s">
        <v>1382</v>
      </c>
      <c r="AH100" s="35"/>
      <c r="AI100" s="30" t="s">
        <v>365</v>
      </c>
      <c r="AJ100" s="32">
        <v>45348</v>
      </c>
      <c r="AK100" s="36">
        <f ca="1">VALUE(LEFT($AD100,FIND("년",$AD100)-1))</f>
        <v>1</v>
      </c>
      <c r="AL100" s="31" t="str">
        <f ca="1">IF($AI100="고졸",IF($AK100&lt;=11,"초급",IF($AK100&lt;=14,"중급",IF($AK100&lt;=17,"고급",IF($AK100&gt;=18,"특급")))))</f>
        <v>초급</v>
      </c>
      <c r="AM100" s="31" t="str">
        <f>IF(ISNUMBER(SEARCH("산업기사",$AT100)),IF($AK100&gt;=13,"특급",IF($AK100&gt;=10,"고급",IF($AK100&gt;=7,"중급","초급"))),IF(ISNUMBER(SEARCH("기사",$AR100)),IF($AK100&gt;=10,"특급",IF($AK100&gt;=7,"고급",IF($AK100&gt;=4,"중급","초급"))),"미해당"))</f>
        <v>미해당</v>
      </c>
      <c r="AN100" s="27"/>
      <c r="AO100" s="32"/>
      <c r="AP100" s="27"/>
      <c r="AQ100" s="32"/>
      <c r="AR100" s="27"/>
      <c r="AS100" s="27"/>
      <c r="AT100" s="37"/>
      <c r="AU100" s="27"/>
      <c r="AV100" s="38"/>
      <c r="AW100" s="39"/>
      <c r="AX100" s="39"/>
      <c r="AY100" s="40" t="s">
        <v>251</v>
      </c>
      <c r="AZ100" s="41" t="s">
        <v>252</v>
      </c>
      <c r="BA100" s="30" t="s">
        <v>230</v>
      </c>
      <c r="BB100" s="30" t="s">
        <v>1383</v>
      </c>
      <c r="BC100" s="42"/>
      <c r="BD100" s="42"/>
      <c r="BE100" s="43" t="s">
        <v>1384</v>
      </c>
      <c r="BF100" s="42" t="s">
        <v>211</v>
      </c>
      <c r="BG100" s="42" t="s">
        <v>400</v>
      </c>
      <c r="BH100" s="35"/>
      <c r="BI100" s="44" t="s">
        <v>1385</v>
      </c>
      <c r="BJ100" s="45" t="str">
        <f>IFERROR(VLOOKUP($BG100,[1]프로젝트현황!Y:Z,2,0),"기타")</f>
        <v>서남권</v>
      </c>
      <c r="BK100" s="46" t="str">
        <f>(IF(BF100="","",BF100&amp;" "))&amp;(IF(BG100="","",BG100&amp;" "))&amp;(IF(BH100="","",BH100&amp;" "))&amp;BI100</f>
        <v>서울시 강서구 화곡로19길 41, B동 402호(화곡동,다솜타운)</v>
      </c>
      <c r="BL100" s="47">
        <v>30</v>
      </c>
      <c r="BM100" s="47">
        <v>30</v>
      </c>
      <c r="BN100" s="48">
        <v>27600000</v>
      </c>
      <c r="BO100" s="48">
        <f>BP100*12</f>
        <v>27600007.200000003</v>
      </c>
      <c r="BP100" s="49">
        <f>SUM(BQ100:BS100)</f>
        <v>2300000.6</v>
      </c>
      <c r="BQ100" s="49">
        <f>ROUNDUP(BN100/12*209/(209+BU100*1.5)/BL100*BM100,-1)-BS100</f>
        <v>1960450</v>
      </c>
      <c r="BR100" s="49">
        <f>ROUNDUP(BN100/12*(BU100*1.5)/(209+BU100*1.5)/BL100*BM100,1)</f>
        <v>139550.6</v>
      </c>
      <c r="BS100" s="49">
        <v>200000</v>
      </c>
      <c r="BT100" s="50">
        <v>209</v>
      </c>
      <c r="BU100" s="49">
        <f>IF($BN100="","",
IFERROR(
    IF($BN100&lt;'[1]시간외시간 기준표'!$B$2,0,
        IF($BN100&gt;LOOKUP(9.9E+307,'[1]시간외시간 기준표'!$B$2:$B$999),
            LOOKUP(9.9E+307,'[1]시간외시간 기준표'!$C$2:$C$999),
            LOOKUP($BN100,'[1]시간외시간 기준표'!$B$2:$B$999,'[1]시간외시간 기준표'!$C$2:$C$999)
        )
    ),0)
)</f>
        <v>9</v>
      </c>
      <c r="BV100" s="50">
        <f>(BQ100+BS100)/209</f>
        <v>10337.081339712919</v>
      </c>
      <c r="BW100" s="51">
        <v>30</v>
      </c>
      <c r="BX100" s="51">
        <v>30</v>
      </c>
      <c r="BY100" s="52">
        <v>27600000</v>
      </c>
      <c r="BZ100" s="52">
        <f>CA100*12</f>
        <v>27600032.400000002</v>
      </c>
      <c r="CA100" s="49">
        <f>SUM(CB100:CD100)</f>
        <v>2300002.7000000002</v>
      </c>
      <c r="CB100" s="49">
        <f>ROUNDUP(BY100/12*209/(209+CF100*1.5)/BW100*BX100,-1)-CD100</f>
        <v>1931710</v>
      </c>
      <c r="CC100" s="49">
        <f>ROUNDUP(BY100/12*(CF100*1.5)/(209+CF100*1.5)/BW100*BX100,1)</f>
        <v>168292.7</v>
      </c>
      <c r="CD100" s="49">
        <v>200000</v>
      </c>
      <c r="CE100" s="50">
        <v>209</v>
      </c>
      <c r="CF100" s="49">
        <f>IF(BY100&lt;26000000,0,IF(BY100&lt;26500000,4,IF(BY100&lt;27000000,7,IF(BY100&lt;27500000,9,IF(BY100&lt;28000000,11,IF(BY100&lt;28500000,15,IF(BY100&lt;29000000,17,IF(BY100&lt;29500000,20,IF(BY100&lt;30000000,23,IF(BY100&lt;30500000,25,IF(BY100&lt;31000000,27,IF(BY100&lt;31500000,29,IF(BY100&lt;32000000,33,IF(BY100&lt;32500000,37,IF(BY100&lt;33000000,39,IF(BY100&lt;33500000,42,IF(BY100&lt;34000000,45,IF(BY100&lt;34500000,48,IF(BY100&lt;35000000,52,52)))))))))))))))))))</f>
        <v>11</v>
      </c>
      <c r="CG100" s="50">
        <f>(CB100+CD100)/209</f>
        <v>10199.56937799043</v>
      </c>
      <c r="CH100" s="51">
        <v>30</v>
      </c>
      <c r="CI100" s="51">
        <v>30</v>
      </c>
      <c r="CJ100" s="52">
        <v>27000000</v>
      </c>
      <c r="CK100" s="52">
        <f>CL100*12</f>
        <v>27000082.799999997</v>
      </c>
      <c r="CL100" s="49">
        <f>SUM(CM100:CO100)</f>
        <v>2250006.9</v>
      </c>
      <c r="CM100" s="49">
        <f>ROUNDUP(CJ100/12*209/(209+CQ100*1.5)/CH100*CI100,-1)-CO100</f>
        <v>1913490</v>
      </c>
      <c r="CN100" s="49">
        <f>ROUNDUP(CJ100/12*(CQ100*1.5)/(209+CQ100*1.5)/CH100*CI100,1)</f>
        <v>136516.9</v>
      </c>
      <c r="CO100" s="50">
        <v>200000</v>
      </c>
      <c r="CP100" s="50">
        <v>209</v>
      </c>
      <c r="CQ100" s="50">
        <f>IF(CJ100&lt;26000000,0,IF(CJ100&lt;26500000,4,IF(CJ100&lt;27000000,7,IF(CJ100&lt;27500000,9,IF(CJ100&lt;28000000,11,IF(CJ100&lt;28500000,15,IF(CJ100&lt;29000000,17,IF(CJ100&lt;29500000,20,IF(CJ100&lt;30000000,23,IF(CJ100&lt;30500000,25,IF(CJ100&lt;31000000,27,IF(CJ100&lt;31500000,29,IF(CJ100&lt;32000000,33,IF(CJ100&lt;32500000,37,IF(CJ100&lt;33000000,39,IF(CJ100&lt;33500000,42,IF(CJ100&lt;34000000,45,IF(CJ100&lt;34500000,48,IF(CJ100&lt;35000000,52,52)))))))))))))))))))</f>
        <v>9</v>
      </c>
      <c r="CR100" s="50">
        <f>(CM100+CO100)/209</f>
        <v>10112.392344497608</v>
      </c>
      <c r="CS100" s="52"/>
      <c r="CT100" s="53"/>
      <c r="CU100" s="53"/>
      <c r="CV100" s="53"/>
      <c r="CW100" s="54"/>
      <c r="CX100" s="54"/>
      <c r="CY100" s="54"/>
      <c r="CZ100" s="55"/>
      <c r="DA100" s="55"/>
      <c r="DB100" s="56"/>
      <c r="DC100" s="57"/>
      <c r="DD100" s="58"/>
      <c r="DE100" s="58"/>
      <c r="DF100" s="57"/>
      <c r="DG100" s="59">
        <f>B100</f>
        <v>240303</v>
      </c>
      <c r="DH100" s="58"/>
      <c r="DI100" s="58"/>
      <c r="DJ100" s="60"/>
      <c r="DK100" s="58"/>
      <c r="DL100" s="61"/>
      <c r="DM100" s="24"/>
    </row>
    <row r="101" spans="1:117" ht="15" customHeight="1">
      <c r="A101" s="25">
        <f>ROW()-2</f>
        <v>99</v>
      </c>
      <c r="B101" s="26">
        <v>240304</v>
      </c>
      <c r="C101" s="27" t="s">
        <v>1386</v>
      </c>
      <c r="D101" s="27"/>
      <c r="E101" s="27" t="s">
        <v>613</v>
      </c>
      <c r="F101" s="27" t="s">
        <v>196</v>
      </c>
      <c r="G101" s="27" t="s">
        <v>240</v>
      </c>
      <c r="H101" s="27" t="s">
        <v>260</v>
      </c>
      <c r="I101" s="27" t="s">
        <v>261</v>
      </c>
      <c r="J101" s="27" t="str">
        <f>+VLOOKUP($I101,[1]프로젝트현황!$I:$N,5,0)</f>
        <v>서울시</v>
      </c>
      <c r="K101" s="27" t="str">
        <f>+VLOOKUP($I101,[1]프로젝트현황!$I:$N,6,0)</f>
        <v>중구</v>
      </c>
      <c r="L101" s="28">
        <v>45355</v>
      </c>
      <c r="M101" s="28">
        <v>45355</v>
      </c>
      <c r="N101" s="28"/>
      <c r="O101" s="29"/>
      <c r="P101" s="30" t="s">
        <v>1387</v>
      </c>
      <c r="Q101" s="27" t="s">
        <v>1388</v>
      </c>
      <c r="R101" s="31" t="str">
        <f>LEFT(Q101,6)</f>
        <v>030712</v>
      </c>
      <c r="S101" s="31" t="str">
        <f>MID($Q101,3,2)</f>
        <v>07</v>
      </c>
      <c r="T101" s="31" t="str">
        <f>IF(OR(MID($Q101,8,1)="1",MID($Q101,8,1)="3"),"남자",IF(OR(MID($Q101,8,1)="2",MID($Q101,8,1)="4"),"여자",""))</f>
        <v>여자</v>
      </c>
      <c r="U101" s="31">
        <f ca="1">YEAR(TODAY())-IF(OR(MID($Q101,8,1)="1",MID($Q101,8,1)="2"),19&amp;LEFT($Q101,2),IF(OR(MID($Q101,8,1)="3",MID($Q101,8,1)="4"),20&amp;LEFT($Q101,2),""))+1</f>
        <v>24</v>
      </c>
      <c r="V101" s="31" t="s">
        <v>200</v>
      </c>
      <c r="W101" s="31" t="s">
        <v>201</v>
      </c>
      <c r="X101" s="27" t="s">
        <v>1389</v>
      </c>
      <c r="Y101" s="27"/>
      <c r="Z101" s="27"/>
      <c r="AA101" s="32"/>
      <c r="AB101" s="31" t="s">
        <v>203</v>
      </c>
      <c r="AC101" s="27"/>
      <c r="AD101" s="33" t="str">
        <f ca="1">QUOTIENT(SUMPRODUCT(LEFT($AE101:$AF101,FIND("년",$AE101:$AF101)-1)*12+MID($AE101:$AF101,FIND("년",$AE101:$AF101)+1,FIND("개월",$AE101:$AF101)-FIND("년",$AE101:$AF101)-1)),12)&amp;"년"&amp;MOD(SUMPRODUCT(LEFT($AE101:$AF101,FIND("년",$AE101:$AF101)-1)*12+MID($AE101:$AF101,FIND("년",$AE101:$AF101)+1,FIND("개월",$AE101:$AF101)-FIND("년",$AE101:$AF101)-1)),12)&amp;"개월"</f>
        <v>1년11개월</v>
      </c>
      <c r="AE101" s="33" t="s">
        <v>543</v>
      </c>
      <c r="AF101" s="34" t="str">
        <f ca="1">DATEDIF($L101,TODAY(),"y")&amp;"년"&amp;DATEDIF($L101,TODAY(),"ym")&amp;"개월"</f>
        <v>1년11개월</v>
      </c>
      <c r="AG101" s="35" t="s">
        <v>1390</v>
      </c>
      <c r="AH101" s="35"/>
      <c r="AI101" s="30" t="s">
        <v>365</v>
      </c>
      <c r="AJ101" s="32">
        <v>45342</v>
      </c>
      <c r="AK101" s="36">
        <f ca="1">VALUE(LEFT($AD101,FIND("년",$AD101)-1))</f>
        <v>1</v>
      </c>
      <c r="AL101" s="31" t="str">
        <f ca="1">IF($AI101="고졸",IF($AK101&lt;=11,"초급",IF($AK101&lt;=14,"중급",IF($AK101&lt;=17,"고급",IF($AK101&gt;=18,"특급")))))</f>
        <v>초급</v>
      </c>
      <c r="AM101" s="31" t="str">
        <f>IF(ISNUMBER(SEARCH("산업기사",$AT101)),IF($AK101&gt;=13,"특급",IF($AK101&gt;=10,"고급",IF($AK101&gt;=7,"중급","초급"))),IF(ISNUMBER(SEARCH("기사",$AR101)),IF($AK101&gt;=10,"특급",IF($AK101&gt;=7,"고급",IF($AK101&gt;=4,"중급","초급"))),"미해당"))</f>
        <v>미해당</v>
      </c>
      <c r="AN101" s="27"/>
      <c r="AO101" s="32"/>
      <c r="AP101" s="27"/>
      <c r="AQ101" s="32"/>
      <c r="AR101" s="27"/>
      <c r="AS101" s="27"/>
      <c r="AT101" s="37"/>
      <c r="AU101" s="27"/>
      <c r="AV101" s="38"/>
      <c r="AW101" s="39"/>
      <c r="AX101" s="39"/>
      <c r="AY101" s="40" t="s">
        <v>251</v>
      </c>
      <c r="AZ101" s="41" t="s">
        <v>252</v>
      </c>
      <c r="BA101" s="30" t="s">
        <v>230</v>
      </c>
      <c r="BB101" s="30" t="s">
        <v>1391</v>
      </c>
      <c r="BC101" s="42" t="s">
        <v>254</v>
      </c>
      <c r="BD101" s="42" t="s">
        <v>1392</v>
      </c>
      <c r="BE101" s="43" t="s">
        <v>1393</v>
      </c>
      <c r="BF101" s="42" t="s">
        <v>211</v>
      </c>
      <c r="BG101" s="42" t="s">
        <v>1394</v>
      </c>
      <c r="BH101" s="35"/>
      <c r="BI101" s="44" t="s">
        <v>1395</v>
      </c>
      <c r="BJ101" s="45" t="str">
        <f>IFERROR(VLOOKUP($BG101,[1]프로젝트현황!Y:Z,2,0),"기타")</f>
        <v>서북권</v>
      </c>
      <c r="BK101" s="46" t="str">
        <f>(IF(BF101="","",BF101&amp;" "))&amp;(IF(BG101="","",BG101&amp;" "))&amp;(IF(BH101="","",BH101&amp;" "))&amp;BI101</f>
        <v>서울시 용산구 대사관로20길 33</v>
      </c>
      <c r="BL101" s="47">
        <v>30</v>
      </c>
      <c r="BM101" s="47">
        <v>30</v>
      </c>
      <c r="BN101" s="48">
        <v>27600000</v>
      </c>
      <c r="BO101" s="48">
        <f>BP101*12</f>
        <v>27600007.200000003</v>
      </c>
      <c r="BP101" s="49">
        <f>SUM(BQ101:BS101)</f>
        <v>2300000.6</v>
      </c>
      <c r="BQ101" s="49">
        <f>ROUNDUP(BN101/12*209/(209+BU101*1.5)/BL101*BM101,-1)-BS101</f>
        <v>1960450</v>
      </c>
      <c r="BR101" s="49">
        <f>ROUNDUP(BN101/12*(BU101*1.5)/(209+BU101*1.5)/BL101*BM101,1)</f>
        <v>139550.6</v>
      </c>
      <c r="BS101" s="49">
        <v>200000</v>
      </c>
      <c r="BT101" s="50">
        <v>209</v>
      </c>
      <c r="BU101" s="49">
        <f>IF($BN101="","",
IFERROR(
    IF($BN101&lt;'[1]시간외시간 기준표'!$B$2,0,
        IF($BN101&gt;LOOKUP(9.9E+307,'[1]시간외시간 기준표'!$B$2:$B$999),
            LOOKUP(9.9E+307,'[1]시간외시간 기준표'!$C$2:$C$999),
            LOOKUP($BN101,'[1]시간외시간 기준표'!$B$2:$B$999,'[1]시간외시간 기준표'!$C$2:$C$999)
        )
    ),0)
)</f>
        <v>9</v>
      </c>
      <c r="BV101" s="50">
        <f>(BQ101+BS101)/209</f>
        <v>10337.081339712919</v>
      </c>
      <c r="BW101" s="51">
        <v>30</v>
      </c>
      <c r="BX101" s="51">
        <v>30</v>
      </c>
      <c r="BY101" s="52">
        <v>27600000</v>
      </c>
      <c r="BZ101" s="52">
        <f>CA101*12</f>
        <v>27600032.400000002</v>
      </c>
      <c r="CA101" s="49">
        <f>SUM(CB101:CD101)</f>
        <v>2300002.7000000002</v>
      </c>
      <c r="CB101" s="49">
        <f>ROUNDUP(BY101/12*209/(209+CF101*1.5)/BW101*BX101,-1)-CD101</f>
        <v>1931710</v>
      </c>
      <c r="CC101" s="49">
        <f>ROUNDUP(BY101/12*(CF101*1.5)/(209+CF101*1.5)/BW101*BX101,1)</f>
        <v>168292.7</v>
      </c>
      <c r="CD101" s="49">
        <v>200000</v>
      </c>
      <c r="CE101" s="50">
        <v>209</v>
      </c>
      <c r="CF101" s="49">
        <f>IF(BY101&lt;26000000,0,IF(BY101&lt;26500000,4,IF(BY101&lt;27000000,7,IF(BY101&lt;27500000,9,IF(BY101&lt;28000000,11,IF(BY101&lt;28500000,15,IF(BY101&lt;29000000,17,IF(BY101&lt;29500000,20,IF(BY101&lt;30000000,23,IF(BY101&lt;30500000,25,IF(BY101&lt;31000000,27,IF(BY101&lt;31500000,29,IF(BY101&lt;32000000,33,IF(BY101&lt;32500000,37,IF(BY101&lt;33000000,39,IF(BY101&lt;33500000,42,IF(BY101&lt;34000000,45,IF(BY101&lt;34500000,48,IF(BY101&lt;35000000,52,52)))))))))))))))))))</f>
        <v>11</v>
      </c>
      <c r="CG101" s="50">
        <f>(CB101+CD101)/209</f>
        <v>10199.56937799043</v>
      </c>
      <c r="CH101" s="51">
        <v>30</v>
      </c>
      <c r="CI101" s="51">
        <v>30</v>
      </c>
      <c r="CJ101" s="52">
        <v>27000000</v>
      </c>
      <c r="CK101" s="52">
        <f>CL101*12</f>
        <v>27000082.799999997</v>
      </c>
      <c r="CL101" s="49">
        <f>SUM(CM101:CO101)</f>
        <v>2250006.9</v>
      </c>
      <c r="CM101" s="49">
        <f>ROUNDUP(CJ101/12*209/(209+CQ101*1.5)/CH101*CI101,-1)-CO101</f>
        <v>1913490</v>
      </c>
      <c r="CN101" s="49">
        <f>ROUNDUP(CJ101/12*(CQ101*1.5)/(209+CQ101*1.5)/CH101*CI101,1)</f>
        <v>136516.9</v>
      </c>
      <c r="CO101" s="50">
        <v>200000</v>
      </c>
      <c r="CP101" s="50">
        <v>209</v>
      </c>
      <c r="CQ101" s="50">
        <f>IF(CJ101&lt;26000000,0,IF(CJ101&lt;26500000,4,IF(CJ101&lt;27000000,7,IF(CJ101&lt;27500000,9,IF(CJ101&lt;28000000,11,IF(CJ101&lt;28500000,15,IF(CJ101&lt;29000000,17,IF(CJ101&lt;29500000,20,IF(CJ101&lt;30000000,23,IF(CJ101&lt;30500000,25,IF(CJ101&lt;31000000,27,IF(CJ101&lt;31500000,29,IF(CJ101&lt;32000000,33,IF(CJ101&lt;32500000,37,IF(CJ101&lt;33000000,39,IF(CJ101&lt;33500000,42,IF(CJ101&lt;34000000,45,IF(CJ101&lt;34500000,48,IF(CJ101&lt;35000000,52,52)))))))))))))))))))</f>
        <v>9</v>
      </c>
      <c r="CR101" s="50">
        <f>(CM101+CO101)/209</f>
        <v>10112.392344497608</v>
      </c>
      <c r="CS101" s="52"/>
      <c r="CT101" s="53"/>
      <c r="CU101" s="53"/>
      <c r="CV101" s="53"/>
      <c r="CW101" s="54"/>
      <c r="CX101" s="54"/>
      <c r="CY101" s="54"/>
      <c r="CZ101" s="55"/>
      <c r="DA101" s="55"/>
      <c r="DB101" s="56"/>
      <c r="DC101" s="57"/>
      <c r="DD101" s="58"/>
      <c r="DE101" s="58"/>
      <c r="DF101" s="57"/>
      <c r="DG101" s="59">
        <f>B101</f>
        <v>240304</v>
      </c>
      <c r="DH101" s="58"/>
      <c r="DI101" s="58"/>
      <c r="DJ101" s="60"/>
      <c r="DK101" s="58"/>
      <c r="DL101" s="61"/>
      <c r="DM101" s="24"/>
    </row>
    <row r="102" spans="1:117" ht="15" customHeight="1">
      <c r="A102" s="25">
        <f>ROW()-2</f>
        <v>100</v>
      </c>
      <c r="B102" s="26">
        <v>240402</v>
      </c>
      <c r="C102" s="27" t="s">
        <v>1396</v>
      </c>
      <c r="D102" s="27"/>
      <c r="E102" s="27" t="s">
        <v>283</v>
      </c>
      <c r="F102" s="27" t="s">
        <v>196</v>
      </c>
      <c r="G102" s="27" t="s">
        <v>240</v>
      </c>
      <c r="H102" s="27" t="s">
        <v>217</v>
      </c>
      <c r="I102" s="27" t="s">
        <v>1397</v>
      </c>
      <c r="J102" s="27" t="str">
        <f>+VLOOKUP($I102,[1]프로젝트현황!$I:$N,5,0)</f>
        <v>경기도</v>
      </c>
      <c r="K102" s="27" t="str">
        <f>+VLOOKUP($I102,[1]프로젝트현황!$I:$N,6,0)</f>
        <v>평택시</v>
      </c>
      <c r="L102" s="28">
        <v>45383</v>
      </c>
      <c r="M102" s="28">
        <v>45383</v>
      </c>
      <c r="N102" s="28"/>
      <c r="O102" s="29"/>
      <c r="P102" s="30" t="s">
        <v>1398</v>
      </c>
      <c r="Q102" s="27" t="s">
        <v>1399</v>
      </c>
      <c r="R102" s="31" t="str">
        <f>LEFT(Q102,6)</f>
        <v>850420</v>
      </c>
      <c r="S102" s="31" t="str">
        <f>MID($Q102,3,2)</f>
        <v>04</v>
      </c>
      <c r="T102" s="31" t="str">
        <f>IF(OR(MID($Q102,8,1)="1",MID($Q102,8,1)="3"),"남자",IF(OR(MID($Q102,8,1)="2",MID($Q102,8,1)="4"),"여자",""))</f>
        <v>남자</v>
      </c>
      <c r="U102" s="31">
        <f ca="1">YEAR(TODAY())-IF(OR(MID($Q102,8,1)="1",MID($Q102,8,1)="2"),19&amp;LEFT($Q102,2),IF(OR(MID($Q102,8,1)="3",MID($Q102,8,1)="4"),20&amp;LEFT($Q102,2),""))+1</f>
        <v>42</v>
      </c>
      <c r="V102" s="31" t="s">
        <v>200</v>
      </c>
      <c r="W102" s="31" t="s">
        <v>201</v>
      </c>
      <c r="X102" s="27" t="s">
        <v>1400</v>
      </c>
      <c r="Y102" s="27"/>
      <c r="Z102" s="27"/>
      <c r="AA102" s="32"/>
      <c r="AB102" s="31" t="s">
        <v>1401</v>
      </c>
      <c r="AC102" s="27"/>
      <c r="AD102" s="33" t="str">
        <f ca="1">QUOTIENT(SUMPRODUCT(LEFT($AE102:$AF102,FIND("년",$AE102:$AF102)-1)*12+MID($AE102:$AF102,FIND("년",$AE102:$AF102)+1,FIND("개월",$AE102:$AF102)-FIND("년",$AE102:$AF102)-1)),12)&amp;"년"&amp;MOD(SUMPRODUCT(LEFT($AE102:$AF102,FIND("년",$AE102:$AF102)-1)*12+MID($AE102:$AF102,FIND("년",$AE102:$AF102)+1,FIND("개월",$AE102:$AF102)-FIND("년",$AE102:$AF102)-1)),12)&amp;"개월"</f>
        <v>17년7개월</v>
      </c>
      <c r="AE102" s="33" t="s">
        <v>1402</v>
      </c>
      <c r="AF102" s="34" t="str">
        <f ca="1">DATEDIF($L102,TODAY(),"y")&amp;"년"&amp;DATEDIF($L102,TODAY(),"ym")&amp;"개월"</f>
        <v>1년10개월</v>
      </c>
      <c r="AG102" s="35" t="s">
        <v>1403</v>
      </c>
      <c r="AH102" s="35" t="s">
        <v>321</v>
      </c>
      <c r="AI102" s="30" t="s">
        <v>205</v>
      </c>
      <c r="AJ102" s="32">
        <v>39499</v>
      </c>
      <c r="AK102" s="36">
        <f ca="1">VALUE(LEFT($AD102,FIND("년",$AD102)-1))</f>
        <v>17</v>
      </c>
      <c r="AL102" s="31" t="str">
        <f ca="1">IF($AI102="전문학사",IF($AK102&lt;=8,"초급",IF($AK102&lt;12,"중급",IF($AK102&lt;15,"고급",IF($AK102&gt;=15,"특급")))))</f>
        <v>특급</v>
      </c>
      <c r="AM102" s="31" t="str">
        <f>IF(ISNUMBER(SEARCH("산업기사",$AT102)),IF($AK102&gt;=13,"특급",IF($AK102&gt;=10,"고급",IF($AK102&gt;=7,"중급","초급"))),IF(ISNUMBER(SEARCH("기사",$AR102)),IF($AK102&gt;=10,"특급",IF($AK102&gt;=7,"고급",IF($AK102&gt;=4,"중급","초급"))),"미해당"))</f>
        <v>미해당</v>
      </c>
      <c r="AN102" s="27"/>
      <c r="AO102" s="32"/>
      <c r="AP102" s="27"/>
      <c r="AQ102" s="32"/>
      <c r="AR102" s="27"/>
      <c r="AS102" s="27"/>
      <c r="AT102" s="37"/>
      <c r="AU102" s="27"/>
      <c r="AV102" s="38"/>
      <c r="AW102" s="39"/>
      <c r="AX102" s="39"/>
      <c r="AY102" s="40" t="s">
        <v>251</v>
      </c>
      <c r="AZ102" s="41" t="s">
        <v>252</v>
      </c>
      <c r="BA102" s="30" t="s">
        <v>230</v>
      </c>
      <c r="BB102" s="30" t="s">
        <v>1404</v>
      </c>
      <c r="BC102" s="42"/>
      <c r="BD102" s="42"/>
      <c r="BE102" s="64" t="s">
        <v>1405</v>
      </c>
      <c r="BF102" s="42" t="s">
        <v>234</v>
      </c>
      <c r="BG102" s="42" t="s">
        <v>1406</v>
      </c>
      <c r="BH102" s="35"/>
      <c r="BI102" s="44" t="s">
        <v>1407</v>
      </c>
      <c r="BJ102" s="45" t="str">
        <f>IFERROR(VLOOKUP($BG102,[1]프로젝트현황!Y:Z,2,0),"기타")</f>
        <v>동남권</v>
      </c>
      <c r="BK102" s="46" t="str">
        <f>(IF(BF102="","",BF102&amp;" "))&amp;(IF(BG102="","",BG102&amp;" "))&amp;(IF(BH102="","",BH102&amp;" "))&amp;BI102</f>
        <v>경기도 오산시 운천로 16-22, 604동 304호(원동,주공아파트)</v>
      </c>
      <c r="BL102" s="47">
        <v>30</v>
      </c>
      <c r="BM102" s="47">
        <v>30</v>
      </c>
      <c r="BN102" s="48">
        <v>35000000</v>
      </c>
      <c r="BO102" s="48">
        <f>BP102*12</f>
        <v>35000035.200000003</v>
      </c>
      <c r="BP102" s="49">
        <f>SUM(BQ102:BS102)</f>
        <v>2916669.6</v>
      </c>
      <c r="BQ102" s="49">
        <f>ROUNDUP(BN102/12*209/(209+BU102*1.5)/BL102*BM102,-1)-BS102</f>
        <v>1957820</v>
      </c>
      <c r="BR102" s="49">
        <f>ROUNDUP(BN102/12*(BU102*1.5)/(209+BU102*1.5)/BL102*BM102,1)</f>
        <v>758849.6</v>
      </c>
      <c r="BS102" s="49">
        <v>200000</v>
      </c>
      <c r="BT102" s="50">
        <v>209</v>
      </c>
      <c r="BU102" s="49">
        <f>IF($BN102="","",
IFERROR(
    IF($BN102&lt;'[1]시간외시간 기준표'!$B$2,0,
        IF($BN102&gt;LOOKUP(9.9E+307,'[1]시간외시간 기준표'!$B$2:$B$999),
            LOOKUP(9.9E+307,'[1]시간외시간 기준표'!$C$2:$C$999),
            LOOKUP($BN102,'[1]시간외시간 기준표'!$B$2:$B$999,'[1]시간외시간 기준표'!$C$2:$C$999)
        )
    ),0)
)</f>
        <v>49</v>
      </c>
      <c r="BV102" s="50">
        <f>(BQ102+BS102)/209</f>
        <v>10324.497607655503</v>
      </c>
      <c r="BW102" s="51">
        <v>30</v>
      </c>
      <c r="BX102" s="51">
        <v>30</v>
      </c>
      <c r="BY102" s="52">
        <v>35000000</v>
      </c>
      <c r="BZ102" s="52">
        <f>CA102*12</f>
        <v>35000076</v>
      </c>
      <c r="CA102" s="49">
        <f>SUM(CB102:CD102)</f>
        <v>2916673</v>
      </c>
      <c r="CB102" s="49">
        <f>ROUNDUP(BY102/12*209/(209+CF102*1.5)/BW102*BX102,-1)-CD102</f>
        <v>1923990</v>
      </c>
      <c r="CC102" s="49">
        <f>ROUNDUP(BY102/12*(CF102*1.5)/(209+CF102*1.5)/BW102*BX102,1)</f>
        <v>792683</v>
      </c>
      <c r="CD102" s="49">
        <v>200000</v>
      </c>
      <c r="CE102" s="50">
        <v>209</v>
      </c>
      <c r="CF102" s="49">
        <f>IF(BY102&lt;26000000,0,IF(BY102&lt;26500000,4,IF(BY102&lt;27000000,7,IF(BY102&lt;27500000,9,IF(BY102&lt;28000000,11,IF(BY102&lt;28500000,15,IF(BY102&lt;29000000,17,IF(BY102&lt;29500000,20,IF(BY102&lt;30000000,23,IF(BY102&lt;30500000,25,IF(BY102&lt;31000000,27,IF(BY102&lt;31500000,29,IF(BY102&lt;32000000,33,IF(BY102&lt;32500000,37,IF(BY102&lt;33000000,39,IF(BY102&lt;33500000,42,IF(BY102&lt;34000000,45,IF(BY102&lt;34500000,48,IF(BY102&lt;35000000,52,52)))))))))))))))))))</f>
        <v>52</v>
      </c>
      <c r="CG102" s="50">
        <f>(CB102+CD102)/209</f>
        <v>10162.631578947368</v>
      </c>
      <c r="CH102" s="51">
        <v>30</v>
      </c>
      <c r="CI102" s="51">
        <v>30</v>
      </c>
      <c r="CJ102" s="52">
        <v>35000000</v>
      </c>
      <c r="CK102" s="52">
        <f>CL102*12</f>
        <v>35000076</v>
      </c>
      <c r="CL102" s="49">
        <f>SUM(CM102:CO102)</f>
        <v>2916673</v>
      </c>
      <c r="CM102" s="49">
        <f>ROUNDUP(CJ102/12*209/(209+CQ102*1.5)/CH102*CI102,-1)-CO102</f>
        <v>1923990</v>
      </c>
      <c r="CN102" s="49">
        <f>ROUNDUP(CJ102/12*(CQ102*1.5)/(209+CQ102*1.5)/CH102*CI102,1)</f>
        <v>792683</v>
      </c>
      <c r="CO102" s="50">
        <v>200000</v>
      </c>
      <c r="CP102" s="50">
        <v>209</v>
      </c>
      <c r="CQ102" s="50">
        <f>IF(CJ102&lt;26000000,0,IF(CJ102&lt;26500000,4,IF(CJ102&lt;27000000,7,IF(CJ102&lt;27500000,9,IF(CJ102&lt;28000000,11,IF(CJ102&lt;28500000,15,IF(CJ102&lt;29000000,17,IF(CJ102&lt;29500000,20,IF(CJ102&lt;30000000,23,IF(CJ102&lt;30500000,25,IF(CJ102&lt;31000000,27,IF(CJ102&lt;31500000,29,IF(CJ102&lt;32000000,33,IF(CJ102&lt;32500000,37,IF(CJ102&lt;33000000,39,IF(CJ102&lt;33500000,42,IF(CJ102&lt;34000000,45,IF(CJ102&lt;34500000,48,IF(CJ102&lt;35000000,52,52)))))))))))))))))))</f>
        <v>52</v>
      </c>
      <c r="CR102" s="50">
        <f>(CM102+CO102)/209</f>
        <v>10162.631578947368</v>
      </c>
      <c r="CS102" s="52"/>
      <c r="CT102" s="53"/>
      <c r="CU102" s="53"/>
      <c r="CV102" s="53"/>
      <c r="CW102" s="54"/>
      <c r="CX102" s="54"/>
      <c r="CY102" s="54"/>
      <c r="CZ102" s="55"/>
      <c r="DA102" s="55"/>
      <c r="DB102" s="56"/>
      <c r="DC102" s="57"/>
      <c r="DD102" s="58"/>
      <c r="DE102" s="58"/>
      <c r="DF102" s="57"/>
      <c r="DG102" s="59">
        <f>B102</f>
        <v>240402</v>
      </c>
      <c r="DH102" s="58"/>
      <c r="DI102" s="58"/>
      <c r="DJ102" s="60"/>
      <c r="DK102" s="58"/>
      <c r="DL102" s="61"/>
      <c r="DM102" s="24"/>
    </row>
    <row r="103" spans="1:117" ht="15" customHeight="1">
      <c r="A103" s="25">
        <f>ROW()-2</f>
        <v>101</v>
      </c>
      <c r="B103" s="26">
        <v>240404</v>
      </c>
      <c r="C103" s="27" t="s">
        <v>1408</v>
      </c>
      <c r="D103" s="27"/>
      <c r="E103" s="27" t="s">
        <v>613</v>
      </c>
      <c r="F103" s="27" t="s">
        <v>196</v>
      </c>
      <c r="G103" s="27" t="s">
        <v>240</v>
      </c>
      <c r="H103" s="27" t="s">
        <v>217</v>
      </c>
      <c r="I103" s="27" t="s">
        <v>1409</v>
      </c>
      <c r="J103" s="27" t="str">
        <f>+VLOOKUP($I103,[1]프로젝트현황!$I:$N,5,0)</f>
        <v>서울시</v>
      </c>
      <c r="K103" s="27" t="str">
        <f>+VLOOKUP($I103,[1]프로젝트현황!$I:$N,6,0)</f>
        <v>금천구</v>
      </c>
      <c r="L103" s="28">
        <v>45397</v>
      </c>
      <c r="M103" s="28">
        <v>45397</v>
      </c>
      <c r="N103" s="28"/>
      <c r="O103" s="29"/>
      <c r="P103" s="30" t="s">
        <v>1410</v>
      </c>
      <c r="Q103" s="27" t="s">
        <v>1411</v>
      </c>
      <c r="R103" s="31" t="str">
        <f>LEFT(Q103,6)</f>
        <v>930909</v>
      </c>
      <c r="S103" s="31" t="str">
        <f>MID($Q103,3,2)</f>
        <v>09</v>
      </c>
      <c r="T103" s="31" t="str">
        <f>IF(OR(MID($Q103,8,1)="1",MID($Q103,8,1)="3"),"남자",IF(OR(MID($Q103,8,1)="2",MID($Q103,8,1)="4"),"여자",""))</f>
        <v>여자</v>
      </c>
      <c r="U103" s="31">
        <f ca="1">YEAR(TODAY())-IF(OR(MID($Q103,8,1)="1",MID($Q103,8,1)="2"),19&amp;LEFT($Q103,2),IF(OR(MID($Q103,8,1)="3",MID($Q103,8,1)="4"),20&amp;LEFT($Q103,2),""))+1</f>
        <v>34</v>
      </c>
      <c r="V103" s="31" t="s">
        <v>200</v>
      </c>
      <c r="W103" s="31" t="s">
        <v>201</v>
      </c>
      <c r="X103" s="27" t="s">
        <v>1412</v>
      </c>
      <c r="Y103" s="27"/>
      <c r="Z103" s="27"/>
      <c r="AA103" s="32"/>
      <c r="AB103" s="31" t="s">
        <v>203</v>
      </c>
      <c r="AC103" s="27"/>
      <c r="AD103" s="33" t="str">
        <f ca="1">QUOTIENT(SUMPRODUCT(LEFT($AE103:$AF103,FIND("년",$AE103:$AF103)-1)*12+MID($AE103:$AF103,FIND("년",$AE103:$AF103)+1,FIND("개월",$AE103:$AF103)-FIND("년",$AE103:$AF103)-1)),12)&amp;"년"&amp;MOD(SUMPRODUCT(LEFT($AE103:$AF103,FIND("년",$AE103:$AF103)-1)*12+MID($AE103:$AF103,FIND("년",$AE103:$AF103)+1,FIND("개월",$AE103:$AF103)-FIND("년",$AE103:$AF103)-1)),12)&amp;"개월"</f>
        <v>1년9개월</v>
      </c>
      <c r="AE103" s="33" t="s">
        <v>543</v>
      </c>
      <c r="AF103" s="34" t="str">
        <f ca="1">DATEDIF($L103,TODAY(),"y")&amp;"년"&amp;DATEDIF($L103,TODAY(),"ym")&amp;"개월"</f>
        <v>1년9개월</v>
      </c>
      <c r="AG103" s="35" t="s">
        <v>1413</v>
      </c>
      <c r="AH103" s="35" t="s">
        <v>1414</v>
      </c>
      <c r="AI103" s="30" t="s">
        <v>205</v>
      </c>
      <c r="AJ103" s="32">
        <v>42041</v>
      </c>
      <c r="AK103" s="36">
        <f ca="1">VALUE(LEFT($AD103,FIND("년",$AD103)-1))</f>
        <v>1</v>
      </c>
      <c r="AL103" s="31" t="str">
        <f ca="1">IF($AI103="전문학사",IF($AK103&lt;=8,"초급",IF($AK103&lt;12,"중급",IF($AK103&lt;15,"고급",IF($AK103&gt;=15,"특급")))))</f>
        <v>초급</v>
      </c>
      <c r="AM103" s="31" t="str">
        <f>IF(ISNUMBER(SEARCH("산업기사",$AT103)),IF($AK103&gt;=13,"특급",IF($AK103&gt;=10,"고급",IF($AK103&gt;=7,"중급","초급"))),IF(ISNUMBER(SEARCH("기사",$AR103)),IF($AK103&gt;=10,"특급",IF($AK103&gt;=7,"고급",IF($AK103&gt;=4,"중급","초급"))),"미해당"))</f>
        <v>미해당</v>
      </c>
      <c r="AN103" s="27"/>
      <c r="AO103" s="32"/>
      <c r="AP103" s="27"/>
      <c r="AQ103" s="32"/>
      <c r="AR103" s="27"/>
      <c r="AS103" s="27"/>
      <c r="AT103" s="37"/>
      <c r="AU103" s="27"/>
      <c r="AV103" s="38"/>
      <c r="AW103" s="39"/>
      <c r="AX103" s="39"/>
      <c r="AY103" s="40" t="s">
        <v>251</v>
      </c>
      <c r="AZ103" s="41" t="s">
        <v>252</v>
      </c>
      <c r="BA103" s="30" t="s">
        <v>230</v>
      </c>
      <c r="BB103" s="30" t="s">
        <v>1415</v>
      </c>
      <c r="BC103" s="42" t="s">
        <v>254</v>
      </c>
      <c r="BD103" s="42" t="s">
        <v>1416</v>
      </c>
      <c r="BE103" s="43" t="s">
        <v>1417</v>
      </c>
      <c r="BF103" s="42" t="s">
        <v>211</v>
      </c>
      <c r="BG103" s="42" t="s">
        <v>400</v>
      </c>
      <c r="BH103" s="35"/>
      <c r="BI103" s="44" t="s">
        <v>1418</v>
      </c>
      <c r="BJ103" s="45" t="str">
        <f>IFERROR(VLOOKUP($BG103,[1]프로젝트현황!Y:Z,2,0),"기타")</f>
        <v>서남권</v>
      </c>
      <c r="BK103" s="46" t="str">
        <f>(IF(BF103="","",BF103&amp;" "))&amp;(IF(BG103="","",BG103&amp;" "))&amp;(IF(BH103="","",BH103&amp;" "))&amp;BI103</f>
        <v>서울시 강서구 강서로231, 101동 1403호(화곡동, 우장산역 해링턴타워)</v>
      </c>
      <c r="BL103" s="47">
        <v>30</v>
      </c>
      <c r="BM103" s="47">
        <v>30</v>
      </c>
      <c r="BN103" s="48">
        <v>27000000</v>
      </c>
      <c r="BO103" s="48">
        <f>BP103*12</f>
        <v>27000120</v>
      </c>
      <c r="BP103" s="49">
        <f>SUM(BQ103:BS103)</f>
        <v>2250010</v>
      </c>
      <c r="BQ103" s="49">
        <f>ROUNDUP(BN103/12*209/(209+BU103*1.5)/BL103*BM103,-1)-BS103</f>
        <v>1957120</v>
      </c>
      <c r="BR103" s="49">
        <f>ROUNDUP(BN103/12*(BU103*1.5)/(209+BU103*1.5)/BL103*BM103,1)</f>
        <v>92890</v>
      </c>
      <c r="BS103" s="49">
        <v>200000</v>
      </c>
      <c r="BT103" s="50">
        <v>209</v>
      </c>
      <c r="BU103" s="49">
        <f>IF($BN103="","",
IFERROR(
    IF($BN103&lt;'[1]시간외시간 기준표'!$B$2,0,
        IF($BN103&gt;LOOKUP(9.9E+307,'[1]시간외시간 기준표'!$B$2:$B$999),
            LOOKUP(9.9E+307,'[1]시간외시간 기준표'!$C$2:$C$999),
            LOOKUP($BN103,'[1]시간외시간 기준표'!$B$2:$B$999,'[1]시간외시간 기준표'!$C$2:$C$999)
        )
    ),0)
)</f>
        <v>6</v>
      </c>
      <c r="BV103" s="50">
        <f>(BQ103+BS103)/209</f>
        <v>10321.148325358852</v>
      </c>
      <c r="BW103" s="51">
        <v>30</v>
      </c>
      <c r="BX103" s="51">
        <v>30</v>
      </c>
      <c r="BY103" s="52">
        <v>27000000</v>
      </c>
      <c r="BZ103" s="52">
        <f>CA103*12</f>
        <v>27000082.799999997</v>
      </c>
      <c r="CA103" s="49">
        <f>SUM(CB103:CD103)</f>
        <v>2250006.9</v>
      </c>
      <c r="CB103" s="49">
        <f>ROUNDUP(BY103/12*209/(209+CF103*1.5)/BW103*BX103,-1)-CD103</f>
        <v>1913490</v>
      </c>
      <c r="CC103" s="49">
        <f>ROUNDUP(BY103/12*(CF103*1.5)/(209+CF103*1.5)/BW103*BX103,1)</f>
        <v>136516.9</v>
      </c>
      <c r="CD103" s="49">
        <v>200000</v>
      </c>
      <c r="CE103" s="50">
        <v>209</v>
      </c>
      <c r="CF103" s="49">
        <f>IF(BY103&lt;26000000,0,IF(BY103&lt;26500000,4,IF(BY103&lt;27000000,7,IF(BY103&lt;27500000,9,IF(BY103&lt;28000000,11,IF(BY103&lt;28500000,15,IF(BY103&lt;29000000,17,IF(BY103&lt;29500000,20,IF(BY103&lt;30000000,23,IF(BY103&lt;30500000,25,IF(BY103&lt;31000000,27,IF(BY103&lt;31500000,29,IF(BY103&lt;32000000,33,IF(BY103&lt;32500000,37,IF(BY103&lt;33000000,39,IF(BY103&lt;33500000,42,IF(BY103&lt;34000000,45,IF(BY103&lt;34500000,48,IF(BY103&lt;35000000,52,52)))))))))))))))))))</f>
        <v>9</v>
      </c>
      <c r="CG103" s="50">
        <f>(CB103+CD103)/209</f>
        <v>10112.392344497608</v>
      </c>
      <c r="CH103" s="51">
        <v>30</v>
      </c>
      <c r="CI103" s="51">
        <v>30</v>
      </c>
      <c r="CJ103" s="52">
        <v>27000000</v>
      </c>
      <c r="CK103" s="52">
        <f>CL103*12</f>
        <v>27000082.799999997</v>
      </c>
      <c r="CL103" s="49">
        <f>SUM(CM103:CO103)</f>
        <v>2250006.9</v>
      </c>
      <c r="CM103" s="49">
        <f>ROUNDUP(CJ103/12*209/(209+CQ103*1.5)/CH103*CI103,-1)-CO103</f>
        <v>1913490</v>
      </c>
      <c r="CN103" s="49">
        <f>ROUNDUP(CJ103/12*(CQ103*1.5)/(209+CQ103*1.5)/CH103*CI103,1)</f>
        <v>136516.9</v>
      </c>
      <c r="CO103" s="50">
        <v>200000</v>
      </c>
      <c r="CP103" s="50">
        <v>209</v>
      </c>
      <c r="CQ103" s="50">
        <f>IF(CJ103&lt;26000000,0,IF(CJ103&lt;26500000,4,IF(CJ103&lt;27000000,7,IF(CJ103&lt;27500000,9,IF(CJ103&lt;28000000,11,IF(CJ103&lt;28500000,15,IF(CJ103&lt;29000000,17,IF(CJ103&lt;29500000,20,IF(CJ103&lt;30000000,23,IF(CJ103&lt;30500000,25,IF(CJ103&lt;31000000,27,IF(CJ103&lt;31500000,29,IF(CJ103&lt;32000000,33,IF(CJ103&lt;32500000,37,IF(CJ103&lt;33000000,39,IF(CJ103&lt;33500000,42,IF(CJ103&lt;34000000,45,IF(CJ103&lt;34500000,48,IF(CJ103&lt;35000000,52,52)))))))))))))))))))</f>
        <v>9</v>
      </c>
      <c r="CR103" s="50">
        <f>(CM103+CO103)/209</f>
        <v>10112.392344497608</v>
      </c>
      <c r="CS103" s="52"/>
      <c r="CT103" s="53"/>
      <c r="CU103" s="53"/>
      <c r="CV103" s="53"/>
      <c r="CW103" s="54"/>
      <c r="CX103" s="54"/>
      <c r="CY103" s="54"/>
      <c r="CZ103" s="55"/>
      <c r="DA103" s="55"/>
      <c r="DB103" s="56"/>
      <c r="DC103" s="57"/>
      <c r="DD103" s="58"/>
      <c r="DE103" s="58"/>
      <c r="DF103" s="57"/>
      <c r="DG103" s="59">
        <f>B103</f>
        <v>240404</v>
      </c>
      <c r="DH103" s="58"/>
      <c r="DI103" s="58"/>
      <c r="DJ103" s="60"/>
      <c r="DK103" s="58"/>
      <c r="DL103" s="61"/>
      <c r="DM103" s="24"/>
    </row>
    <row r="104" spans="1:117" ht="15" customHeight="1">
      <c r="A104" s="25">
        <f>ROW()-2</f>
        <v>102</v>
      </c>
      <c r="B104" s="26">
        <v>240503</v>
      </c>
      <c r="C104" s="27" t="s">
        <v>1419</v>
      </c>
      <c r="D104" s="27"/>
      <c r="E104" s="27" t="s">
        <v>613</v>
      </c>
      <c r="F104" s="27" t="s">
        <v>196</v>
      </c>
      <c r="G104" s="27" t="s">
        <v>240</v>
      </c>
      <c r="H104" s="27" t="s">
        <v>217</v>
      </c>
      <c r="I104" s="27" t="s">
        <v>1397</v>
      </c>
      <c r="J104" s="27" t="str">
        <f>+VLOOKUP($I104,[1]프로젝트현황!$I:$N,5,0)</f>
        <v>경기도</v>
      </c>
      <c r="K104" s="27" t="str">
        <f>+VLOOKUP($I104,[1]프로젝트현황!$I:$N,6,0)</f>
        <v>평택시</v>
      </c>
      <c r="L104" s="28">
        <v>45428</v>
      </c>
      <c r="M104" s="28">
        <v>45428</v>
      </c>
      <c r="N104" s="28"/>
      <c r="O104" s="29"/>
      <c r="P104" s="30" t="s">
        <v>1420</v>
      </c>
      <c r="Q104" s="27" t="s">
        <v>1421</v>
      </c>
      <c r="R104" s="31" t="str">
        <f>LEFT(Q104,6)</f>
        <v>951229</v>
      </c>
      <c r="S104" s="31" t="str">
        <f>MID($Q104,3,2)</f>
        <v>12</v>
      </c>
      <c r="T104" s="31" t="str">
        <f>IF(OR(MID($Q104,8,1)="1",MID($Q104,8,1)="3"),"남자",IF(OR(MID($Q104,8,1)="2",MID($Q104,8,1)="4"),"여자",""))</f>
        <v>여자</v>
      </c>
      <c r="U104" s="31">
        <f ca="1">YEAR(TODAY())-IF(OR(MID($Q104,8,1)="1",MID($Q104,8,1)="2"),19&amp;LEFT($Q104,2),IF(OR(MID($Q104,8,1)="3",MID($Q104,8,1)="4"),20&amp;LEFT($Q104,2),""))+1</f>
        <v>32</v>
      </c>
      <c r="V104" s="31" t="s">
        <v>200</v>
      </c>
      <c r="W104" s="31" t="s">
        <v>201</v>
      </c>
      <c r="X104" s="27" t="s">
        <v>1422</v>
      </c>
      <c r="Y104" s="27"/>
      <c r="Z104" s="27"/>
      <c r="AA104" s="32"/>
      <c r="AB104" s="31" t="s">
        <v>1401</v>
      </c>
      <c r="AC104" s="27"/>
      <c r="AD104" s="33" t="str">
        <f ca="1">QUOTIENT(SUMPRODUCT(LEFT($AE104:$AF104,FIND("년",$AE104:$AF104)-1)*12+MID($AE104:$AF104,FIND("년",$AE104:$AF104)+1,FIND("개월",$AE104:$AF104)-FIND("년",$AE104:$AF104)-1)),12)&amp;"년"&amp;MOD(SUMPRODUCT(LEFT($AE104:$AF104,FIND("년",$AE104:$AF104)-1)*12+MID($AE104:$AF104,FIND("년",$AE104:$AF104)+1,FIND("개월",$AE104:$AF104)-FIND("년",$AE104:$AF104)-1)),12)&amp;"개월"</f>
        <v>1년8개월</v>
      </c>
      <c r="AE104" s="33" t="s">
        <v>543</v>
      </c>
      <c r="AF104" s="34" t="str">
        <f ca="1">DATEDIF($L104,TODAY(),"y")&amp;"년"&amp;DATEDIF($L104,TODAY(),"ym")&amp;"개월"</f>
        <v>1년8개월</v>
      </c>
      <c r="AG104" s="35" t="s">
        <v>1423</v>
      </c>
      <c r="AH104" s="35" t="s">
        <v>1424</v>
      </c>
      <c r="AI104" s="30" t="s">
        <v>270</v>
      </c>
      <c r="AJ104" s="32">
        <v>43140</v>
      </c>
      <c r="AK104" s="36">
        <f ca="1">VALUE(LEFT($AD104,FIND("년",$AD104)-1))</f>
        <v>1</v>
      </c>
      <c r="AL104" s="31" t="str">
        <f ca="1">IF($AI104="학사",IF($AK104&lt;=5,"초급",IF($AK104&lt;9,"중급",IF($AK104&lt;12,"고급",IF($AK104&gt;=12,"특급")))))</f>
        <v>초급</v>
      </c>
      <c r="AM104" s="31" t="str">
        <f>IF(ISNUMBER(SEARCH("산업기사",$AT104)),IF($AK104&gt;=13,"특급",IF($AK104&gt;=10,"고급",IF($AK104&gt;=7,"중급","초급"))),IF(ISNUMBER(SEARCH("기사",$AR104)),IF($AK104&gt;=10,"특급",IF($AK104&gt;=7,"고급",IF($AK104&gt;=4,"중급","초급"))),"미해당"))</f>
        <v>미해당</v>
      </c>
      <c r="AN104" s="27"/>
      <c r="AO104" s="32"/>
      <c r="AP104" s="27"/>
      <c r="AQ104" s="32"/>
      <c r="AR104" s="27"/>
      <c r="AS104" s="27"/>
      <c r="AT104" s="37"/>
      <c r="AU104" s="27"/>
      <c r="AV104" s="38"/>
      <c r="AW104" s="39"/>
      <c r="AX104" s="39"/>
      <c r="AY104" s="40" t="s">
        <v>251</v>
      </c>
      <c r="AZ104" s="41" t="s">
        <v>252</v>
      </c>
      <c r="BA104" s="30" t="s">
        <v>230</v>
      </c>
      <c r="BB104" s="30" t="s">
        <v>1425</v>
      </c>
      <c r="BC104" s="42" t="s">
        <v>254</v>
      </c>
      <c r="BD104" s="42" t="s">
        <v>1426</v>
      </c>
      <c r="BE104" s="43" t="s">
        <v>1427</v>
      </c>
      <c r="BF104" s="42" t="s">
        <v>234</v>
      </c>
      <c r="BG104" s="42" t="s">
        <v>887</v>
      </c>
      <c r="BH104" s="35" t="s">
        <v>944</v>
      </c>
      <c r="BI104" s="44" t="s">
        <v>1428</v>
      </c>
      <c r="BJ104" s="45" t="str">
        <f>IFERROR(VLOOKUP($BG104,[1]프로젝트현황!Y:Z,2,0),"기타")</f>
        <v>동남권</v>
      </c>
      <c r="BK104" s="46" t="str">
        <f>(IF(BF104="","",BF104&amp;" "))&amp;(IF(BG104="","",BG104&amp;" "))&amp;(IF(BH104="","",BH104&amp;" "))&amp;BI104</f>
        <v>경기도 용인시 기흥구 사은로126번길 33, 205동 1001호(보라동, 민속마을신창미선힐아파트)</v>
      </c>
      <c r="BL104" s="47">
        <v>30</v>
      </c>
      <c r="BM104" s="47">
        <v>30</v>
      </c>
      <c r="BN104" s="48">
        <v>28466666.666666668</v>
      </c>
      <c r="BO104" s="48">
        <f>BP104*12</f>
        <v>28466682</v>
      </c>
      <c r="BP104" s="49">
        <f>SUM(BQ104:BS104)</f>
        <v>2372223.5</v>
      </c>
      <c r="BQ104" s="49">
        <f>ROUNDUP(BN104/12*209/(209+BU104*1.5)/BL104*BM104,-1)-BS104</f>
        <v>1969780</v>
      </c>
      <c r="BR104" s="49">
        <f>ROUNDUP(BN104/12*(BU104*1.5)/(209+BU104*1.5)/BL104*BM104,1)</f>
        <v>202443.5</v>
      </c>
      <c r="BS104" s="49">
        <v>200000</v>
      </c>
      <c r="BT104" s="50">
        <v>209</v>
      </c>
      <c r="BU104" s="49">
        <f>IF($BN104="","",
IFERROR(
    IF($BN104&lt;'[1]시간외시간 기준표'!$B$2,0,
        IF($BN104&gt;LOOKUP(9.9E+307,'[1]시간외시간 기준표'!$B$2:$B$999),
            LOOKUP(9.9E+307,'[1]시간외시간 기준표'!$C$2:$C$999),
            LOOKUP($BN104,'[1]시간외시간 기준표'!$B$2:$B$999,'[1]시간외시간 기준표'!$C$2:$C$999)
        )
    ),0)
)</f>
        <v>13</v>
      </c>
      <c r="BV104" s="50">
        <f>(BQ104+BS104)/209</f>
        <v>10381.722488038278</v>
      </c>
      <c r="BW104" s="51">
        <v>30</v>
      </c>
      <c r="BX104" s="51">
        <v>30</v>
      </c>
      <c r="BY104" s="52">
        <v>28466666.666666668</v>
      </c>
      <c r="BZ104" s="52">
        <f>CA104*12</f>
        <v>28466779.200000003</v>
      </c>
      <c r="CA104" s="49">
        <f>SUM(CB104:CD104)</f>
        <v>2372231.6</v>
      </c>
      <c r="CB104" s="49">
        <f>ROUNDUP(BY104/12*209/(209+CF104*1.5)/BW104*BX104,-1)-CD104</f>
        <v>1941670</v>
      </c>
      <c r="CC104" s="49">
        <f>ROUNDUP(BY104/12*(CF104*1.5)/(209+CF104*1.5)/BW104*BX104,1)</f>
        <v>230561.6</v>
      </c>
      <c r="CD104" s="49">
        <v>200000</v>
      </c>
      <c r="CE104" s="50">
        <v>209</v>
      </c>
      <c r="CF104" s="49">
        <f>IF(BY104&lt;26000000,0,IF(BY104&lt;26500000,4,IF(BY104&lt;27000000,7,IF(BY104&lt;27500000,9,IF(BY104&lt;28000000,11,IF(BY104&lt;28500000,15,IF(BY104&lt;29000000,17,IF(BY104&lt;29500000,20,IF(BY104&lt;30000000,23,IF(BY104&lt;30500000,25,IF(BY104&lt;31000000,27,IF(BY104&lt;31500000,29,IF(BY104&lt;32000000,33,IF(BY104&lt;32500000,37,IF(BY104&lt;33000000,39,IF(BY104&lt;33500000,42,IF(BY104&lt;34000000,45,IF(BY104&lt;34500000,48,IF(BY104&lt;35000000,52,52)))))))))))))))))))</f>
        <v>15</v>
      </c>
      <c r="CG104" s="50">
        <f>(CB104+CD104)/209</f>
        <v>10247.224880382775</v>
      </c>
      <c r="CH104" s="51">
        <v>30</v>
      </c>
      <c r="CI104" s="51">
        <v>30</v>
      </c>
      <c r="CJ104" s="52">
        <v>28000000</v>
      </c>
      <c r="CK104" s="52">
        <f>CL104*12</f>
        <v>28000102.799999997</v>
      </c>
      <c r="CL104" s="49">
        <f>SUM(CM104:CO104)</f>
        <v>2333341.9</v>
      </c>
      <c r="CM104" s="49">
        <f>ROUNDUP(CJ104/12*209/(209+CQ104*1.5)/CH104*CI104,-1)-CO104</f>
        <v>1906560</v>
      </c>
      <c r="CN104" s="49">
        <f>ROUNDUP(CJ104/12*(CQ104*1.5)/(209+CQ104*1.5)/CH104*CI104,1)</f>
        <v>226781.9</v>
      </c>
      <c r="CO104" s="50">
        <v>200000</v>
      </c>
      <c r="CP104" s="50">
        <v>209</v>
      </c>
      <c r="CQ104" s="50">
        <f>IF(CJ104&lt;26000000,0,IF(CJ104&lt;26500000,4,IF(CJ104&lt;27000000,7,IF(CJ104&lt;27500000,9,IF(CJ104&lt;28000000,11,IF(CJ104&lt;28500000,15,IF(CJ104&lt;29000000,17,IF(CJ104&lt;29500000,20,IF(CJ104&lt;30000000,23,IF(CJ104&lt;30500000,25,IF(CJ104&lt;31000000,27,IF(CJ104&lt;31500000,29,IF(CJ104&lt;32000000,33,IF(CJ104&lt;32500000,37,IF(CJ104&lt;33000000,39,IF(CJ104&lt;33500000,42,IF(CJ104&lt;34000000,45,IF(CJ104&lt;34500000,48,IF(CJ104&lt;35000000,52,52)))))))))))))))))))</f>
        <v>15</v>
      </c>
      <c r="CR104" s="50">
        <f>(CM104+CO104)/209</f>
        <v>10079.234449760766</v>
      </c>
      <c r="CS104" s="52"/>
      <c r="CT104" s="53"/>
      <c r="CU104" s="53"/>
      <c r="CV104" s="53"/>
      <c r="CW104" s="54"/>
      <c r="CX104" s="54"/>
      <c r="CY104" s="54"/>
      <c r="CZ104" s="55"/>
      <c r="DA104" s="55"/>
      <c r="DB104" s="56"/>
      <c r="DC104" s="57"/>
      <c r="DD104" s="58"/>
      <c r="DE104" s="58"/>
      <c r="DF104" s="57"/>
      <c r="DG104" s="59">
        <f>B104</f>
        <v>240503</v>
      </c>
      <c r="DH104" s="58"/>
      <c r="DI104" s="58"/>
      <c r="DJ104" s="60"/>
      <c r="DK104" s="58"/>
      <c r="DL104" s="61"/>
      <c r="DM104" s="24"/>
    </row>
    <row r="105" spans="1:117" ht="15" customHeight="1">
      <c r="A105" s="25">
        <f>ROW()-2</f>
        <v>103</v>
      </c>
      <c r="B105" s="26">
        <v>240504</v>
      </c>
      <c r="C105" s="27" t="s">
        <v>1429</v>
      </c>
      <c r="D105" s="27"/>
      <c r="E105" s="27" t="s">
        <v>613</v>
      </c>
      <c r="F105" s="27" t="s">
        <v>196</v>
      </c>
      <c r="G105" s="27" t="s">
        <v>240</v>
      </c>
      <c r="H105" s="27" t="s">
        <v>217</v>
      </c>
      <c r="I105" s="27" t="s">
        <v>1397</v>
      </c>
      <c r="J105" s="27" t="str">
        <f>+VLOOKUP($I105,[1]프로젝트현황!$I:$N,5,0)</f>
        <v>경기도</v>
      </c>
      <c r="K105" s="27" t="str">
        <f>+VLOOKUP($I105,[1]프로젝트현황!$I:$N,6,0)</f>
        <v>평택시</v>
      </c>
      <c r="L105" s="28">
        <v>45428</v>
      </c>
      <c r="M105" s="28">
        <v>45428</v>
      </c>
      <c r="N105" s="28"/>
      <c r="O105" s="29"/>
      <c r="P105" s="30" t="s">
        <v>1430</v>
      </c>
      <c r="Q105" s="27" t="s">
        <v>1431</v>
      </c>
      <c r="R105" s="31" t="str">
        <f>LEFT(Q105,6)</f>
        <v>930703</v>
      </c>
      <c r="S105" s="31" t="str">
        <f>MID($Q105,3,2)</f>
        <v>07</v>
      </c>
      <c r="T105" s="31" t="str">
        <f>IF(OR(MID($Q105,8,1)="1",MID($Q105,8,1)="3"),"남자",IF(OR(MID($Q105,8,1)="2",MID($Q105,8,1)="4"),"여자",""))</f>
        <v>여자</v>
      </c>
      <c r="U105" s="31">
        <f ca="1">YEAR(TODAY())-IF(OR(MID($Q105,8,1)="1",MID($Q105,8,1)="2"),19&amp;LEFT($Q105,2),IF(OR(MID($Q105,8,1)="3",MID($Q105,8,1)="4"),20&amp;LEFT($Q105,2),""))+1</f>
        <v>34</v>
      </c>
      <c r="V105" s="31" t="s">
        <v>200</v>
      </c>
      <c r="W105" s="31" t="s">
        <v>201</v>
      </c>
      <c r="X105" s="27" t="s">
        <v>1432</v>
      </c>
      <c r="Y105" s="27"/>
      <c r="Z105" s="27"/>
      <c r="AA105" s="32"/>
      <c r="AB105" s="31" t="s">
        <v>1401</v>
      </c>
      <c r="AC105" s="27"/>
      <c r="AD105" s="33" t="str">
        <f ca="1">QUOTIENT(SUMPRODUCT(LEFT($AE105:$AF105,FIND("년",$AE105:$AF105)-1)*12+MID($AE105:$AF105,FIND("년",$AE105:$AF105)+1,FIND("개월",$AE105:$AF105)-FIND("년",$AE105:$AF105)-1)),12)&amp;"년"&amp;MOD(SUMPRODUCT(LEFT($AE105:$AF105,FIND("년",$AE105:$AF105)-1)*12+MID($AE105:$AF105,FIND("년",$AE105:$AF105)+1,FIND("개월",$AE105:$AF105)-FIND("년",$AE105:$AF105)-1)),12)&amp;"개월"</f>
        <v>1년8개월</v>
      </c>
      <c r="AE105" s="33" t="s">
        <v>543</v>
      </c>
      <c r="AF105" s="34" t="str">
        <f ca="1">DATEDIF($L105,TODAY(),"y")&amp;"년"&amp;DATEDIF($L105,TODAY(),"ym")&amp;"개월"</f>
        <v>1년8개월</v>
      </c>
      <c r="AG105" s="35" t="s">
        <v>1433</v>
      </c>
      <c r="AH105" s="35" t="s">
        <v>1434</v>
      </c>
      <c r="AI105" s="30" t="s">
        <v>270</v>
      </c>
      <c r="AJ105" s="32">
        <v>42789</v>
      </c>
      <c r="AK105" s="36">
        <f ca="1">VALUE(LEFT($AD105,FIND("년",$AD105)-1))</f>
        <v>1</v>
      </c>
      <c r="AL105" s="31" t="str">
        <f ca="1">IF($AI105="학사",IF($AK105&lt;=5,"초급",IF($AK105&lt;9,"중급",IF($AK105&lt;12,"고급",IF($AK105&gt;=12,"특급")))))</f>
        <v>초급</v>
      </c>
      <c r="AM105" s="31" t="str">
        <f>IF(ISNUMBER(SEARCH("산업기사",$AT105)),IF($AK105&gt;=13,"특급",IF($AK105&gt;=10,"고급",IF($AK105&gt;=7,"중급","초급"))),IF(ISNUMBER(SEARCH("기사",$AR105)),IF($AK105&gt;=10,"특급",IF($AK105&gt;=7,"고급",IF($AK105&gt;=4,"중급","초급"))),"미해당"))</f>
        <v>미해당</v>
      </c>
      <c r="AN105" s="27"/>
      <c r="AO105" s="32"/>
      <c r="AP105" s="27"/>
      <c r="AQ105" s="32"/>
      <c r="AR105" s="27"/>
      <c r="AS105" s="27"/>
      <c r="AT105" s="37"/>
      <c r="AU105" s="27"/>
      <c r="AV105" s="38"/>
      <c r="AW105" s="39"/>
      <c r="AX105" s="39"/>
      <c r="AY105" s="40" t="s">
        <v>251</v>
      </c>
      <c r="AZ105" s="41" t="s">
        <v>252</v>
      </c>
      <c r="BA105" s="30" t="s">
        <v>230</v>
      </c>
      <c r="BB105" s="30" t="s">
        <v>1435</v>
      </c>
      <c r="BC105" s="42"/>
      <c r="BD105" s="42"/>
      <c r="BE105" s="43" t="s">
        <v>1436</v>
      </c>
      <c r="BF105" s="42" t="s">
        <v>1437</v>
      </c>
      <c r="BG105" s="42" t="s">
        <v>1438</v>
      </c>
      <c r="BH105" s="35" t="s">
        <v>1439</v>
      </c>
      <c r="BI105" s="44" t="s">
        <v>1440</v>
      </c>
      <c r="BJ105" s="45" t="str">
        <f>IFERROR(VLOOKUP($BG105,[1]프로젝트현황!Y:Z,2,0),"기타")</f>
        <v>서남권</v>
      </c>
      <c r="BK105" s="46" t="str">
        <f>(IF(BF105="","",BF105&amp;" "))&amp;(IF(BG105="","",BG105&amp;" "))&amp;(IF(BH105="","",BH105&amp;" "))&amp;BI105</f>
        <v>충청남도 천안시 서북구 천안대로 980-17, 106동 2403호</v>
      </c>
      <c r="BL105" s="47">
        <v>30</v>
      </c>
      <c r="BM105" s="47">
        <v>30</v>
      </c>
      <c r="BN105" s="48">
        <v>28466666.666666668</v>
      </c>
      <c r="BO105" s="48">
        <f>BP105*12</f>
        <v>28466682</v>
      </c>
      <c r="BP105" s="49">
        <f>SUM(BQ105:BS105)</f>
        <v>2372223.5</v>
      </c>
      <c r="BQ105" s="49">
        <f>ROUNDUP(BN105/12*209/(209+BU105*1.5)/BL105*BM105,-1)-BS105</f>
        <v>1969780</v>
      </c>
      <c r="BR105" s="49">
        <f>ROUNDUP(BN105/12*(BU105*1.5)/(209+BU105*1.5)/BL105*BM105,1)</f>
        <v>202443.5</v>
      </c>
      <c r="BS105" s="49">
        <v>200000</v>
      </c>
      <c r="BT105" s="50">
        <v>209</v>
      </c>
      <c r="BU105" s="49">
        <f>IF($BN105="","",
IFERROR(
    IF($BN105&lt;'[1]시간외시간 기준표'!$B$2,0,
        IF($BN105&gt;LOOKUP(9.9E+307,'[1]시간외시간 기준표'!$B$2:$B$999),
            LOOKUP(9.9E+307,'[1]시간외시간 기준표'!$C$2:$C$999),
            LOOKUP($BN105,'[1]시간외시간 기준표'!$B$2:$B$999,'[1]시간외시간 기준표'!$C$2:$C$999)
        )
    ),0)
)</f>
        <v>13</v>
      </c>
      <c r="BV105" s="50">
        <f>(BQ105+BS105)/209</f>
        <v>10381.722488038278</v>
      </c>
      <c r="BW105" s="51">
        <v>30</v>
      </c>
      <c r="BX105" s="51">
        <v>30</v>
      </c>
      <c r="BY105" s="52">
        <v>28466666.666666668</v>
      </c>
      <c r="BZ105" s="52">
        <f>CA105*12</f>
        <v>28466779.200000003</v>
      </c>
      <c r="CA105" s="49">
        <f>SUM(CB105:CD105)</f>
        <v>2372231.6</v>
      </c>
      <c r="CB105" s="49">
        <f>ROUNDUP(BY105/12*209/(209+CF105*1.5)/BW105*BX105,-1)-CD105</f>
        <v>1941670</v>
      </c>
      <c r="CC105" s="49">
        <f>ROUNDUP(BY105/12*(CF105*1.5)/(209+CF105*1.5)/BW105*BX105,1)</f>
        <v>230561.6</v>
      </c>
      <c r="CD105" s="49">
        <v>200000</v>
      </c>
      <c r="CE105" s="50">
        <v>209</v>
      </c>
      <c r="CF105" s="49">
        <f>IF(BY105&lt;26000000,0,IF(BY105&lt;26500000,4,IF(BY105&lt;27000000,7,IF(BY105&lt;27500000,9,IF(BY105&lt;28000000,11,IF(BY105&lt;28500000,15,IF(BY105&lt;29000000,17,IF(BY105&lt;29500000,20,IF(BY105&lt;30000000,23,IF(BY105&lt;30500000,25,IF(BY105&lt;31000000,27,IF(BY105&lt;31500000,29,IF(BY105&lt;32000000,33,IF(BY105&lt;32500000,37,IF(BY105&lt;33000000,39,IF(BY105&lt;33500000,42,IF(BY105&lt;34000000,45,IF(BY105&lt;34500000,48,IF(BY105&lt;35000000,52,52)))))))))))))))))))</f>
        <v>15</v>
      </c>
      <c r="CG105" s="50">
        <f>(CB105+CD105)/209</f>
        <v>10247.224880382775</v>
      </c>
      <c r="CH105" s="51">
        <v>30</v>
      </c>
      <c r="CI105" s="51">
        <v>30</v>
      </c>
      <c r="CJ105" s="52">
        <v>28000000</v>
      </c>
      <c r="CK105" s="52">
        <f>CL105*12</f>
        <v>28000102.799999997</v>
      </c>
      <c r="CL105" s="49">
        <f>SUM(CM105:CO105)</f>
        <v>2333341.9</v>
      </c>
      <c r="CM105" s="49">
        <f>ROUNDUP(CJ105/12*209/(209+CQ105*1.5)/CH105*CI105,-1)-CO105</f>
        <v>1906560</v>
      </c>
      <c r="CN105" s="49">
        <f>ROUNDUP(CJ105/12*(CQ105*1.5)/(209+CQ105*1.5)/CH105*CI105,1)</f>
        <v>226781.9</v>
      </c>
      <c r="CO105" s="50">
        <v>200000</v>
      </c>
      <c r="CP105" s="50">
        <v>209</v>
      </c>
      <c r="CQ105" s="50">
        <f>IF(CJ105&lt;26000000,0,IF(CJ105&lt;26500000,4,IF(CJ105&lt;27000000,7,IF(CJ105&lt;27500000,9,IF(CJ105&lt;28000000,11,IF(CJ105&lt;28500000,15,IF(CJ105&lt;29000000,17,IF(CJ105&lt;29500000,20,IF(CJ105&lt;30000000,23,IF(CJ105&lt;30500000,25,IF(CJ105&lt;31000000,27,IF(CJ105&lt;31500000,29,IF(CJ105&lt;32000000,33,IF(CJ105&lt;32500000,37,IF(CJ105&lt;33000000,39,IF(CJ105&lt;33500000,42,IF(CJ105&lt;34000000,45,IF(CJ105&lt;34500000,48,IF(CJ105&lt;35000000,52,52)))))))))))))))))))</f>
        <v>15</v>
      </c>
      <c r="CR105" s="50">
        <f>(CM105+CO105)/209</f>
        <v>10079.234449760766</v>
      </c>
      <c r="CS105" s="52"/>
      <c r="CT105" s="53"/>
      <c r="CU105" s="53"/>
      <c r="CV105" s="53"/>
      <c r="CW105" s="54"/>
      <c r="CX105" s="54"/>
      <c r="CY105" s="54"/>
      <c r="CZ105" s="55"/>
      <c r="DA105" s="55"/>
      <c r="DB105" s="56"/>
      <c r="DC105" s="57"/>
      <c r="DD105" s="58"/>
      <c r="DE105" s="58"/>
      <c r="DF105" s="57"/>
      <c r="DG105" s="59">
        <f>B105</f>
        <v>240504</v>
      </c>
      <c r="DH105" s="58"/>
      <c r="DI105" s="58"/>
      <c r="DJ105" s="60"/>
      <c r="DK105" s="58"/>
      <c r="DL105" s="61"/>
      <c r="DM105" s="24"/>
    </row>
    <row r="106" spans="1:117" ht="15" customHeight="1">
      <c r="A106" s="25">
        <f>ROW()-2</f>
        <v>104</v>
      </c>
      <c r="B106" s="26">
        <v>240505</v>
      </c>
      <c r="C106" s="27" t="s">
        <v>1441</v>
      </c>
      <c r="D106" s="27"/>
      <c r="E106" s="27" t="s">
        <v>239</v>
      </c>
      <c r="F106" s="27" t="s">
        <v>196</v>
      </c>
      <c r="G106" s="27" t="s">
        <v>240</v>
      </c>
      <c r="H106" s="27" t="s">
        <v>260</v>
      </c>
      <c r="I106" s="27" t="s">
        <v>902</v>
      </c>
      <c r="J106" s="27" t="str">
        <f>+VLOOKUP($I106,[1]프로젝트현황!$I:$N,5,0)</f>
        <v>서울시</v>
      </c>
      <c r="K106" s="27" t="str">
        <f>+VLOOKUP($I106,[1]프로젝트현황!$I:$N,6,0)</f>
        <v>종로구</v>
      </c>
      <c r="L106" s="28">
        <v>45432</v>
      </c>
      <c r="M106" s="28">
        <v>45432</v>
      </c>
      <c r="N106" s="28"/>
      <c r="O106" s="29">
        <v>46080</v>
      </c>
      <c r="P106" s="30" t="s">
        <v>1442</v>
      </c>
      <c r="Q106" s="27" t="s">
        <v>1443</v>
      </c>
      <c r="R106" s="31" t="str">
        <f>LEFT(Q106,6)</f>
        <v>930225</v>
      </c>
      <c r="S106" s="31" t="str">
        <f>MID($Q106,3,2)</f>
        <v>02</v>
      </c>
      <c r="T106" s="31" t="str">
        <f>IF(OR(MID($Q106,8,1)="1",MID($Q106,8,1)="3"),"남자",IF(OR(MID($Q106,8,1)="2",MID($Q106,8,1)="4"),"여자",""))</f>
        <v>남자</v>
      </c>
      <c r="U106" s="31">
        <f ca="1">YEAR(TODAY())-IF(OR(MID($Q106,8,1)="1",MID($Q106,8,1)="2"),19&amp;LEFT($Q106,2),IF(OR(MID($Q106,8,1)="3",MID($Q106,8,1)="4"),20&amp;LEFT($Q106,2),""))+1</f>
        <v>34</v>
      </c>
      <c r="V106" s="31" t="s">
        <v>200</v>
      </c>
      <c r="W106" s="31" t="s">
        <v>201</v>
      </c>
      <c r="X106" s="27" t="s">
        <v>1444</v>
      </c>
      <c r="Y106" s="27"/>
      <c r="Z106" s="27"/>
      <c r="AA106" s="32"/>
      <c r="AB106" s="31" t="s">
        <v>203</v>
      </c>
      <c r="AC106" s="27"/>
      <c r="AD106" s="33" t="str">
        <f ca="1">QUOTIENT(SUMPRODUCT(LEFT($AE106:$AF106,FIND("년",$AE106:$AF106)-1)*12+MID($AE106:$AF106,FIND("년",$AE106:$AF106)+1,FIND("개월",$AE106:$AF106)-FIND("년",$AE106:$AF106)-1)),12)&amp;"년"&amp;MOD(SUMPRODUCT(LEFT($AE106:$AF106,FIND("년",$AE106:$AF106)-1)*12+MID($AE106:$AF106,FIND("년",$AE106:$AF106)+1,FIND("개월",$AE106:$AF106)-FIND("년",$AE106:$AF106)-1)),12)&amp;"개월"</f>
        <v>6년11개월</v>
      </c>
      <c r="AE106" s="33" t="s">
        <v>1445</v>
      </c>
      <c r="AF106" s="34" t="str">
        <f ca="1">DATEDIF($L106,TODAY(),"y")&amp;"년"&amp;DATEDIF($L106,TODAY(),"ym")&amp;"개월"</f>
        <v>1년8개월</v>
      </c>
      <c r="AG106" s="35" t="s">
        <v>1446</v>
      </c>
      <c r="AH106" s="35" t="s">
        <v>1447</v>
      </c>
      <c r="AI106" s="30" t="s">
        <v>270</v>
      </c>
      <c r="AJ106" s="32">
        <v>42783</v>
      </c>
      <c r="AK106" s="36">
        <f ca="1">VALUE(LEFT($AD106,FIND("년",$AD106)-1))</f>
        <v>6</v>
      </c>
      <c r="AL106" s="31" t="str">
        <f ca="1">IF($AI106="학사",IF($AK106&lt;=5,"초급",IF($AK106&lt;9,"중급",IF($AK106&lt;12,"고급",IF($AK106&gt;=12,"특급")))))</f>
        <v>중급</v>
      </c>
      <c r="AM106" s="31" t="str">
        <f>IF(ISNUMBER(SEARCH("산업기사",$AT106)),IF($AK106&gt;=13,"특급",IF($AK106&gt;=10,"고급",IF($AK106&gt;=7,"중급","초급"))),IF(ISNUMBER(SEARCH("기사",$AR106)),IF($AK106&gt;=10,"특급",IF($AK106&gt;=7,"고급",IF($AK106&gt;=4,"중급","초급"))),"미해당"))</f>
        <v>미해당</v>
      </c>
      <c r="AN106" s="27"/>
      <c r="AO106" s="32"/>
      <c r="AP106" s="27"/>
      <c r="AQ106" s="32"/>
      <c r="AR106" s="27"/>
      <c r="AS106" s="27"/>
      <c r="AT106" s="37"/>
      <c r="AU106" s="27"/>
      <c r="AV106" s="38"/>
      <c r="AW106" s="39"/>
      <c r="AX106" s="39"/>
      <c r="AY106" s="40" t="s">
        <v>251</v>
      </c>
      <c r="AZ106" s="41" t="s">
        <v>252</v>
      </c>
      <c r="BA106" s="30" t="s">
        <v>230</v>
      </c>
      <c r="BB106" s="30" t="s">
        <v>1448</v>
      </c>
      <c r="BC106" s="42"/>
      <c r="BD106" s="42"/>
      <c r="BE106" s="43" t="s">
        <v>1449</v>
      </c>
      <c r="BF106" s="42" t="s">
        <v>234</v>
      </c>
      <c r="BG106" s="42" t="s">
        <v>295</v>
      </c>
      <c r="BH106" s="35" t="s">
        <v>1450</v>
      </c>
      <c r="BI106" s="44" t="s">
        <v>1451</v>
      </c>
      <c r="BJ106" s="45" t="str">
        <f>IFERROR(VLOOKUP($BG106,[1]프로젝트현황!Y:Z,2,0),"기타")</f>
        <v>동남권</v>
      </c>
      <c r="BK106" s="46" t="str">
        <f>(IF(BF106="","",BF106&amp;" "))&amp;(IF(BG106="","",BG106&amp;" "))&amp;(IF(BH106="","",BH106&amp;" "))&amp;BI106</f>
        <v>경기도 수원시 장안구 정자로19번길 18, 503동 702호</v>
      </c>
      <c r="BL106" s="47">
        <v>30</v>
      </c>
      <c r="BM106" s="47">
        <v>30</v>
      </c>
      <c r="BN106" s="48">
        <v>34466666.666666664</v>
      </c>
      <c r="BO106" s="48">
        <f>BP106*12</f>
        <v>34466706</v>
      </c>
      <c r="BP106" s="49">
        <f>SUM(BQ106:BS106)</f>
        <v>2872225.5</v>
      </c>
      <c r="BQ106" s="49">
        <f>ROUNDUP(BN106/12*209/(209+BU106*1.5)/BL106*BM106,-1)-BS106</f>
        <v>1971050</v>
      </c>
      <c r="BR106" s="49">
        <f>ROUNDUP(BN106/12*(BU106*1.5)/(209+BU106*1.5)/BL106*BM106,1)</f>
        <v>701175.5</v>
      </c>
      <c r="BS106" s="49">
        <v>200000</v>
      </c>
      <c r="BT106" s="50">
        <v>209</v>
      </c>
      <c r="BU106" s="49">
        <f>IF($BN106="","",
IFERROR(
    IF($BN106&lt;'[1]시간외시간 기준표'!$B$2,0,
        IF($BN106&gt;LOOKUP(9.9E+307,'[1]시간외시간 기준표'!$B$2:$B$999),
            LOOKUP(9.9E+307,'[1]시간외시간 기준표'!$C$2:$C$999),
            LOOKUP($BN106,'[1]시간외시간 기준표'!$B$2:$B$999,'[1]시간외시간 기준표'!$C$2:$C$999)
        )
    ),0)
)</f>
        <v>45</v>
      </c>
      <c r="BV106" s="50">
        <f>(BQ106+BS106)/209</f>
        <v>10387.799043062201</v>
      </c>
      <c r="BW106" s="51">
        <v>30</v>
      </c>
      <c r="BX106" s="51">
        <v>30</v>
      </c>
      <c r="BY106" s="52">
        <v>34466666.666666664</v>
      </c>
      <c r="BZ106" s="52">
        <f>CA106*12</f>
        <v>34466677.200000003</v>
      </c>
      <c r="CA106" s="49">
        <f>SUM(CB106:CD106)</f>
        <v>2872223.1</v>
      </c>
      <c r="CB106" s="49">
        <f>ROUNDUP(BY106/12*209/(209+CF106*1.5)/BW106*BX106,-1)-CD106</f>
        <v>1936280</v>
      </c>
      <c r="CC106" s="49">
        <f>ROUNDUP(BY106/12*(CF106*1.5)/(209+CF106*1.5)/BW106*BX106,1)</f>
        <v>735943.1</v>
      </c>
      <c r="CD106" s="49">
        <v>200000</v>
      </c>
      <c r="CE106" s="50">
        <v>209</v>
      </c>
      <c r="CF106" s="49">
        <f>IF(BY106&lt;26000000,0,IF(BY106&lt;26500000,4,IF(BY106&lt;27000000,7,IF(BY106&lt;27500000,9,IF(BY106&lt;28000000,11,IF(BY106&lt;28500000,15,IF(BY106&lt;29000000,17,IF(BY106&lt;29500000,20,IF(BY106&lt;30000000,23,IF(BY106&lt;30500000,25,IF(BY106&lt;31000000,27,IF(BY106&lt;31500000,29,IF(BY106&lt;32000000,33,IF(BY106&lt;32500000,37,IF(BY106&lt;33000000,39,IF(BY106&lt;33500000,42,IF(BY106&lt;34000000,45,IF(BY106&lt;34500000,48,IF(BY106&lt;35000000,52,52)))))))))))))))))))</f>
        <v>48</v>
      </c>
      <c r="CG106" s="50">
        <f>(CB106+CD106)/209</f>
        <v>10221.435406698565</v>
      </c>
      <c r="CH106" s="51">
        <v>30</v>
      </c>
      <c r="CI106" s="51">
        <v>30</v>
      </c>
      <c r="CJ106" s="52">
        <v>34000000</v>
      </c>
      <c r="CK106" s="52">
        <f>CL106*12</f>
        <v>34000064.400000006</v>
      </c>
      <c r="CL106" s="49">
        <f>SUM(CM106:CO106)</f>
        <v>2833338.7</v>
      </c>
      <c r="CM106" s="49">
        <f>ROUNDUP(CJ106/12*209/(209+CQ106*1.5)/CH106*CI106,-1)-CO106</f>
        <v>1907360</v>
      </c>
      <c r="CN106" s="49">
        <f>ROUNDUP(CJ106/12*(CQ106*1.5)/(209+CQ106*1.5)/CH106*CI106,1)</f>
        <v>725978.7</v>
      </c>
      <c r="CO106" s="50">
        <v>200000</v>
      </c>
      <c r="CP106" s="50">
        <v>209</v>
      </c>
      <c r="CQ106" s="50">
        <f>IF(CJ106&lt;26000000,0,IF(CJ106&lt;26500000,4,IF(CJ106&lt;27000000,7,IF(CJ106&lt;27500000,9,IF(CJ106&lt;28000000,11,IF(CJ106&lt;28500000,15,IF(CJ106&lt;29000000,17,IF(CJ106&lt;29500000,20,IF(CJ106&lt;30000000,23,IF(CJ106&lt;30500000,25,IF(CJ106&lt;31000000,27,IF(CJ106&lt;31500000,29,IF(CJ106&lt;32000000,33,IF(CJ106&lt;32500000,37,IF(CJ106&lt;33000000,39,IF(CJ106&lt;33500000,42,IF(CJ106&lt;34000000,45,IF(CJ106&lt;34500000,48,IF(CJ106&lt;35000000,52,52)))))))))))))))))))</f>
        <v>48</v>
      </c>
      <c r="CR106" s="50">
        <f>(CM106+CO106)/209</f>
        <v>10083.062200956938</v>
      </c>
      <c r="CS106" s="52"/>
      <c r="CT106" s="53"/>
      <c r="CU106" s="53"/>
      <c r="CV106" s="53"/>
      <c r="CW106" s="54"/>
      <c r="CX106" s="54"/>
      <c r="CY106" s="54"/>
      <c r="CZ106" s="55"/>
      <c r="DA106" s="55"/>
      <c r="DB106" s="56"/>
      <c r="DC106" s="57"/>
      <c r="DD106" s="58"/>
      <c r="DE106" s="58"/>
      <c r="DF106" s="57"/>
      <c r="DG106" s="59">
        <f>B106</f>
        <v>240505</v>
      </c>
      <c r="DH106" s="58" t="s">
        <v>1308</v>
      </c>
      <c r="DI106" s="58">
        <f>인사기본정보!$L55+30</f>
        <v>44988</v>
      </c>
      <c r="DJ106" s="60">
        <v>500000</v>
      </c>
      <c r="DK106" s="58">
        <f>인사기본정보!$L55+180</f>
        <v>45138</v>
      </c>
      <c r="DL106" s="61"/>
      <c r="DM106" s="24"/>
    </row>
    <row r="107" spans="1:117" ht="15" customHeight="1">
      <c r="A107" s="25">
        <f>ROW()-2</f>
        <v>105</v>
      </c>
      <c r="B107" s="26">
        <v>240507</v>
      </c>
      <c r="C107" s="27" t="s">
        <v>1452</v>
      </c>
      <c r="D107" s="27"/>
      <c r="E107" s="27" t="s">
        <v>239</v>
      </c>
      <c r="F107" s="27" t="s">
        <v>196</v>
      </c>
      <c r="G107" s="27" t="s">
        <v>240</v>
      </c>
      <c r="H107" s="27" t="s">
        <v>260</v>
      </c>
      <c r="I107" s="27" t="s">
        <v>902</v>
      </c>
      <c r="J107" s="27" t="str">
        <f>+VLOOKUP($I107,[1]프로젝트현황!$I:$N,5,0)</f>
        <v>서울시</v>
      </c>
      <c r="K107" s="27" t="str">
        <f>+VLOOKUP($I107,[1]프로젝트현황!$I:$N,6,0)</f>
        <v>종로구</v>
      </c>
      <c r="L107" s="28">
        <v>45439</v>
      </c>
      <c r="M107" s="28">
        <v>45439</v>
      </c>
      <c r="N107" s="28"/>
      <c r="O107" s="29"/>
      <c r="P107" s="30" t="s">
        <v>1453</v>
      </c>
      <c r="Q107" s="27" t="s">
        <v>1454</v>
      </c>
      <c r="R107" s="31" t="str">
        <f>LEFT(Q107,6)</f>
        <v>830722</v>
      </c>
      <c r="S107" s="31" t="str">
        <f>MID($Q107,3,2)</f>
        <v>07</v>
      </c>
      <c r="T107" s="31" t="str">
        <f>IF(OR(MID($Q107,8,1)="1",MID($Q107,8,1)="3"),"남자",IF(OR(MID($Q107,8,1)="2",MID($Q107,8,1)="4"),"여자",""))</f>
        <v>여자</v>
      </c>
      <c r="U107" s="31">
        <f ca="1">YEAR(TODAY())-IF(OR(MID($Q107,8,1)="1",MID($Q107,8,1)="2"),19&amp;LEFT($Q107,2),IF(OR(MID($Q107,8,1)="3",MID($Q107,8,1)="4"),20&amp;LEFT($Q107,2),""))+1</f>
        <v>44</v>
      </c>
      <c r="V107" s="31" t="s">
        <v>200</v>
      </c>
      <c r="W107" s="31" t="s">
        <v>201</v>
      </c>
      <c r="X107" s="27" t="s">
        <v>1455</v>
      </c>
      <c r="Y107" s="27"/>
      <c r="Z107" s="27"/>
      <c r="AA107" s="32"/>
      <c r="AB107" s="31" t="s">
        <v>203</v>
      </c>
      <c r="AC107" s="27"/>
      <c r="AD107" s="33" t="str">
        <f ca="1">QUOTIENT(SUMPRODUCT(LEFT($AE107:$AF107,FIND("년",$AE107:$AF107)-1)*12+MID($AE107:$AF107,FIND("년",$AE107:$AF107)+1,FIND("개월",$AE107:$AF107)-FIND("년",$AE107:$AF107)-1)),12)&amp;"년"&amp;MOD(SUMPRODUCT(LEFT($AE107:$AF107,FIND("년",$AE107:$AF107)-1)*12+MID($AE107:$AF107,FIND("년",$AE107:$AF107)+1,FIND("개월",$AE107:$AF107)-FIND("년",$AE107:$AF107)-1)),12)&amp;"개월"</f>
        <v>6년4개월</v>
      </c>
      <c r="AE107" s="33" t="s">
        <v>303</v>
      </c>
      <c r="AF107" s="34" t="str">
        <f ca="1">DATEDIF($L107,TODAY(),"y")&amp;"년"&amp;DATEDIF($L107,TODAY(),"ym")&amp;"개월"</f>
        <v>1년8개월</v>
      </c>
      <c r="AG107" s="35" t="s">
        <v>1456</v>
      </c>
      <c r="AH107" s="35" t="s">
        <v>1457</v>
      </c>
      <c r="AI107" s="30" t="s">
        <v>205</v>
      </c>
      <c r="AJ107" s="32">
        <v>38042</v>
      </c>
      <c r="AK107" s="36">
        <f ca="1">VALUE(LEFT($AD107,FIND("년",$AD107)-1))</f>
        <v>6</v>
      </c>
      <c r="AL107" s="31" t="str">
        <f ca="1">IF($AI107="전문학사",IF($AK107&lt;=8,"초급",IF($AK107&lt;12,"중급",IF($AK107&lt;15,"고급",IF($AK107&gt;=15,"특급")))))</f>
        <v>초급</v>
      </c>
      <c r="AM107" s="31" t="str">
        <f>IF(ISNUMBER(SEARCH("산업기사",$AT107)),IF($AK107&gt;=13,"특급",IF($AK107&gt;=10,"고급",IF($AK107&gt;=7,"중급","초급"))),IF(ISNUMBER(SEARCH("기사",$AR107)),IF($AK107&gt;=10,"특급",IF($AK107&gt;=7,"고급",IF($AK107&gt;=4,"중급","초급"))),"미해당"))</f>
        <v>미해당</v>
      </c>
      <c r="AN107" s="27"/>
      <c r="AO107" s="32"/>
      <c r="AP107" s="27"/>
      <c r="AQ107" s="32"/>
      <c r="AR107" s="27"/>
      <c r="AS107" s="27"/>
      <c r="AT107" s="37"/>
      <c r="AU107" s="27"/>
      <c r="AV107" s="38"/>
      <c r="AW107" s="39"/>
      <c r="AX107" s="39"/>
      <c r="AY107" s="40" t="s">
        <v>251</v>
      </c>
      <c r="AZ107" s="41" t="s">
        <v>252</v>
      </c>
      <c r="BA107" s="30" t="s">
        <v>230</v>
      </c>
      <c r="BB107" s="30" t="s">
        <v>1458</v>
      </c>
      <c r="BC107" s="42" t="s">
        <v>275</v>
      </c>
      <c r="BD107" s="42" t="s">
        <v>1459</v>
      </c>
      <c r="BE107" s="43" t="s">
        <v>1460</v>
      </c>
      <c r="BF107" s="42" t="s">
        <v>211</v>
      </c>
      <c r="BG107" s="42" t="s">
        <v>341</v>
      </c>
      <c r="BH107" s="35"/>
      <c r="BI107" s="44" t="s">
        <v>1461</v>
      </c>
      <c r="BJ107" s="45" t="str">
        <f>IFERROR(VLOOKUP($BG107,[1]프로젝트현황!Y:Z,2,0),"기타")</f>
        <v>서남권</v>
      </c>
      <c r="BK107" s="46" t="str">
        <f>(IF(BF107="","",BF107&amp;" "))&amp;(IF(BG107="","",BG107&amp;" "))&amp;(IF(BH107="","",BH107&amp;" "))&amp;BI107</f>
        <v>서울시 구로구 남부순환로95길 54, 105동 708호</v>
      </c>
      <c r="BL107" s="47">
        <v>30</v>
      </c>
      <c r="BM107" s="47">
        <v>30</v>
      </c>
      <c r="BN107" s="48">
        <v>34466666.666666664</v>
      </c>
      <c r="BO107" s="48">
        <f>BP107*12</f>
        <v>34466706</v>
      </c>
      <c r="BP107" s="49">
        <f>SUM(BQ107:BS107)</f>
        <v>2872225.5</v>
      </c>
      <c r="BQ107" s="49">
        <f>ROUNDUP(BN107/12*209/(209+BU107*1.5)/BL107*BM107,-1)-BS107</f>
        <v>1971050</v>
      </c>
      <c r="BR107" s="49">
        <f>ROUNDUP(BN107/12*(BU107*1.5)/(209+BU107*1.5)/BL107*BM107,1)</f>
        <v>701175.5</v>
      </c>
      <c r="BS107" s="49">
        <v>200000</v>
      </c>
      <c r="BT107" s="50">
        <v>209</v>
      </c>
      <c r="BU107" s="49">
        <f>IF($BN107="","",
IFERROR(
    IF($BN107&lt;'[1]시간외시간 기준표'!$B$2,0,
        IF($BN107&gt;LOOKUP(9.9E+307,'[1]시간외시간 기준표'!$B$2:$B$999),
            LOOKUP(9.9E+307,'[1]시간외시간 기준표'!$C$2:$C$999),
            LOOKUP($BN107,'[1]시간외시간 기준표'!$B$2:$B$999,'[1]시간외시간 기준표'!$C$2:$C$999)
        )
    ),0)
)</f>
        <v>45</v>
      </c>
      <c r="BV107" s="50">
        <f>(BQ107+BS107)/209</f>
        <v>10387.799043062201</v>
      </c>
      <c r="BW107" s="51">
        <v>30</v>
      </c>
      <c r="BX107" s="51">
        <v>30</v>
      </c>
      <c r="BY107" s="52">
        <v>34466666.666666664</v>
      </c>
      <c r="BZ107" s="52">
        <f>CA107*12</f>
        <v>34466677.200000003</v>
      </c>
      <c r="CA107" s="49">
        <f>SUM(CB107:CD107)</f>
        <v>2872223.1</v>
      </c>
      <c r="CB107" s="49">
        <f>ROUNDUP(BY107/12*209/(209+CF107*1.5)/BW107*BX107,-1)-CD107</f>
        <v>1936280</v>
      </c>
      <c r="CC107" s="49">
        <f>ROUNDUP(BY107/12*(CF107*1.5)/(209+CF107*1.5)/BW107*BX107,1)</f>
        <v>735943.1</v>
      </c>
      <c r="CD107" s="49">
        <v>200000</v>
      </c>
      <c r="CE107" s="50">
        <v>209</v>
      </c>
      <c r="CF107" s="49">
        <f>IF(BY107&lt;26000000,0,IF(BY107&lt;26500000,4,IF(BY107&lt;27000000,7,IF(BY107&lt;27500000,9,IF(BY107&lt;28000000,11,IF(BY107&lt;28500000,15,IF(BY107&lt;29000000,17,IF(BY107&lt;29500000,20,IF(BY107&lt;30000000,23,IF(BY107&lt;30500000,25,IF(BY107&lt;31000000,27,IF(BY107&lt;31500000,29,IF(BY107&lt;32000000,33,IF(BY107&lt;32500000,37,IF(BY107&lt;33000000,39,IF(BY107&lt;33500000,42,IF(BY107&lt;34000000,45,IF(BY107&lt;34500000,48,IF(BY107&lt;35000000,52,52)))))))))))))))))))</f>
        <v>48</v>
      </c>
      <c r="CG107" s="50">
        <f>(CB107+CD107)/209</f>
        <v>10221.435406698565</v>
      </c>
      <c r="CH107" s="51">
        <v>30</v>
      </c>
      <c r="CI107" s="51">
        <v>30</v>
      </c>
      <c r="CJ107" s="52">
        <v>34000000</v>
      </c>
      <c r="CK107" s="52">
        <f>CL107*12</f>
        <v>34000064.400000006</v>
      </c>
      <c r="CL107" s="49">
        <f>SUM(CM107:CO107)</f>
        <v>2833338.7</v>
      </c>
      <c r="CM107" s="49">
        <f>ROUNDUP(CJ107/12*209/(209+CQ107*1.5)/CH107*CI107,-1)-CO107</f>
        <v>1907360</v>
      </c>
      <c r="CN107" s="49">
        <f>ROUNDUP(CJ107/12*(CQ107*1.5)/(209+CQ107*1.5)/CH107*CI107,1)</f>
        <v>725978.7</v>
      </c>
      <c r="CO107" s="50">
        <v>200000</v>
      </c>
      <c r="CP107" s="50">
        <v>209</v>
      </c>
      <c r="CQ107" s="50">
        <f>IF(CJ107&lt;26000000,0,IF(CJ107&lt;26500000,4,IF(CJ107&lt;27000000,7,IF(CJ107&lt;27500000,9,IF(CJ107&lt;28000000,11,IF(CJ107&lt;28500000,15,IF(CJ107&lt;29000000,17,IF(CJ107&lt;29500000,20,IF(CJ107&lt;30000000,23,IF(CJ107&lt;30500000,25,IF(CJ107&lt;31000000,27,IF(CJ107&lt;31500000,29,IF(CJ107&lt;32000000,33,IF(CJ107&lt;32500000,37,IF(CJ107&lt;33000000,39,IF(CJ107&lt;33500000,42,IF(CJ107&lt;34000000,45,IF(CJ107&lt;34500000,48,IF(CJ107&lt;35000000,52,52)))))))))))))))))))</f>
        <v>48</v>
      </c>
      <c r="CR107" s="50">
        <f>(CM107+CO107)/209</f>
        <v>10083.062200956938</v>
      </c>
      <c r="CS107" s="52"/>
      <c r="CT107" s="53"/>
      <c r="CU107" s="53"/>
      <c r="CV107" s="53"/>
      <c r="CW107" s="54"/>
      <c r="CX107" s="54"/>
      <c r="CY107" s="54"/>
      <c r="CZ107" s="55"/>
      <c r="DA107" s="55"/>
      <c r="DB107" s="56"/>
      <c r="DC107" s="57"/>
      <c r="DD107" s="58"/>
      <c r="DE107" s="58"/>
      <c r="DF107" s="57"/>
      <c r="DG107" s="59">
        <f>B107</f>
        <v>240507</v>
      </c>
      <c r="DH107" s="58"/>
      <c r="DI107" s="58"/>
      <c r="DJ107" s="60"/>
      <c r="DK107" s="58"/>
      <c r="DL107" s="61"/>
      <c r="DM107" s="24"/>
    </row>
    <row r="108" spans="1:117" ht="15" customHeight="1">
      <c r="A108" s="25">
        <f>ROW()-2</f>
        <v>106</v>
      </c>
      <c r="B108" s="26">
        <v>240508</v>
      </c>
      <c r="C108" s="27" t="s">
        <v>1462</v>
      </c>
      <c r="D108" s="27"/>
      <c r="E108" s="27" t="s">
        <v>613</v>
      </c>
      <c r="F108" s="27" t="s">
        <v>196</v>
      </c>
      <c r="G108" s="27" t="s">
        <v>240</v>
      </c>
      <c r="H108" s="27" t="s">
        <v>217</v>
      </c>
      <c r="I108" s="27" t="s">
        <v>1397</v>
      </c>
      <c r="J108" s="27" t="str">
        <f>+VLOOKUP($I108,[1]프로젝트현황!$I:$N,5,0)</f>
        <v>경기도</v>
      </c>
      <c r="K108" s="27" t="str">
        <f>+VLOOKUP($I108,[1]프로젝트현황!$I:$N,6,0)</f>
        <v>평택시</v>
      </c>
      <c r="L108" s="28">
        <v>45439</v>
      </c>
      <c r="M108" s="28">
        <v>45439</v>
      </c>
      <c r="N108" s="28"/>
      <c r="O108" s="29"/>
      <c r="P108" s="30" t="s">
        <v>1463</v>
      </c>
      <c r="Q108" s="27" t="s">
        <v>1464</v>
      </c>
      <c r="R108" s="31" t="str">
        <f>LEFT(Q108,6)</f>
        <v>950602</v>
      </c>
      <c r="S108" s="31" t="str">
        <f>MID($Q108,3,2)</f>
        <v>06</v>
      </c>
      <c r="T108" s="31" t="str">
        <f>IF(OR(MID($Q108,8,1)="1",MID($Q108,8,1)="3"),"남자",IF(OR(MID($Q108,8,1)="2",MID($Q108,8,1)="4"),"여자",""))</f>
        <v>남자</v>
      </c>
      <c r="U108" s="31">
        <f ca="1">YEAR(TODAY())-IF(OR(MID($Q108,8,1)="1",MID($Q108,8,1)="2"),19&amp;LEFT($Q108,2),IF(OR(MID($Q108,8,1)="3",MID($Q108,8,1)="4"),20&amp;LEFT($Q108,2),""))+1</f>
        <v>32</v>
      </c>
      <c r="V108" s="31" t="s">
        <v>200</v>
      </c>
      <c r="W108" s="31" t="s">
        <v>201</v>
      </c>
      <c r="X108" s="27" t="s">
        <v>1465</v>
      </c>
      <c r="Y108" s="27"/>
      <c r="Z108" s="27"/>
      <c r="AA108" s="32"/>
      <c r="AB108" s="31" t="s">
        <v>1401</v>
      </c>
      <c r="AC108" s="27"/>
      <c r="AD108" s="33" t="str">
        <f ca="1">QUOTIENT(SUMPRODUCT(LEFT($AE108:$AF108,FIND("년",$AE108:$AF108)-1)*12+MID($AE108:$AF108,FIND("년",$AE108:$AF108)+1,FIND("개월",$AE108:$AF108)-FIND("년",$AE108:$AF108)-1)),12)&amp;"년"&amp;MOD(SUMPRODUCT(LEFT($AE108:$AF108,FIND("년",$AE108:$AF108)-1)*12+MID($AE108:$AF108,FIND("년",$AE108:$AF108)+1,FIND("개월",$AE108:$AF108)-FIND("년",$AE108:$AF108)-1)),12)&amp;"개월"</f>
        <v>1년8개월</v>
      </c>
      <c r="AE108" s="33" t="s">
        <v>543</v>
      </c>
      <c r="AF108" s="34" t="str">
        <f ca="1">DATEDIF($L108,TODAY(),"y")&amp;"년"&amp;DATEDIF($L108,TODAY(),"ym")&amp;"개월"</f>
        <v>1년8개월</v>
      </c>
      <c r="AG108" s="35" t="s">
        <v>1466</v>
      </c>
      <c r="AH108" s="35" t="s">
        <v>1467</v>
      </c>
      <c r="AI108" s="30" t="s">
        <v>270</v>
      </c>
      <c r="AJ108" s="32">
        <v>43881</v>
      </c>
      <c r="AK108" s="36">
        <f ca="1">VALUE(LEFT($AD108,FIND("년",$AD108)-1))</f>
        <v>1</v>
      </c>
      <c r="AL108" s="31" t="str">
        <f ca="1">IF($AI108="학사",IF($AK108&lt;=5,"초급",IF($AK108&lt;9,"중급",IF($AK108&lt;12,"고급",IF($AK108&gt;=12,"특급")))))</f>
        <v>초급</v>
      </c>
      <c r="AM108" s="31" t="str">
        <f>IF(ISNUMBER(SEARCH("산업기사",$AT108)),IF($AK108&gt;=13,"특급",IF($AK108&gt;=10,"고급",IF($AK108&gt;=7,"중급","초급"))),IF(ISNUMBER(SEARCH("기사",$AR108)),IF($AK108&gt;=10,"특급",IF($AK108&gt;=7,"고급",IF($AK108&gt;=4,"중급","초급"))),"미해당"))</f>
        <v>미해당</v>
      </c>
      <c r="AN108" s="27"/>
      <c r="AO108" s="32"/>
      <c r="AP108" s="27"/>
      <c r="AQ108" s="32"/>
      <c r="AR108" s="27"/>
      <c r="AS108" s="27"/>
      <c r="AT108" s="37"/>
      <c r="AU108" s="27"/>
      <c r="AV108" s="38"/>
      <c r="AW108" s="39"/>
      <c r="AX108" s="39"/>
      <c r="AY108" s="40" t="s">
        <v>251</v>
      </c>
      <c r="AZ108" s="41" t="s">
        <v>252</v>
      </c>
      <c r="BA108" s="30" t="s">
        <v>230</v>
      </c>
      <c r="BB108" s="30" t="s">
        <v>1468</v>
      </c>
      <c r="BC108" s="42" t="s">
        <v>275</v>
      </c>
      <c r="BD108" s="42" t="s">
        <v>1469</v>
      </c>
      <c r="BE108" s="43" t="s">
        <v>1470</v>
      </c>
      <c r="BF108" s="42" t="s">
        <v>234</v>
      </c>
      <c r="BG108" s="42" t="s">
        <v>1471</v>
      </c>
      <c r="BH108" s="35"/>
      <c r="BI108" s="44" t="s">
        <v>1472</v>
      </c>
      <c r="BJ108" s="45" t="str">
        <f>IFERROR(VLOOKUP($BG108,[1]프로젝트현황!Y:Z,2,0),"기타")</f>
        <v>서남권</v>
      </c>
      <c r="BK108" s="46" t="str">
        <f>(IF(BF108="","",BF108&amp;" "))&amp;(IF(BG108="","",BG108&amp;" "))&amp;(IF(BH108="","",BH108&amp;" "))&amp;BI108</f>
        <v>경기도 평택시 송일로37번길 28, 201호</v>
      </c>
      <c r="BL108" s="47">
        <v>30</v>
      </c>
      <c r="BM108" s="47">
        <v>30</v>
      </c>
      <c r="BN108" s="48">
        <v>28000000</v>
      </c>
      <c r="BO108" s="48">
        <f>BP108*12</f>
        <v>28000101.599999998</v>
      </c>
      <c r="BP108" s="49">
        <f>SUM(BQ108:BS108)</f>
        <v>2333341.7999999998</v>
      </c>
      <c r="BQ108" s="49">
        <f>ROUNDUP(BN108/12*209/(209+BU108*1.5)/BL108*BM108,-1)-BS108</f>
        <v>1962610</v>
      </c>
      <c r="BR108" s="49">
        <f>ROUNDUP(BN108/12*(BU108*1.5)/(209+BU108*1.5)/BL108*BM108,1)</f>
        <v>170731.80000000002</v>
      </c>
      <c r="BS108" s="49">
        <v>200000</v>
      </c>
      <c r="BT108" s="50">
        <v>209</v>
      </c>
      <c r="BU108" s="49">
        <f>IF($BN108="","",
IFERROR(
    IF($BN108&lt;'[1]시간외시간 기준표'!$B$2,0,
        IF($BN108&gt;LOOKUP(9.9E+307,'[1]시간외시간 기준표'!$B$2:$B$999),
            LOOKUP(9.9E+307,'[1]시간외시간 기준표'!$C$2:$C$999),
            LOOKUP($BN108,'[1]시간외시간 기준표'!$B$2:$B$999,'[1]시간외시간 기준표'!$C$2:$C$999)
        )
    ),0)
)</f>
        <v>11</v>
      </c>
      <c r="BV108" s="50">
        <f>(BQ108+BS108)/209</f>
        <v>10347.416267942584</v>
      </c>
      <c r="BW108" s="51">
        <v>30</v>
      </c>
      <c r="BX108" s="51">
        <v>30</v>
      </c>
      <c r="BY108" s="52">
        <v>28000000</v>
      </c>
      <c r="BZ108" s="52">
        <f>CA108*12</f>
        <v>28000102.799999997</v>
      </c>
      <c r="CA108" s="49">
        <f>SUM(CB108:CD108)</f>
        <v>2333341.9</v>
      </c>
      <c r="CB108" s="49">
        <f>ROUNDUP(BY108/12*209/(209+CF108*1.5)/BW108*BX108,-1)-CD108</f>
        <v>1906560</v>
      </c>
      <c r="CC108" s="49">
        <f>ROUNDUP(BY108/12*(CF108*1.5)/(209+CF108*1.5)/BW108*BX108,1)</f>
        <v>226781.9</v>
      </c>
      <c r="CD108" s="49">
        <v>200000</v>
      </c>
      <c r="CE108" s="50">
        <v>209</v>
      </c>
      <c r="CF108" s="49">
        <f>IF(BY108&lt;26000000,0,IF(BY108&lt;26500000,4,IF(BY108&lt;27000000,7,IF(BY108&lt;27500000,9,IF(BY108&lt;28000000,11,IF(BY108&lt;28500000,15,IF(BY108&lt;29000000,17,IF(BY108&lt;29500000,20,IF(BY108&lt;30000000,23,IF(BY108&lt;30500000,25,IF(BY108&lt;31000000,27,IF(BY108&lt;31500000,29,IF(BY108&lt;32000000,33,IF(BY108&lt;32500000,37,IF(BY108&lt;33000000,39,IF(BY108&lt;33500000,42,IF(BY108&lt;34000000,45,IF(BY108&lt;34500000,48,IF(BY108&lt;35000000,52,52)))))))))))))))))))</f>
        <v>15</v>
      </c>
      <c r="CG108" s="50">
        <f>(CB108+CD108)/209</f>
        <v>10079.234449760766</v>
      </c>
      <c r="CH108" s="51">
        <v>30</v>
      </c>
      <c r="CI108" s="51">
        <v>30</v>
      </c>
      <c r="CJ108" s="52">
        <v>28000000</v>
      </c>
      <c r="CK108" s="52">
        <f>CL108*12</f>
        <v>28000102.799999997</v>
      </c>
      <c r="CL108" s="49">
        <f>SUM(CM108:CO108)</f>
        <v>2333341.9</v>
      </c>
      <c r="CM108" s="49">
        <f>ROUNDUP(CJ108/12*209/(209+CQ108*1.5)/CH108*CI108,-1)-CO108</f>
        <v>1906560</v>
      </c>
      <c r="CN108" s="49">
        <f>ROUNDUP(CJ108/12*(CQ108*1.5)/(209+CQ108*1.5)/CH108*CI108,1)</f>
        <v>226781.9</v>
      </c>
      <c r="CO108" s="50">
        <v>200000</v>
      </c>
      <c r="CP108" s="50">
        <v>209</v>
      </c>
      <c r="CQ108" s="50">
        <f>IF(CJ108&lt;26000000,0,IF(CJ108&lt;26500000,4,IF(CJ108&lt;27000000,7,IF(CJ108&lt;27500000,9,IF(CJ108&lt;28000000,11,IF(CJ108&lt;28500000,15,IF(CJ108&lt;29000000,17,IF(CJ108&lt;29500000,20,IF(CJ108&lt;30000000,23,IF(CJ108&lt;30500000,25,IF(CJ108&lt;31000000,27,IF(CJ108&lt;31500000,29,IF(CJ108&lt;32000000,33,IF(CJ108&lt;32500000,37,IF(CJ108&lt;33000000,39,IF(CJ108&lt;33500000,42,IF(CJ108&lt;34000000,45,IF(CJ108&lt;34500000,48,IF(CJ108&lt;35000000,52,52)))))))))))))))))))</f>
        <v>15</v>
      </c>
      <c r="CR108" s="50">
        <f>(CM108+CO108)/209</f>
        <v>10079.234449760766</v>
      </c>
      <c r="CS108" s="52"/>
      <c r="CT108" s="53"/>
      <c r="CU108" s="53"/>
      <c r="CV108" s="53"/>
      <c r="CW108" s="54"/>
      <c r="CX108" s="54"/>
      <c r="CY108" s="54"/>
      <c r="CZ108" s="55"/>
      <c r="DA108" s="55"/>
      <c r="DB108" s="56"/>
      <c r="DC108" s="57"/>
      <c r="DD108" s="58"/>
      <c r="DE108" s="58"/>
      <c r="DF108" s="57"/>
      <c r="DG108" s="59">
        <f>B108</f>
        <v>240508</v>
      </c>
      <c r="DH108" s="58"/>
      <c r="DI108" s="58"/>
      <c r="DJ108" s="60"/>
      <c r="DK108" s="58"/>
      <c r="DL108" s="61"/>
      <c r="DM108" s="24"/>
    </row>
    <row r="109" spans="1:117" ht="15" customHeight="1">
      <c r="A109" s="25">
        <f>ROW()-2</f>
        <v>107</v>
      </c>
      <c r="B109" s="26">
        <v>240701</v>
      </c>
      <c r="C109" s="27" t="s">
        <v>1473</v>
      </c>
      <c r="D109" s="27"/>
      <c r="E109" s="27" t="s">
        <v>239</v>
      </c>
      <c r="F109" s="27" t="s">
        <v>196</v>
      </c>
      <c r="G109" s="27" t="s">
        <v>240</v>
      </c>
      <c r="H109" s="27" t="s">
        <v>260</v>
      </c>
      <c r="I109" s="27" t="s">
        <v>709</v>
      </c>
      <c r="J109" s="27" t="str">
        <f>+VLOOKUP($I109,[1]프로젝트현황!$I:$N,5,0)</f>
        <v>서울시</v>
      </c>
      <c r="K109" s="27" t="str">
        <f>+VLOOKUP($I109,[1]프로젝트현황!$I:$N,6,0)</f>
        <v>강남구</v>
      </c>
      <c r="L109" s="28">
        <v>45474</v>
      </c>
      <c r="M109" s="28">
        <v>45474</v>
      </c>
      <c r="N109" s="28"/>
      <c r="O109" s="29"/>
      <c r="P109" s="30" t="s">
        <v>1474</v>
      </c>
      <c r="Q109" s="27" t="s">
        <v>1475</v>
      </c>
      <c r="R109" s="31" t="str">
        <f>LEFT(Q109,6)</f>
        <v>920206</v>
      </c>
      <c r="S109" s="31" t="str">
        <f>MID($Q109,3,2)</f>
        <v>02</v>
      </c>
      <c r="T109" s="31" t="str">
        <f>IF(OR(MID($Q109,8,1)="1",MID($Q109,8,1)="3"),"남자",IF(OR(MID($Q109,8,1)="2",MID($Q109,8,1)="4"),"여자",""))</f>
        <v>남자</v>
      </c>
      <c r="U109" s="31">
        <f ca="1">YEAR(TODAY())-IF(OR(MID($Q109,8,1)="1",MID($Q109,8,1)="2"),19&amp;LEFT($Q109,2),IF(OR(MID($Q109,8,1)="3",MID($Q109,8,1)="4"),20&amp;LEFT($Q109,2),""))+1</f>
        <v>35</v>
      </c>
      <c r="V109" s="31" t="s">
        <v>200</v>
      </c>
      <c r="W109" s="31" t="s">
        <v>201</v>
      </c>
      <c r="X109" s="27" t="s">
        <v>1476</v>
      </c>
      <c r="Y109" s="27"/>
      <c r="Z109" s="27"/>
      <c r="AA109" s="32"/>
      <c r="AB109" s="31" t="s">
        <v>203</v>
      </c>
      <c r="AC109" s="27"/>
      <c r="AD109" s="33" t="str">
        <f ca="1">QUOTIENT(SUMPRODUCT(LEFT($AE109:$AF109,FIND("년",$AE109:$AF109)-1)*12+MID($AE109:$AF109,FIND("년",$AE109:$AF109)+1,FIND("개월",$AE109:$AF109)-FIND("년",$AE109:$AF109)-1)),12)&amp;"년"&amp;MOD(SUMPRODUCT(LEFT($AE109:$AF109,FIND("년",$AE109:$AF109)-1)*12+MID($AE109:$AF109,FIND("년",$AE109:$AF109)+1,FIND("개월",$AE109:$AF109)-FIND("년",$AE109:$AF109)-1)),12)&amp;"개월"</f>
        <v>8년3개월</v>
      </c>
      <c r="AE109" s="33" t="s">
        <v>1477</v>
      </c>
      <c r="AF109" s="34" t="str">
        <f ca="1">DATEDIF($L109,TODAY(),"y")&amp;"년"&amp;DATEDIF($L109,TODAY(),"ym")&amp;"개월"</f>
        <v>1년7개월</v>
      </c>
      <c r="AG109" s="35" t="s">
        <v>349</v>
      </c>
      <c r="AH109" s="35" t="s">
        <v>1478</v>
      </c>
      <c r="AI109" s="30" t="s">
        <v>205</v>
      </c>
      <c r="AJ109" s="32">
        <v>42419</v>
      </c>
      <c r="AK109" s="36">
        <f ca="1">VALUE(LEFT($AD109,FIND("년",$AD109)-1))</f>
        <v>8</v>
      </c>
      <c r="AL109" s="31" t="str">
        <f ca="1">IF($AI109="전문학사",IF($AK109&lt;=8,"초급",IF($AK109&lt;12,"중급",IF($AK109&lt;15,"고급",IF($AK109&gt;=15,"특급")))))</f>
        <v>초급</v>
      </c>
      <c r="AM109" s="31" t="str">
        <f>IF(ISNUMBER(SEARCH("산업기사",$AT109)),IF($AK109&gt;=13,"특급",IF($AK109&gt;=10,"고급",IF($AK109&gt;=7,"중급","초급"))),IF(ISNUMBER(SEARCH("기사",$AR109)),IF($AK109&gt;=10,"특급",IF($AK109&gt;=7,"고급",IF($AK109&gt;=4,"중급","초급"))),"미해당"))</f>
        <v>미해당</v>
      </c>
      <c r="AN109" s="27"/>
      <c r="AO109" s="32"/>
      <c r="AP109" s="27" t="s">
        <v>137</v>
      </c>
      <c r="AQ109" s="32">
        <v>42990</v>
      </c>
      <c r="AR109" s="27"/>
      <c r="AS109" s="27"/>
      <c r="AT109" s="37"/>
      <c r="AU109" s="27"/>
      <c r="AV109" s="38"/>
      <c r="AW109" s="39"/>
      <c r="AX109" s="39"/>
      <c r="AY109" s="40" t="s">
        <v>251</v>
      </c>
      <c r="AZ109" s="41" t="s">
        <v>252</v>
      </c>
      <c r="BA109" s="30" t="s">
        <v>230</v>
      </c>
      <c r="BB109" s="30" t="s">
        <v>1479</v>
      </c>
      <c r="BC109" s="42"/>
      <c r="BD109" s="42"/>
      <c r="BE109" s="43" t="s">
        <v>1480</v>
      </c>
      <c r="BF109" s="42" t="s">
        <v>234</v>
      </c>
      <c r="BG109" s="42" t="s">
        <v>1306</v>
      </c>
      <c r="BH109" s="35"/>
      <c r="BI109" s="44" t="s">
        <v>1481</v>
      </c>
      <c r="BJ109" s="45" t="str">
        <f>IFERROR(VLOOKUP($BG109,[1]프로젝트현황!Y:Z,2,0),"기타")</f>
        <v>동남권</v>
      </c>
      <c r="BK109" s="46" t="str">
        <f>(IF(BF109="","",BF109&amp;" "))&amp;(IF(BG109="","",BG109&amp;" "))&amp;(IF(BH109="","",BH109&amp;" "))&amp;BI109</f>
        <v>경기도 하남시 신장로136번길 38, 지1층(덕풍동)</v>
      </c>
      <c r="BL109" s="47">
        <v>30</v>
      </c>
      <c r="BM109" s="47">
        <v>30</v>
      </c>
      <c r="BN109" s="48">
        <v>36400000</v>
      </c>
      <c r="BO109" s="48">
        <f>BP109*12</f>
        <v>36400083.599999994</v>
      </c>
      <c r="BP109" s="49">
        <f>SUM(BQ109:BS109)</f>
        <v>3033340.3</v>
      </c>
      <c r="BQ109" s="49">
        <f>ROUNDUP(BN109/12*209/(209+BU109*1.5)/BL109*BM109,-1)-BS109</f>
        <v>2008950</v>
      </c>
      <c r="BR109" s="49">
        <f>ROUNDUP(BN109/12*(BU109*1.5)/(209+BU109*1.5)/BL109*BM109,1)</f>
        <v>824390.29999999993</v>
      </c>
      <c r="BS109" s="49">
        <v>200000</v>
      </c>
      <c r="BT109" s="50">
        <v>209</v>
      </c>
      <c r="BU109" s="49">
        <f>IF($BN109="","",
IFERROR(
    IF($BN109&lt;'[1]시간외시간 기준표'!$B$2,0,
        IF($BN109&gt;LOOKUP(9.9E+307,'[1]시간외시간 기준표'!$B$2:$B$999),
            LOOKUP(9.9E+307,'[1]시간외시간 기준표'!$C$2:$C$999),
            LOOKUP($BN109,'[1]시간외시간 기준표'!$B$2:$B$999,'[1]시간외시간 기준표'!$C$2:$C$999)
        )
    ),0)
)</f>
        <v>52</v>
      </c>
      <c r="BV109" s="50">
        <f>(BQ109+BS109)/209</f>
        <v>10569.138755980861</v>
      </c>
      <c r="BW109" s="51">
        <v>30</v>
      </c>
      <c r="BX109" s="51">
        <v>30</v>
      </c>
      <c r="BY109" s="52">
        <v>36400000</v>
      </c>
      <c r="BZ109" s="52">
        <f>CA109*12</f>
        <v>36400083.599999994</v>
      </c>
      <c r="CA109" s="49">
        <f>SUM(CB109:CD109)</f>
        <v>3033340.3</v>
      </c>
      <c r="CB109" s="49">
        <f>ROUNDUP(BY109/12*209/(209+CF109*1.5)/BW109*BX109,-1)-CD109</f>
        <v>2008950</v>
      </c>
      <c r="CC109" s="49">
        <f>ROUNDUP(BY109/12*(CF109*1.5)/(209+CF109*1.5)/BW109*BX109,1)</f>
        <v>824390.29999999993</v>
      </c>
      <c r="CD109" s="49">
        <v>200000</v>
      </c>
      <c r="CE109" s="50">
        <v>209</v>
      </c>
      <c r="CF109" s="49">
        <f>IF(BY109&lt;26000000,0,IF(BY109&lt;26500000,4,IF(BY109&lt;27000000,7,IF(BY109&lt;27500000,9,IF(BY109&lt;28000000,11,IF(BY109&lt;28500000,15,IF(BY109&lt;29000000,17,IF(BY109&lt;29500000,20,IF(BY109&lt;30000000,23,IF(BY109&lt;30500000,25,IF(BY109&lt;31000000,27,IF(BY109&lt;31500000,29,IF(BY109&lt;32000000,33,IF(BY109&lt;32500000,37,IF(BY109&lt;33000000,39,IF(BY109&lt;33500000,42,IF(BY109&lt;34000000,45,IF(BY109&lt;34500000,48,IF(BY109&lt;35000000,52,52)))))))))))))))))))</f>
        <v>52</v>
      </c>
      <c r="CG109" s="50">
        <f>(CB109+CD109)/209</f>
        <v>10569.138755980861</v>
      </c>
      <c r="CH109" s="51">
        <v>30</v>
      </c>
      <c r="CI109" s="51">
        <v>30</v>
      </c>
      <c r="CJ109" s="52">
        <v>36000000</v>
      </c>
      <c r="CK109" s="52">
        <f>CL109*12</f>
        <v>36000013.200000003</v>
      </c>
      <c r="CL109" s="49">
        <f>SUM(CM109:CO109)</f>
        <v>3000001.1</v>
      </c>
      <c r="CM109" s="49">
        <f>ROUNDUP(CJ109/12*209/(209+CQ109*1.5)/CH109*CI109,-1)-CO109</f>
        <v>1984670</v>
      </c>
      <c r="CN109" s="49">
        <f>ROUNDUP(CJ109/12*(CQ109*1.5)/(209+CQ109*1.5)/CH109*CI109,1)</f>
        <v>815331.1</v>
      </c>
      <c r="CO109" s="50">
        <v>200000</v>
      </c>
      <c r="CP109" s="50">
        <v>209</v>
      </c>
      <c r="CQ109" s="50">
        <f>IF(CJ109&lt;26000000,0,IF(CJ109&lt;26500000,4,IF(CJ109&lt;27000000,7,IF(CJ109&lt;27500000,9,IF(CJ109&lt;28000000,11,IF(CJ109&lt;28500000,15,IF(CJ109&lt;29000000,17,IF(CJ109&lt;29500000,20,IF(CJ109&lt;30000000,23,IF(CJ109&lt;30500000,25,IF(CJ109&lt;31000000,27,IF(CJ109&lt;31500000,29,IF(CJ109&lt;32000000,33,IF(CJ109&lt;32500000,37,IF(CJ109&lt;33000000,39,IF(CJ109&lt;33500000,42,IF(CJ109&lt;34000000,45,IF(CJ109&lt;34500000,48,IF(CJ109&lt;35000000,52,52)))))))))))))))))))</f>
        <v>52</v>
      </c>
      <c r="CR109" s="50">
        <f>(CM109+CO109)/209</f>
        <v>10452.966507177034</v>
      </c>
      <c r="CS109" s="52"/>
      <c r="CT109" s="53"/>
      <c r="CU109" s="53"/>
      <c r="CV109" s="53"/>
      <c r="CW109" s="54"/>
      <c r="CX109" s="54"/>
      <c r="CY109" s="54"/>
      <c r="CZ109" s="55"/>
      <c r="DA109" s="55"/>
      <c r="DB109" s="56"/>
      <c r="DC109" s="57"/>
      <c r="DD109" s="58"/>
      <c r="DE109" s="58"/>
      <c r="DF109" s="57"/>
      <c r="DG109" s="59">
        <f>B109</f>
        <v>240701</v>
      </c>
      <c r="DH109" s="58"/>
      <c r="DI109" s="58"/>
      <c r="DJ109" s="60"/>
      <c r="DK109" s="58"/>
      <c r="DL109" s="61"/>
      <c r="DM109" s="24"/>
    </row>
    <row r="110" spans="1:117" ht="15" customHeight="1">
      <c r="A110" s="25">
        <f>ROW()-2</f>
        <v>108</v>
      </c>
      <c r="B110" s="26">
        <v>240703</v>
      </c>
      <c r="C110" s="27" t="s">
        <v>1482</v>
      </c>
      <c r="D110" s="27"/>
      <c r="E110" s="27" t="s">
        <v>239</v>
      </c>
      <c r="F110" s="27" t="s">
        <v>196</v>
      </c>
      <c r="G110" s="27" t="s">
        <v>240</v>
      </c>
      <c r="H110" s="27" t="s">
        <v>241</v>
      </c>
      <c r="I110" s="27" t="s">
        <v>675</v>
      </c>
      <c r="J110" s="27" t="str">
        <f>+VLOOKUP($I110,[1]프로젝트현황!$I:$N,5,0)</f>
        <v>경기도</v>
      </c>
      <c r="K110" s="27" t="str">
        <f>+VLOOKUP($I110,[1]프로젝트현황!$I:$N,6,0)</f>
        <v>성남시</v>
      </c>
      <c r="L110" s="28">
        <v>45474</v>
      </c>
      <c r="M110" s="28">
        <v>45474</v>
      </c>
      <c r="N110" s="28"/>
      <c r="O110" s="29"/>
      <c r="P110" s="30" t="s">
        <v>1483</v>
      </c>
      <c r="Q110" s="27" t="s">
        <v>1484</v>
      </c>
      <c r="R110" s="31" t="str">
        <f>LEFT(Q110,6)</f>
        <v>941007</v>
      </c>
      <c r="S110" s="31" t="str">
        <f>MID($Q110,3,2)</f>
        <v>10</v>
      </c>
      <c r="T110" s="31" t="str">
        <f>IF(OR(MID($Q110,8,1)="1",MID($Q110,8,1)="3"),"남자",IF(OR(MID($Q110,8,1)="2",MID($Q110,8,1)="4"),"여자",""))</f>
        <v>남자</v>
      </c>
      <c r="U110" s="31">
        <f ca="1">YEAR(TODAY())-IF(OR(MID($Q110,8,1)="1",MID($Q110,8,1)="2"),19&amp;LEFT($Q110,2),IF(OR(MID($Q110,8,1)="3",MID($Q110,8,1)="4"),20&amp;LEFT($Q110,2),""))+1</f>
        <v>33</v>
      </c>
      <c r="V110" s="31" t="s">
        <v>200</v>
      </c>
      <c r="W110" s="31" t="s">
        <v>201</v>
      </c>
      <c r="X110" s="27" t="s">
        <v>1485</v>
      </c>
      <c r="Y110" s="27"/>
      <c r="Z110" s="27"/>
      <c r="AA110" s="32"/>
      <c r="AB110" s="31" t="s">
        <v>203</v>
      </c>
      <c r="AC110" s="27"/>
      <c r="AD110" s="33" t="str">
        <f ca="1">QUOTIENT(SUMPRODUCT(LEFT($AE110:$AF110,FIND("년",$AE110:$AF110)-1)*12+MID($AE110:$AF110,FIND("년",$AE110:$AF110)+1,FIND("개월",$AE110:$AF110)-FIND("년",$AE110:$AF110)-1)),12)&amp;"년"&amp;MOD(SUMPRODUCT(LEFT($AE110:$AF110,FIND("년",$AE110:$AF110)-1)*12+MID($AE110:$AF110,FIND("년",$AE110:$AF110)+1,FIND("개월",$AE110:$AF110)-FIND("년",$AE110:$AF110)-1)),12)&amp;"개월"</f>
        <v>4년9개월</v>
      </c>
      <c r="AE110" s="33" t="s">
        <v>1486</v>
      </c>
      <c r="AF110" s="34" t="str">
        <f ca="1">DATEDIF($L110,TODAY(),"y")&amp;"년"&amp;DATEDIF($L110,TODAY(),"ym")&amp;"개월"</f>
        <v>1년7개월</v>
      </c>
      <c r="AG110" s="35" t="s">
        <v>246</v>
      </c>
      <c r="AH110" s="35" t="s">
        <v>1487</v>
      </c>
      <c r="AI110" s="30" t="s">
        <v>205</v>
      </c>
      <c r="AJ110" s="32">
        <v>42775</v>
      </c>
      <c r="AK110" s="36">
        <f ca="1">VALUE(LEFT($AD110,FIND("년",$AD110)-1))</f>
        <v>4</v>
      </c>
      <c r="AL110" s="31" t="str">
        <f ca="1">IF($AI110="전문학사",IF($AK110&lt;=8,"초급",IF($AK110&lt;12,"중급",IF($AK110&lt;15,"고급",IF($AK110&gt;=15,"특급")))))</f>
        <v>초급</v>
      </c>
      <c r="AM110" s="31" t="str">
        <f>IF(ISNUMBER(SEARCH("산업기사",$AT110)),IF($AK110&gt;=13,"특급",IF($AK110&gt;=10,"고급",IF($AK110&gt;=7,"중급","초급"))),IF(ISNUMBER(SEARCH("기사",$AR110)),IF($AK110&gt;=10,"특급",IF($AK110&gt;=7,"고급",IF($AK110&gt;=4,"중급","초급"))),"미해당"))</f>
        <v>미해당</v>
      </c>
      <c r="AN110" s="27"/>
      <c r="AO110" s="32"/>
      <c r="AP110" s="27" t="s">
        <v>137</v>
      </c>
      <c r="AQ110" s="32">
        <v>44798</v>
      </c>
      <c r="AR110" s="27"/>
      <c r="AS110" s="27"/>
      <c r="AT110" s="37"/>
      <c r="AU110" s="27"/>
      <c r="AV110" s="38"/>
      <c r="AW110" s="39"/>
      <c r="AX110" s="39"/>
      <c r="AY110" s="40" t="s">
        <v>251</v>
      </c>
      <c r="AZ110" s="41" t="s">
        <v>252</v>
      </c>
      <c r="BA110" s="30" t="s">
        <v>230</v>
      </c>
      <c r="BB110" s="30" t="s">
        <v>1488</v>
      </c>
      <c r="BC110" s="42"/>
      <c r="BD110" s="42"/>
      <c r="BE110" s="43" t="s">
        <v>1489</v>
      </c>
      <c r="BF110" s="42" t="s">
        <v>234</v>
      </c>
      <c r="BG110" s="42" t="s">
        <v>887</v>
      </c>
      <c r="BH110" s="35" t="s">
        <v>944</v>
      </c>
      <c r="BI110" s="44" t="s">
        <v>1490</v>
      </c>
      <c r="BJ110" s="45" t="str">
        <f>IFERROR(VLOOKUP($BG110,[1]프로젝트현황!Y:Z,2,0),"기타")</f>
        <v>동남권</v>
      </c>
      <c r="BK110" s="46" t="str">
        <f>(IF(BF110="","",BF110&amp;" "))&amp;(IF(BG110="","",BG110&amp;" "))&amp;(IF(BH110="","",BH110&amp;" "))&amp;BI110</f>
        <v>경기도 용인시 기흥구 강남동로20, 505동 601호(구갈동,강남마을코오롱하늘채)</v>
      </c>
      <c r="BL110" s="47">
        <v>30</v>
      </c>
      <c r="BM110" s="47">
        <v>30</v>
      </c>
      <c r="BN110" s="48">
        <v>32400000</v>
      </c>
      <c r="BO110" s="48">
        <f>BP110*12</f>
        <v>32400061.200000003</v>
      </c>
      <c r="BP110" s="49">
        <f>SUM(BQ110:BS110)</f>
        <v>2700005.1</v>
      </c>
      <c r="BQ110" s="49">
        <f>ROUNDUP(BN110/12*209/(209+BU110*1.5)/BL110*BM110,-1)-BS110</f>
        <v>1957940</v>
      </c>
      <c r="BR110" s="49">
        <f>ROUNDUP(BN110/12*(BU110*1.5)/(209+BU110*1.5)/BL110*BM110,1)</f>
        <v>542065.1</v>
      </c>
      <c r="BS110" s="49">
        <v>200000</v>
      </c>
      <c r="BT110" s="50">
        <v>209</v>
      </c>
      <c r="BU110" s="49">
        <f>IF($BN110="","",
IFERROR(
    IF($BN110&lt;'[1]시간외시간 기준표'!$B$2,0,
        IF($BN110&gt;LOOKUP(9.9E+307,'[1]시간외시간 기준표'!$B$2:$B$999),
            LOOKUP(9.9E+307,'[1]시간외시간 기준표'!$C$2:$C$999),
            LOOKUP($BN110,'[1]시간외시간 기준표'!$B$2:$B$999,'[1]시간외시간 기준표'!$C$2:$C$999)
        )
    ),0)
)</f>
        <v>35</v>
      </c>
      <c r="BV110" s="50">
        <f>(BQ110+BS110)/209</f>
        <v>10325.071770334927</v>
      </c>
      <c r="BW110" s="51">
        <v>30</v>
      </c>
      <c r="BX110" s="51">
        <v>30</v>
      </c>
      <c r="BY110" s="52">
        <v>32400000</v>
      </c>
      <c r="BZ110" s="52">
        <f>CA110*12</f>
        <v>32400008.400000002</v>
      </c>
      <c r="CA110" s="49">
        <f>SUM(CB110:CD110)</f>
        <v>2700000.7</v>
      </c>
      <c r="CB110" s="49">
        <f>ROUNDUP(BY110/12*209/(209+CF110*1.5)/BW110*BX110,-1)-CD110</f>
        <v>1933460</v>
      </c>
      <c r="CC110" s="49">
        <f>ROUNDUP(BY110/12*(CF110*1.5)/(209+CF110*1.5)/BW110*BX110,1)</f>
        <v>566540.69999999995</v>
      </c>
      <c r="CD110" s="49">
        <v>200000</v>
      </c>
      <c r="CE110" s="50">
        <v>209</v>
      </c>
      <c r="CF110" s="49">
        <f>IF(BY110&lt;26000000,0,IF(BY110&lt;26500000,4,IF(BY110&lt;27000000,7,IF(BY110&lt;27500000,9,IF(BY110&lt;28000000,11,IF(BY110&lt;28500000,15,IF(BY110&lt;29000000,17,IF(BY110&lt;29500000,20,IF(BY110&lt;30000000,23,IF(BY110&lt;30500000,25,IF(BY110&lt;31000000,27,IF(BY110&lt;31500000,29,IF(BY110&lt;32000000,33,IF(BY110&lt;32500000,37,IF(BY110&lt;33000000,39,IF(BY110&lt;33500000,42,IF(BY110&lt;34000000,45,IF(BY110&lt;34500000,48,IF(BY110&lt;35000000,52,52)))))))))))))))))))</f>
        <v>37</v>
      </c>
      <c r="CG110" s="50">
        <f>(CB110+CD110)/209</f>
        <v>10207.942583732058</v>
      </c>
      <c r="CH110" s="51">
        <v>30</v>
      </c>
      <c r="CI110" s="51">
        <v>30</v>
      </c>
      <c r="CJ110" s="52">
        <v>32000000</v>
      </c>
      <c r="CK110" s="52">
        <f>CL110*12</f>
        <v>32000116.799999997</v>
      </c>
      <c r="CL110" s="49">
        <f>SUM(CM110:CO110)</f>
        <v>2666676.4</v>
      </c>
      <c r="CM110" s="49">
        <f>ROUNDUP(CJ110/12*209/(209+CQ110*1.5)/CH110*CI110,-1)-CO110</f>
        <v>1907130</v>
      </c>
      <c r="CN110" s="49">
        <f>ROUNDUP(CJ110/12*(CQ110*1.5)/(209+CQ110*1.5)/CH110*CI110,1)</f>
        <v>559546.4</v>
      </c>
      <c r="CO110" s="50">
        <v>200000</v>
      </c>
      <c r="CP110" s="50">
        <v>209</v>
      </c>
      <c r="CQ110" s="50">
        <f>IF(CJ110&lt;26000000,0,IF(CJ110&lt;26500000,4,IF(CJ110&lt;27000000,7,IF(CJ110&lt;27500000,9,IF(CJ110&lt;28000000,11,IF(CJ110&lt;28500000,15,IF(CJ110&lt;29000000,17,IF(CJ110&lt;29500000,20,IF(CJ110&lt;30000000,23,IF(CJ110&lt;30500000,25,IF(CJ110&lt;31000000,27,IF(CJ110&lt;31500000,29,IF(CJ110&lt;32000000,33,IF(CJ110&lt;32500000,37,IF(CJ110&lt;33000000,39,IF(CJ110&lt;33500000,42,IF(CJ110&lt;34000000,45,IF(CJ110&lt;34500000,48,IF(CJ110&lt;35000000,52,52)))))))))))))))))))</f>
        <v>37</v>
      </c>
      <c r="CR110" s="50">
        <f>(CM110+CO110)/209</f>
        <v>10081.961722488039</v>
      </c>
      <c r="CS110" s="52"/>
      <c r="CT110" s="53"/>
      <c r="CU110" s="53"/>
      <c r="CV110" s="53"/>
      <c r="CW110" s="54"/>
      <c r="CX110" s="54"/>
      <c r="CY110" s="54"/>
      <c r="CZ110" s="55"/>
      <c r="DA110" s="55"/>
      <c r="DB110" s="56"/>
      <c r="DC110" s="57"/>
      <c r="DD110" s="58"/>
      <c r="DE110" s="58"/>
      <c r="DF110" s="57"/>
      <c r="DG110" s="59">
        <f>B110</f>
        <v>240703</v>
      </c>
      <c r="DH110" s="58"/>
      <c r="DI110" s="58"/>
      <c r="DJ110" s="60"/>
      <c r="DK110" s="58"/>
      <c r="DL110" s="61"/>
      <c r="DM110" s="24"/>
    </row>
    <row r="111" spans="1:117" ht="15" customHeight="1">
      <c r="A111" s="25">
        <f>ROW()-2</f>
        <v>109</v>
      </c>
      <c r="B111" s="26">
        <v>240704</v>
      </c>
      <c r="C111" s="27" t="s">
        <v>1491</v>
      </c>
      <c r="D111" s="27" t="s">
        <v>282</v>
      </c>
      <c r="E111" s="27" t="s">
        <v>239</v>
      </c>
      <c r="F111" s="27" t="s">
        <v>196</v>
      </c>
      <c r="G111" s="27" t="s">
        <v>240</v>
      </c>
      <c r="H111" s="27" t="s">
        <v>241</v>
      </c>
      <c r="I111" s="27" t="s">
        <v>675</v>
      </c>
      <c r="J111" s="27" t="str">
        <f>+VLOOKUP($I111,[1]프로젝트현황!$I:$N,5,0)</f>
        <v>경기도</v>
      </c>
      <c r="K111" s="27" t="str">
        <f>+VLOOKUP($I111,[1]프로젝트현황!$I:$N,6,0)</f>
        <v>성남시</v>
      </c>
      <c r="L111" s="28">
        <v>45474</v>
      </c>
      <c r="M111" s="28">
        <v>45474</v>
      </c>
      <c r="N111" s="28"/>
      <c r="O111" s="29"/>
      <c r="P111" s="30" t="s">
        <v>1492</v>
      </c>
      <c r="Q111" s="27" t="s">
        <v>1493</v>
      </c>
      <c r="R111" s="31" t="str">
        <f>LEFT(Q111,6)</f>
        <v>980814</v>
      </c>
      <c r="S111" s="31" t="str">
        <f>MID($Q111,3,2)</f>
        <v>08</v>
      </c>
      <c r="T111" s="31" t="str">
        <f>IF(OR(MID($Q111,8,1)="1",MID($Q111,8,1)="3"),"남자",IF(OR(MID($Q111,8,1)="2",MID($Q111,8,1)="4"),"여자",""))</f>
        <v>여자</v>
      </c>
      <c r="U111" s="31">
        <f ca="1">YEAR(TODAY())-IF(OR(MID($Q111,8,1)="1",MID($Q111,8,1)="2"),19&amp;LEFT($Q111,2),IF(OR(MID($Q111,8,1)="3",MID($Q111,8,1)="4"),20&amp;LEFT($Q111,2),""))+1</f>
        <v>29</v>
      </c>
      <c r="V111" s="31" t="s">
        <v>200</v>
      </c>
      <c r="W111" s="31" t="s">
        <v>201</v>
      </c>
      <c r="X111" s="27" t="s">
        <v>1494</v>
      </c>
      <c r="Y111" s="27"/>
      <c r="Z111" s="27"/>
      <c r="AA111" s="32"/>
      <c r="AB111" s="31" t="s">
        <v>203</v>
      </c>
      <c r="AC111" s="27"/>
      <c r="AD111" s="33" t="str">
        <f ca="1">QUOTIENT(SUMPRODUCT(LEFT($AE111:$AF111,FIND("년",$AE111:$AF111)-1)*12+MID($AE111:$AF111,FIND("년",$AE111:$AF111)+1,FIND("개월",$AE111:$AF111)-FIND("년",$AE111:$AF111)-1)),12)&amp;"년"&amp;MOD(SUMPRODUCT(LEFT($AE111:$AF111,FIND("년",$AE111:$AF111)-1)*12+MID($AE111:$AF111,FIND("년",$AE111:$AF111)+1,FIND("개월",$AE111:$AF111)-FIND("년",$AE111:$AF111)-1)),12)&amp;"개월"</f>
        <v>3년8개월</v>
      </c>
      <c r="AE111" s="33" t="s">
        <v>1495</v>
      </c>
      <c r="AF111" s="34" t="str">
        <f ca="1">DATEDIF($L111,TODAY(),"y")&amp;"년"&amp;DATEDIF($L111,TODAY(),"ym")&amp;"개월"</f>
        <v>1년7개월</v>
      </c>
      <c r="AG111" s="35" t="s">
        <v>882</v>
      </c>
      <c r="AH111" s="35" t="s">
        <v>1496</v>
      </c>
      <c r="AI111" s="30" t="s">
        <v>270</v>
      </c>
      <c r="AJ111" s="32">
        <v>44602</v>
      </c>
      <c r="AK111" s="36">
        <f ca="1">VALUE(LEFT($AD111,FIND("년",$AD111)-1))</f>
        <v>3</v>
      </c>
      <c r="AL111" s="31" t="str">
        <f ca="1">IF($AI111="학사",IF($AK111&lt;=5,"초급",IF($AK111&lt;9,"중급",IF($AK111&lt;12,"고급",IF($AK111&gt;=12,"특급")))))</f>
        <v>초급</v>
      </c>
      <c r="AM111" s="31" t="str">
        <f>IF(ISNUMBER(SEARCH("산업기사",$AT111)),IF($AK111&gt;=13,"특급",IF($AK111&gt;=10,"고급",IF($AK111&gt;=7,"중급","초급"))),IF(ISNUMBER(SEARCH("기사",$AR111)),IF($AK111&gt;=10,"특급",IF($AK111&gt;=7,"고급",IF($AK111&gt;=4,"중급","초급"))),"미해당"))</f>
        <v>미해당</v>
      </c>
      <c r="AN111" s="27"/>
      <c r="AO111" s="32"/>
      <c r="AP111" s="27"/>
      <c r="AQ111" s="32"/>
      <c r="AR111" s="27"/>
      <c r="AS111" s="27"/>
      <c r="AT111" s="37"/>
      <c r="AU111" s="27"/>
      <c r="AV111" s="38"/>
      <c r="AW111" s="39"/>
      <c r="AX111" s="39"/>
      <c r="AY111" s="40" t="s">
        <v>251</v>
      </c>
      <c r="AZ111" s="41" t="s">
        <v>252</v>
      </c>
      <c r="BA111" s="30" t="s">
        <v>230</v>
      </c>
      <c r="BB111" s="30" t="s">
        <v>1497</v>
      </c>
      <c r="BC111" s="42"/>
      <c r="BD111" s="42"/>
      <c r="BE111" s="43" t="s">
        <v>1498</v>
      </c>
      <c r="BF111" s="42" t="s">
        <v>211</v>
      </c>
      <c r="BG111" s="42" t="s">
        <v>610</v>
      </c>
      <c r="BH111" s="35"/>
      <c r="BI111" s="44" t="s">
        <v>1499</v>
      </c>
      <c r="BJ111" s="45" t="str">
        <f>IFERROR(VLOOKUP($BG111,[1]프로젝트현황!Y:Z,2,0),"기타")</f>
        <v>동북권</v>
      </c>
      <c r="BK111" s="46" t="str">
        <f>(IF(BF111="","",BF111&amp;" "))&amp;(IF(BG111="","",BG111&amp;" "))&amp;(IF(BH111="","",BH111&amp;" "))&amp;BI111</f>
        <v>서울시 성동구 독서당로62길 43,10동 1304호(응봉동,대림아파트)</v>
      </c>
      <c r="BL111" s="47">
        <v>30</v>
      </c>
      <c r="BM111" s="47">
        <v>30</v>
      </c>
      <c r="BN111" s="48">
        <v>32750000</v>
      </c>
      <c r="BO111" s="48">
        <f>BP111*12</f>
        <v>32750055.599999998</v>
      </c>
      <c r="BP111" s="49">
        <f>SUM(BQ111:BS111)</f>
        <v>2729171.3</v>
      </c>
      <c r="BQ111" s="49">
        <f>ROUNDUP(BN111/12*209/(209+BU111*1.5)/BL111*BM111,-1)-BS111</f>
        <v>1968810</v>
      </c>
      <c r="BR111" s="49">
        <f>ROUNDUP(BN111/12*(BU111*1.5)/(209+BU111*1.5)/BL111*BM111,1)</f>
        <v>560361.29999999993</v>
      </c>
      <c r="BS111" s="49">
        <v>200000</v>
      </c>
      <c r="BT111" s="50">
        <v>209</v>
      </c>
      <c r="BU111" s="49">
        <f>IF($BN111="","",
IFERROR(
    IF($BN111&lt;'[1]시간외시간 기준표'!$B$2,0,
        IF($BN111&gt;LOOKUP(9.9E+307,'[1]시간외시간 기준표'!$B$2:$B$999),
            LOOKUP(9.9E+307,'[1]시간외시간 기준표'!$C$2:$C$999),
            LOOKUP($BN111,'[1]시간외시간 기준표'!$B$2:$B$999,'[1]시간외시간 기준표'!$C$2:$C$999)
        )
    ),0)
)</f>
        <v>36</v>
      </c>
      <c r="BV111" s="50">
        <f>(BQ111+BS111)/209</f>
        <v>10377.081339712919</v>
      </c>
      <c r="BW111" s="51">
        <v>30</v>
      </c>
      <c r="BX111" s="51">
        <v>30</v>
      </c>
      <c r="BY111" s="52">
        <v>32750000</v>
      </c>
      <c r="BZ111" s="52">
        <f>CA111*12</f>
        <v>32750109.599999998</v>
      </c>
      <c r="CA111" s="49">
        <f>SUM(CB111:CD111)</f>
        <v>2729175.8</v>
      </c>
      <c r="CB111" s="49">
        <f>ROUNDUP(BY111/12*209/(209+CF111*1.5)/BW111*BX111,-1)-CD111</f>
        <v>1932330</v>
      </c>
      <c r="CC111" s="49">
        <f>ROUNDUP(BY111/12*(CF111*1.5)/(209+CF111*1.5)/BW111*BX111,1)</f>
        <v>596845.79999999993</v>
      </c>
      <c r="CD111" s="49">
        <v>200000</v>
      </c>
      <c r="CE111" s="50">
        <v>209</v>
      </c>
      <c r="CF111" s="49">
        <f>IF(BY111&lt;26000000,0,IF(BY111&lt;26500000,4,IF(BY111&lt;27000000,7,IF(BY111&lt;27500000,9,IF(BY111&lt;28000000,11,IF(BY111&lt;28500000,15,IF(BY111&lt;29000000,17,IF(BY111&lt;29500000,20,IF(BY111&lt;30000000,23,IF(BY111&lt;30500000,25,IF(BY111&lt;31000000,27,IF(BY111&lt;31500000,29,IF(BY111&lt;32000000,33,IF(BY111&lt;32500000,37,IF(BY111&lt;33000000,39,IF(BY111&lt;33500000,42,IF(BY111&lt;34000000,45,IF(BY111&lt;34500000,48,IF(BY111&lt;35000000,52,52)))))))))))))))))))</f>
        <v>39</v>
      </c>
      <c r="CG111" s="50">
        <f>(CB111+CD111)/209</f>
        <v>10202.535885167465</v>
      </c>
      <c r="CH111" s="51">
        <v>30</v>
      </c>
      <c r="CI111" s="51">
        <v>30</v>
      </c>
      <c r="CJ111" s="52">
        <v>32000000</v>
      </c>
      <c r="CK111" s="52">
        <f>CL111*12</f>
        <v>32000116.799999997</v>
      </c>
      <c r="CL111" s="49">
        <f>SUM(CM111:CO111)</f>
        <v>2666676.4</v>
      </c>
      <c r="CM111" s="49">
        <f>ROUNDUP(CJ111/12*209/(209+CQ111*1.5)/CH111*CI111,-1)-CO111</f>
        <v>1907130</v>
      </c>
      <c r="CN111" s="49">
        <f>ROUNDUP(CJ111/12*(CQ111*1.5)/(209+CQ111*1.5)/CH111*CI111,1)</f>
        <v>559546.4</v>
      </c>
      <c r="CO111" s="50">
        <v>200000</v>
      </c>
      <c r="CP111" s="50">
        <v>209</v>
      </c>
      <c r="CQ111" s="50">
        <f>IF(CJ111&lt;26000000,0,IF(CJ111&lt;26500000,4,IF(CJ111&lt;27000000,7,IF(CJ111&lt;27500000,9,IF(CJ111&lt;28000000,11,IF(CJ111&lt;28500000,15,IF(CJ111&lt;29000000,17,IF(CJ111&lt;29500000,20,IF(CJ111&lt;30000000,23,IF(CJ111&lt;30500000,25,IF(CJ111&lt;31000000,27,IF(CJ111&lt;31500000,29,IF(CJ111&lt;32000000,33,IF(CJ111&lt;32500000,37,IF(CJ111&lt;33000000,39,IF(CJ111&lt;33500000,42,IF(CJ111&lt;34000000,45,IF(CJ111&lt;34500000,48,IF(CJ111&lt;35000000,52,52)))))))))))))))))))</f>
        <v>37</v>
      </c>
      <c r="CR111" s="50">
        <f>(CM111+CO111)/209</f>
        <v>10081.961722488039</v>
      </c>
      <c r="CS111" s="52"/>
      <c r="CT111" s="53"/>
      <c r="CU111" s="53"/>
      <c r="CV111" s="53"/>
      <c r="CW111" s="54"/>
      <c r="CX111" s="54"/>
      <c r="CY111" s="54"/>
      <c r="CZ111" s="55"/>
      <c r="DA111" s="55"/>
      <c r="DB111" s="56"/>
      <c r="DC111" s="57"/>
      <c r="DD111" s="58"/>
      <c r="DE111" s="58"/>
      <c r="DF111" s="57"/>
      <c r="DG111" s="59">
        <f>B111</f>
        <v>240704</v>
      </c>
      <c r="DH111" s="58"/>
      <c r="DI111" s="58"/>
      <c r="DJ111" s="60"/>
      <c r="DK111" s="58"/>
      <c r="DL111" s="61"/>
      <c r="DM111" s="63"/>
    </row>
    <row r="112" spans="1:117" ht="15" customHeight="1">
      <c r="A112" s="25">
        <f>ROW()-2</f>
        <v>110</v>
      </c>
      <c r="B112" s="26">
        <v>240705</v>
      </c>
      <c r="C112" s="27" t="s">
        <v>1500</v>
      </c>
      <c r="D112" s="27"/>
      <c r="E112" s="27" t="s">
        <v>613</v>
      </c>
      <c r="F112" s="27" t="s">
        <v>196</v>
      </c>
      <c r="G112" s="27" t="s">
        <v>240</v>
      </c>
      <c r="H112" s="27" t="s">
        <v>241</v>
      </c>
      <c r="I112" s="27" t="s">
        <v>675</v>
      </c>
      <c r="J112" s="27" t="str">
        <f>+VLOOKUP($I112,[1]프로젝트현황!$I:$N,5,0)</f>
        <v>경기도</v>
      </c>
      <c r="K112" s="27" t="str">
        <f>+VLOOKUP($I112,[1]프로젝트현황!$I:$N,6,0)</f>
        <v>성남시</v>
      </c>
      <c r="L112" s="28">
        <v>45474</v>
      </c>
      <c r="M112" s="28">
        <v>45474</v>
      </c>
      <c r="N112" s="28"/>
      <c r="O112" s="29"/>
      <c r="P112" s="30" t="s">
        <v>1501</v>
      </c>
      <c r="Q112" s="27" t="s">
        <v>1502</v>
      </c>
      <c r="R112" s="31" t="str">
        <f>LEFT(Q112,6)</f>
        <v>000601</v>
      </c>
      <c r="S112" s="31" t="str">
        <f>MID($Q112,3,2)</f>
        <v>06</v>
      </c>
      <c r="T112" s="31" t="str">
        <f>IF(OR(MID($Q112,8,1)="1",MID($Q112,8,1)="3"),"남자",IF(OR(MID($Q112,8,1)="2",MID($Q112,8,1)="4"),"여자",""))</f>
        <v>여자</v>
      </c>
      <c r="U112" s="31">
        <f ca="1">YEAR(TODAY())-IF(OR(MID($Q112,8,1)="1",MID($Q112,8,1)="2"),19&amp;LEFT($Q112,2),IF(OR(MID($Q112,8,1)="3",MID($Q112,8,1)="4"),20&amp;LEFT($Q112,2),""))+1</f>
        <v>27</v>
      </c>
      <c r="V112" s="31" t="s">
        <v>200</v>
      </c>
      <c r="W112" s="31" t="s">
        <v>201</v>
      </c>
      <c r="X112" s="27" t="s">
        <v>1503</v>
      </c>
      <c r="Y112" s="27"/>
      <c r="Z112" s="27"/>
      <c r="AA112" s="32"/>
      <c r="AB112" s="31" t="s">
        <v>203</v>
      </c>
      <c r="AC112" s="27"/>
      <c r="AD112" s="33" t="str">
        <f ca="1">QUOTIENT(SUMPRODUCT(LEFT($AE112:$AF112,FIND("년",$AE112:$AF112)-1)*12+MID($AE112:$AF112,FIND("년",$AE112:$AF112)+1,FIND("개월",$AE112:$AF112)-FIND("년",$AE112:$AF112)-1)),12)&amp;"년"&amp;MOD(SUMPRODUCT(LEFT($AE112:$AF112,FIND("년",$AE112:$AF112)-1)*12+MID($AE112:$AF112,FIND("년",$AE112:$AF112)+1,FIND("개월",$AE112:$AF112)-FIND("년",$AE112:$AF112)-1)),12)&amp;"개월"</f>
        <v>2년8개월</v>
      </c>
      <c r="AE112" s="33" t="s">
        <v>1504</v>
      </c>
      <c r="AF112" s="34" t="str">
        <f ca="1">DATEDIF($L112,TODAY(),"y")&amp;"년"&amp;DATEDIF($L112,TODAY(),"ym")&amp;"개월"</f>
        <v>1년7개월</v>
      </c>
      <c r="AG112" s="35" t="s">
        <v>1505</v>
      </c>
      <c r="AH112" s="35" t="s">
        <v>1478</v>
      </c>
      <c r="AI112" s="30" t="s">
        <v>205</v>
      </c>
      <c r="AJ112" s="32">
        <v>44973</v>
      </c>
      <c r="AK112" s="36">
        <f ca="1">VALUE(LEFT($AD112,FIND("년",$AD112)-1))</f>
        <v>2</v>
      </c>
      <c r="AL112" s="31" t="str">
        <f ca="1">IF($AI112="전문학사",IF($AK112&lt;=8,"초급",IF($AK112&lt;12,"중급",IF($AK112&lt;15,"고급",IF($AK112&gt;=15,"특급")))))</f>
        <v>초급</v>
      </c>
      <c r="AM112" s="31" t="str">
        <f>IF(ISNUMBER(SEARCH("산업기사",$AT112)),IF($AK112&gt;=13,"특급",IF($AK112&gt;=10,"고급",IF($AK112&gt;=7,"중급","초급"))),IF(ISNUMBER(SEARCH("기사",$AR112)),IF($AK112&gt;=10,"특급",IF($AK112&gt;=7,"고급",IF($AK112&gt;=4,"중급","초급"))),"미해당"))</f>
        <v>미해당</v>
      </c>
      <c r="AN112" s="27"/>
      <c r="AO112" s="32"/>
      <c r="AP112" s="27" t="s">
        <v>137</v>
      </c>
      <c r="AQ112" s="32">
        <v>44728</v>
      </c>
      <c r="AR112" s="27"/>
      <c r="AS112" s="27"/>
      <c r="AT112" s="37"/>
      <c r="AU112" s="27"/>
      <c r="AV112" s="38"/>
      <c r="AW112" s="39"/>
      <c r="AX112" s="39"/>
      <c r="AY112" s="40" t="s">
        <v>251</v>
      </c>
      <c r="AZ112" s="41" t="s">
        <v>252</v>
      </c>
      <c r="BA112" s="30" t="s">
        <v>230</v>
      </c>
      <c r="BB112" s="30" t="s">
        <v>1506</v>
      </c>
      <c r="BC112" s="42" t="s">
        <v>275</v>
      </c>
      <c r="BD112" s="42" t="s">
        <v>1507</v>
      </c>
      <c r="BE112" s="43" t="s">
        <v>1508</v>
      </c>
      <c r="BF112" s="42" t="s">
        <v>234</v>
      </c>
      <c r="BG112" s="42" t="s">
        <v>1509</v>
      </c>
      <c r="BH112" s="35"/>
      <c r="BI112" s="44" t="s">
        <v>1510</v>
      </c>
      <c r="BJ112" s="45" t="str">
        <f>IFERROR(VLOOKUP($BG112,[1]프로젝트현황!Y:Z,2,0),"기타")</f>
        <v>기타</v>
      </c>
      <c r="BK112" s="46" t="str">
        <f>(IF(BF112="","",BF112&amp;" "))&amp;(IF(BG112="","",BG112&amp;" "))&amp;(IF(BH112="","",BH112&amp;" "))&amp;BI112</f>
        <v>경기도 동두천시 동두천로 185, 504동 1002호(생연동,부영아파트)</v>
      </c>
      <c r="BL112" s="47">
        <v>30</v>
      </c>
      <c r="BM112" s="47">
        <v>30</v>
      </c>
      <c r="BN112" s="48">
        <v>29400000</v>
      </c>
      <c r="BO112" s="48">
        <f>BP112*12</f>
        <v>29400080.400000002</v>
      </c>
      <c r="BP112" s="49">
        <f>SUM(BQ112:BS112)</f>
        <v>2450006.7000000002</v>
      </c>
      <c r="BQ112" s="49">
        <f>ROUNDUP(BN112/12*209/(209+BU112*1.5)/BL112*BM112,-1)-BS112</f>
        <v>1969710</v>
      </c>
      <c r="BR112" s="49">
        <f>ROUNDUP(BN112/12*(BU112*1.5)/(209+BU112*1.5)/BL112*BM112,1)</f>
        <v>280296.69999999995</v>
      </c>
      <c r="BS112" s="49">
        <v>200000</v>
      </c>
      <c r="BT112" s="50">
        <v>209</v>
      </c>
      <c r="BU112" s="49">
        <f>IF($BN112="","",
IFERROR(
    IF($BN112&lt;'[1]시간외시간 기준표'!$B$2,0,
        IF($BN112&gt;LOOKUP(9.9E+307,'[1]시간외시간 기준표'!$B$2:$B$999),
            LOOKUP(9.9E+307,'[1]시간외시간 기준표'!$C$2:$C$999),
            LOOKUP($BN112,'[1]시간외시간 기준표'!$B$2:$B$999,'[1]시간외시간 기준표'!$C$2:$C$999)
        )
    ),0)
)</f>
        <v>18</v>
      </c>
      <c r="BV112" s="50">
        <f>(BQ112+BS112)/209</f>
        <v>10381.387559808612</v>
      </c>
      <c r="BW112" s="51">
        <v>30</v>
      </c>
      <c r="BX112" s="51">
        <v>30</v>
      </c>
      <c r="BY112" s="52">
        <v>29400000</v>
      </c>
      <c r="BZ112" s="52">
        <f>CA112*12</f>
        <v>29400016.799999997</v>
      </c>
      <c r="CA112" s="49">
        <f>SUM(CB112:CD112)</f>
        <v>2450001.4</v>
      </c>
      <c r="CB112" s="49">
        <f>ROUNDUP(BY112/12*209/(209+CF112*1.5)/BW112*BX112,-1)-CD112</f>
        <v>1942470</v>
      </c>
      <c r="CC112" s="49">
        <f>ROUNDUP(BY112/12*(CF112*1.5)/(209+CF112*1.5)/BW112*BX112,1)</f>
        <v>307531.39999999997</v>
      </c>
      <c r="CD112" s="49">
        <v>200000</v>
      </c>
      <c r="CE112" s="50">
        <v>209</v>
      </c>
      <c r="CF112" s="49">
        <f>IF(BY112&lt;26000000,0,IF(BY112&lt;26500000,4,IF(BY112&lt;27000000,7,IF(BY112&lt;27500000,9,IF(BY112&lt;28000000,11,IF(BY112&lt;28500000,15,IF(BY112&lt;29000000,17,IF(BY112&lt;29500000,20,IF(BY112&lt;30000000,23,IF(BY112&lt;30500000,25,IF(BY112&lt;31000000,27,IF(BY112&lt;31500000,29,IF(BY112&lt;32000000,33,IF(BY112&lt;32500000,37,IF(BY112&lt;33000000,39,IF(BY112&lt;33500000,42,IF(BY112&lt;34000000,45,IF(BY112&lt;34500000,48,IF(BY112&lt;35000000,52,52)))))))))))))))))))</f>
        <v>20</v>
      </c>
      <c r="CG112" s="50">
        <f>(CB112+CD112)/209</f>
        <v>10251.052631578947</v>
      </c>
      <c r="CH112" s="51">
        <v>30</v>
      </c>
      <c r="CI112" s="51">
        <v>30</v>
      </c>
      <c r="CJ112" s="52">
        <v>29000000</v>
      </c>
      <c r="CK112" s="52">
        <f>CL112*12</f>
        <v>29000007.599999998</v>
      </c>
      <c r="CL112" s="49">
        <f>SUM(CM112:CO112)</f>
        <v>2416667.2999999998</v>
      </c>
      <c r="CM112" s="49">
        <f>ROUNDUP(CJ112/12*209/(209+CQ112*1.5)/CH112*CI112,-1)-CO112</f>
        <v>1913320</v>
      </c>
      <c r="CN112" s="49">
        <f>ROUNDUP(CJ112/12*(CQ112*1.5)/(209+CQ112*1.5)/CH112*CI112,1)</f>
        <v>303347.3</v>
      </c>
      <c r="CO112" s="50">
        <v>200000</v>
      </c>
      <c r="CP112" s="50">
        <v>209</v>
      </c>
      <c r="CQ112" s="50">
        <f>IF(CJ112&lt;26000000,0,IF(CJ112&lt;26500000,4,IF(CJ112&lt;27000000,7,IF(CJ112&lt;27500000,9,IF(CJ112&lt;28000000,11,IF(CJ112&lt;28500000,15,IF(CJ112&lt;29000000,17,IF(CJ112&lt;29500000,20,IF(CJ112&lt;30000000,23,IF(CJ112&lt;30500000,25,IF(CJ112&lt;31000000,27,IF(CJ112&lt;31500000,29,IF(CJ112&lt;32000000,33,IF(CJ112&lt;32500000,37,IF(CJ112&lt;33000000,39,IF(CJ112&lt;33500000,42,IF(CJ112&lt;34000000,45,IF(CJ112&lt;34500000,48,IF(CJ112&lt;35000000,52,52)))))))))))))))))))</f>
        <v>20</v>
      </c>
      <c r="CR112" s="50">
        <f>(CM112+CO112)/209</f>
        <v>10111.578947368422</v>
      </c>
      <c r="CS112" s="52"/>
      <c r="CT112" s="53"/>
      <c r="CU112" s="53"/>
      <c r="CV112" s="53"/>
      <c r="CW112" s="54"/>
      <c r="CX112" s="54"/>
      <c r="CY112" s="54"/>
      <c r="CZ112" s="55"/>
      <c r="DA112" s="55"/>
      <c r="DB112" s="56"/>
      <c r="DC112" s="57"/>
      <c r="DD112" s="58"/>
      <c r="DE112" s="58"/>
      <c r="DF112" s="57"/>
      <c r="DG112" s="59">
        <f>B112</f>
        <v>240705</v>
      </c>
      <c r="DH112" s="58"/>
      <c r="DI112" s="58"/>
      <c r="DJ112" s="60"/>
      <c r="DK112" s="58"/>
      <c r="DL112" s="61"/>
      <c r="DM112" s="63"/>
    </row>
    <row r="113" spans="1:117" ht="15" customHeight="1">
      <c r="A113" s="25">
        <f>ROW()-2</f>
        <v>111</v>
      </c>
      <c r="B113" s="26">
        <v>240706</v>
      </c>
      <c r="C113" s="27" t="s">
        <v>1511</v>
      </c>
      <c r="D113" s="27"/>
      <c r="E113" s="27" t="s">
        <v>239</v>
      </c>
      <c r="F113" s="27" t="s">
        <v>196</v>
      </c>
      <c r="G113" s="27" t="s">
        <v>240</v>
      </c>
      <c r="H113" s="27" t="s">
        <v>241</v>
      </c>
      <c r="I113" s="27" t="s">
        <v>675</v>
      </c>
      <c r="J113" s="27" t="str">
        <f>+VLOOKUP($I113,[1]프로젝트현황!$I:$N,5,0)</f>
        <v>경기도</v>
      </c>
      <c r="K113" s="27" t="str">
        <f>+VLOOKUP($I113,[1]프로젝트현황!$I:$N,6,0)</f>
        <v>성남시</v>
      </c>
      <c r="L113" s="28">
        <v>45474</v>
      </c>
      <c r="M113" s="28">
        <v>45474</v>
      </c>
      <c r="N113" s="28"/>
      <c r="O113" s="29"/>
      <c r="P113" s="30" t="s">
        <v>1512</v>
      </c>
      <c r="Q113" s="27" t="s">
        <v>1513</v>
      </c>
      <c r="R113" s="31" t="str">
        <f>LEFT(Q113,6)</f>
        <v>900103</v>
      </c>
      <c r="S113" s="31" t="str">
        <f>MID($Q113,3,2)</f>
        <v>01</v>
      </c>
      <c r="T113" s="31" t="str">
        <f>IF(OR(MID($Q113,8,1)="1",MID($Q113,8,1)="3"),"남자",IF(OR(MID($Q113,8,1)="2",MID($Q113,8,1)="4"),"여자",""))</f>
        <v>남자</v>
      </c>
      <c r="U113" s="31">
        <f ca="1">YEAR(TODAY())-IF(OR(MID($Q113,8,1)="1",MID($Q113,8,1)="2"),19&amp;LEFT($Q113,2),IF(OR(MID($Q113,8,1)="3",MID($Q113,8,1)="4"),20&amp;LEFT($Q113,2),""))+1</f>
        <v>37</v>
      </c>
      <c r="V113" s="31" t="s">
        <v>200</v>
      </c>
      <c r="W113" s="31" t="s">
        <v>201</v>
      </c>
      <c r="X113" s="27" t="s">
        <v>1514</v>
      </c>
      <c r="Y113" s="27"/>
      <c r="Z113" s="27"/>
      <c r="AA113" s="32"/>
      <c r="AB113" s="31" t="s">
        <v>203</v>
      </c>
      <c r="AC113" s="27"/>
      <c r="AD113" s="33" t="str">
        <f ca="1">QUOTIENT(SUMPRODUCT(LEFT($AE113:$AF113,FIND("년",$AE113:$AF113)-1)*12+MID($AE113:$AF113,FIND("년",$AE113:$AF113)+1,FIND("개월",$AE113:$AF113)-FIND("년",$AE113:$AF113)-1)),12)&amp;"년"&amp;MOD(SUMPRODUCT(LEFT($AE113:$AF113,FIND("년",$AE113:$AF113)-1)*12+MID($AE113:$AF113,FIND("년",$AE113:$AF113)+1,FIND("개월",$AE113:$AF113)-FIND("년",$AE113:$AF113)-1)),12)&amp;"개월"</f>
        <v>4년11개월</v>
      </c>
      <c r="AE113" s="33" t="s">
        <v>1515</v>
      </c>
      <c r="AF113" s="34" t="str">
        <f ca="1">DATEDIF($L113,TODAY(),"y")&amp;"년"&amp;DATEDIF($L113,TODAY(),"ym")&amp;"개월"</f>
        <v>1년7개월</v>
      </c>
      <c r="AG113" s="35" t="s">
        <v>1516</v>
      </c>
      <c r="AH113" s="35" t="s">
        <v>1517</v>
      </c>
      <c r="AI113" s="30" t="s">
        <v>205</v>
      </c>
      <c r="AJ113" s="32">
        <v>43140</v>
      </c>
      <c r="AK113" s="36">
        <f ca="1">VALUE(LEFT($AD113,FIND("년",$AD113)-1))</f>
        <v>4</v>
      </c>
      <c r="AL113" s="31" t="str">
        <f ca="1">IF($AI113="전문학사",IF($AK113&lt;=8,"초급",IF($AK113&lt;12,"중급",IF($AK113&lt;15,"고급",IF($AK113&gt;=15,"특급")))))</f>
        <v>초급</v>
      </c>
      <c r="AM113" s="31" t="str">
        <f>IF(ISNUMBER(SEARCH("산업기사",$AT113)),IF($AK113&gt;=13,"특급",IF($AK113&gt;=10,"고급",IF($AK113&gt;=7,"중급","초급"))),IF(ISNUMBER(SEARCH("기사",$AR113)),IF($AK113&gt;=10,"특급",IF($AK113&gt;=7,"고급",IF($AK113&gt;=4,"중급","초급"))),"미해당"))</f>
        <v>미해당</v>
      </c>
      <c r="AN113" s="27"/>
      <c r="AO113" s="32"/>
      <c r="AP113" s="27"/>
      <c r="AQ113" s="32"/>
      <c r="AR113" s="27"/>
      <c r="AS113" s="27"/>
      <c r="AT113" s="37"/>
      <c r="AU113" s="27"/>
      <c r="AV113" s="38"/>
      <c r="AW113" s="39"/>
      <c r="AX113" s="39"/>
      <c r="AY113" s="40" t="s">
        <v>251</v>
      </c>
      <c r="AZ113" s="41" t="s">
        <v>252</v>
      </c>
      <c r="BA113" s="30" t="s">
        <v>230</v>
      </c>
      <c r="BB113" s="30" t="s">
        <v>1518</v>
      </c>
      <c r="BC113" s="42"/>
      <c r="BD113" s="42"/>
      <c r="BE113" s="43" t="s">
        <v>1519</v>
      </c>
      <c r="BF113" s="42" t="s">
        <v>234</v>
      </c>
      <c r="BG113" s="42" t="s">
        <v>328</v>
      </c>
      <c r="BH113" s="35" t="s">
        <v>1154</v>
      </c>
      <c r="BI113" s="44" t="s">
        <v>1520</v>
      </c>
      <c r="BJ113" s="45" t="str">
        <f>IFERROR(VLOOKUP($BG113,[1]프로젝트현황!Y:Z,2,0),"기타")</f>
        <v>동남권</v>
      </c>
      <c r="BK113" s="46" t="str">
        <f>(IF(BF113="","",BF113&amp;" "))&amp;(IF(BG113="","",BG113&amp;" "))&amp;(IF(BH113="","",BH113&amp;" "))&amp;BI113</f>
        <v>경기도 성남시 분당구 느티로 22, A동 616호(정자동, 백궁동양파라곤)</v>
      </c>
      <c r="BL113" s="47">
        <v>30</v>
      </c>
      <c r="BM113" s="47">
        <v>30</v>
      </c>
      <c r="BN113" s="48">
        <v>34400000</v>
      </c>
      <c r="BO113" s="48">
        <f>BP113*12</f>
        <v>34400030.400000006</v>
      </c>
      <c r="BP113" s="49">
        <f>SUM(BQ113:BS113)</f>
        <v>2866669.2</v>
      </c>
      <c r="BQ113" s="49">
        <f>ROUNDUP(BN113/12*209/(209+BU113*1.5)/BL113*BM113,-1)-BS113</f>
        <v>1966850</v>
      </c>
      <c r="BR113" s="49">
        <f>ROUNDUP(BN113/12*(BU113*1.5)/(209+BU113*1.5)/BL113*BM113,1)</f>
        <v>699819.2</v>
      </c>
      <c r="BS113" s="49">
        <v>200000</v>
      </c>
      <c r="BT113" s="50">
        <v>209</v>
      </c>
      <c r="BU113" s="49">
        <f>IF($BN113="","",
IFERROR(
    IF($BN113&lt;'[1]시간외시간 기준표'!$B$2,0,
        IF($BN113&gt;LOOKUP(9.9E+307,'[1]시간외시간 기준표'!$B$2:$B$999),
            LOOKUP(9.9E+307,'[1]시간외시간 기준표'!$C$2:$C$999),
            LOOKUP($BN113,'[1]시간외시간 기준표'!$B$2:$B$999,'[1]시간외시간 기준표'!$C$2:$C$999)
        )
    ),0)
)</f>
        <v>45</v>
      </c>
      <c r="BV113" s="50">
        <f>(BQ113+BS113)/209</f>
        <v>10367.703349282297</v>
      </c>
      <c r="BW113" s="51">
        <v>30</v>
      </c>
      <c r="BX113" s="51">
        <v>30</v>
      </c>
      <c r="BY113" s="52">
        <v>34400000</v>
      </c>
      <c r="BZ113" s="52">
        <f>CA113*12</f>
        <v>34400035.200000003</v>
      </c>
      <c r="CA113" s="49">
        <f>SUM(CB113:CD113)</f>
        <v>2866669.6</v>
      </c>
      <c r="CB113" s="49">
        <f>ROUNDUP(BY113/12*209/(209+CF113*1.5)/BW113*BX113,-1)-CD113</f>
        <v>1932150</v>
      </c>
      <c r="CC113" s="49">
        <f>ROUNDUP(BY113/12*(CF113*1.5)/(209+CF113*1.5)/BW113*BX113,1)</f>
        <v>734519.6</v>
      </c>
      <c r="CD113" s="49">
        <v>200000</v>
      </c>
      <c r="CE113" s="50">
        <v>209</v>
      </c>
      <c r="CF113" s="49">
        <f>IF(BY113&lt;26000000,0,IF(BY113&lt;26500000,4,IF(BY113&lt;27000000,7,IF(BY113&lt;27500000,9,IF(BY113&lt;28000000,11,IF(BY113&lt;28500000,15,IF(BY113&lt;29000000,17,IF(BY113&lt;29500000,20,IF(BY113&lt;30000000,23,IF(BY113&lt;30500000,25,IF(BY113&lt;31000000,27,IF(BY113&lt;31500000,29,IF(BY113&lt;32000000,33,IF(BY113&lt;32500000,37,IF(BY113&lt;33000000,39,IF(BY113&lt;33500000,42,IF(BY113&lt;34000000,45,IF(BY113&lt;34500000,48,IF(BY113&lt;35000000,52,52)))))))))))))))))))</f>
        <v>48</v>
      </c>
      <c r="CG113" s="50">
        <f>(CB113+CD113)/209</f>
        <v>10201.674641148325</v>
      </c>
      <c r="CH113" s="51">
        <v>30</v>
      </c>
      <c r="CI113" s="51">
        <v>30</v>
      </c>
      <c r="CJ113" s="52">
        <v>34000000</v>
      </c>
      <c r="CK113" s="52">
        <f>CL113*12</f>
        <v>34000064.400000006</v>
      </c>
      <c r="CL113" s="49">
        <f>SUM(CM113:CO113)</f>
        <v>2833338.7</v>
      </c>
      <c r="CM113" s="49">
        <f>ROUNDUP(CJ113/12*209/(209+CQ113*1.5)/CH113*CI113,-1)-CO113</f>
        <v>1907360</v>
      </c>
      <c r="CN113" s="49">
        <f>ROUNDUP(CJ113/12*(CQ113*1.5)/(209+CQ113*1.5)/CH113*CI113,1)</f>
        <v>725978.7</v>
      </c>
      <c r="CO113" s="50">
        <v>200000</v>
      </c>
      <c r="CP113" s="50">
        <v>209</v>
      </c>
      <c r="CQ113" s="50">
        <f>IF(CJ113&lt;26000000,0,IF(CJ113&lt;26500000,4,IF(CJ113&lt;27000000,7,IF(CJ113&lt;27500000,9,IF(CJ113&lt;28000000,11,IF(CJ113&lt;28500000,15,IF(CJ113&lt;29000000,17,IF(CJ113&lt;29500000,20,IF(CJ113&lt;30000000,23,IF(CJ113&lt;30500000,25,IF(CJ113&lt;31000000,27,IF(CJ113&lt;31500000,29,IF(CJ113&lt;32000000,33,IF(CJ113&lt;32500000,37,IF(CJ113&lt;33000000,39,IF(CJ113&lt;33500000,42,IF(CJ113&lt;34000000,45,IF(CJ113&lt;34500000,48,IF(CJ113&lt;35000000,52,52)))))))))))))))))))</f>
        <v>48</v>
      </c>
      <c r="CR113" s="50">
        <f>(CM113+CO113)/209</f>
        <v>10083.062200956938</v>
      </c>
      <c r="CS113" s="52"/>
      <c r="CT113" s="53"/>
      <c r="CU113" s="53"/>
      <c r="CV113" s="53"/>
      <c r="CW113" s="54"/>
      <c r="CX113" s="54"/>
      <c r="CY113" s="54"/>
      <c r="CZ113" s="55"/>
      <c r="DA113" s="55"/>
      <c r="DB113" s="56"/>
      <c r="DC113" s="57"/>
      <c r="DD113" s="58"/>
      <c r="DE113" s="58"/>
      <c r="DF113" s="57"/>
      <c r="DG113" s="59">
        <f>B113</f>
        <v>240706</v>
      </c>
      <c r="DH113" s="58"/>
      <c r="DI113" s="58"/>
      <c r="DJ113" s="60"/>
      <c r="DK113" s="58"/>
      <c r="DL113" s="61"/>
      <c r="DM113" s="63"/>
    </row>
    <row r="114" spans="1:117" ht="15" customHeight="1">
      <c r="A114" s="25">
        <f>ROW()-2</f>
        <v>112</v>
      </c>
      <c r="B114" s="26">
        <v>240707</v>
      </c>
      <c r="C114" s="27" t="s">
        <v>1521</v>
      </c>
      <c r="D114" s="27"/>
      <c r="E114" s="27" t="s">
        <v>613</v>
      </c>
      <c r="F114" s="27" t="s">
        <v>196</v>
      </c>
      <c r="G114" s="27" t="s">
        <v>240</v>
      </c>
      <c r="H114" s="27" t="s">
        <v>217</v>
      </c>
      <c r="I114" s="27" t="s">
        <v>1397</v>
      </c>
      <c r="J114" s="27" t="str">
        <f>+VLOOKUP($I114,[1]프로젝트현황!$I:$N,5,0)</f>
        <v>경기도</v>
      </c>
      <c r="K114" s="27" t="str">
        <f>+VLOOKUP($I114,[1]프로젝트현황!$I:$N,6,0)</f>
        <v>평택시</v>
      </c>
      <c r="L114" s="28">
        <v>45475</v>
      </c>
      <c r="M114" s="28">
        <v>45475</v>
      </c>
      <c r="N114" s="28"/>
      <c r="O114" s="29"/>
      <c r="P114" s="30" t="s">
        <v>1522</v>
      </c>
      <c r="Q114" s="27" t="s">
        <v>1523</v>
      </c>
      <c r="R114" s="31" t="str">
        <f>LEFT(Q114,6)</f>
        <v>011011</v>
      </c>
      <c r="S114" s="31" t="str">
        <f>MID($Q114,3,2)</f>
        <v>10</v>
      </c>
      <c r="T114" s="31" t="str">
        <f>IF(OR(MID($Q114,8,1)="1",MID($Q114,8,1)="3"),"남자",IF(OR(MID($Q114,8,1)="2",MID($Q114,8,1)="4"),"여자",""))</f>
        <v>남자</v>
      </c>
      <c r="U114" s="31">
        <f ca="1">YEAR(TODAY())-IF(OR(MID($Q114,8,1)="1",MID($Q114,8,1)="2"),19&amp;LEFT($Q114,2),IF(OR(MID($Q114,8,1)="3",MID($Q114,8,1)="4"),20&amp;LEFT($Q114,2),""))+1</f>
        <v>26</v>
      </c>
      <c r="V114" s="31" t="s">
        <v>200</v>
      </c>
      <c r="W114" s="31" t="s">
        <v>201</v>
      </c>
      <c r="X114" s="27" t="s">
        <v>1524</v>
      </c>
      <c r="Y114" s="27"/>
      <c r="Z114" s="27"/>
      <c r="AA114" s="32"/>
      <c r="AB114" s="31" t="s">
        <v>1401</v>
      </c>
      <c r="AC114" s="27"/>
      <c r="AD114" s="33" t="str">
        <f ca="1">QUOTIENT(SUMPRODUCT(LEFT($AE114:$AF114,FIND("년",$AE114:$AF114)-1)*12+MID($AE114:$AF114,FIND("년",$AE114:$AF114)+1,FIND("개월",$AE114:$AF114)-FIND("년",$AE114:$AF114)-1)),12)&amp;"년"&amp;MOD(SUMPRODUCT(LEFT($AE114:$AF114,FIND("년",$AE114:$AF114)-1)*12+MID($AE114:$AF114,FIND("년",$AE114:$AF114)+1,FIND("개월",$AE114:$AF114)-FIND("년",$AE114:$AF114)-1)),12)&amp;"개월"</f>
        <v>1년7개월</v>
      </c>
      <c r="AE114" s="33" t="s">
        <v>543</v>
      </c>
      <c r="AF114" s="34" t="str">
        <f ca="1">DATEDIF($L114,TODAY(),"y")&amp;"년"&amp;DATEDIF($L114,TODAY(),"ym")&amp;"개월"</f>
        <v>1년7개월</v>
      </c>
      <c r="AG114" s="35" t="s">
        <v>1525</v>
      </c>
      <c r="AH114" s="35" t="s">
        <v>1526</v>
      </c>
      <c r="AI114" s="30" t="s">
        <v>205</v>
      </c>
      <c r="AJ114" s="32">
        <v>45338</v>
      </c>
      <c r="AK114" s="36">
        <f ca="1">VALUE(LEFT($AD114,FIND("년",$AD114)-1))</f>
        <v>1</v>
      </c>
      <c r="AL114" s="31" t="str">
        <f ca="1">IF($AI114="전문학사",IF($AK114&lt;=8,"초급",IF($AK114&lt;12,"중급",IF($AK114&lt;15,"고급",IF($AK114&gt;=15,"특급")))))</f>
        <v>초급</v>
      </c>
      <c r="AM114" s="31" t="str">
        <f>IF(ISNUMBER(SEARCH("산업기사",$AT114)),IF($AK114&gt;=13,"특급",IF($AK114&gt;=10,"고급",IF($AK114&gt;=7,"중급","초급"))),IF(ISNUMBER(SEARCH("기사",$AR114)),IF($AK114&gt;=10,"특급",IF($AK114&gt;=7,"고급",IF($AK114&gt;=4,"중급","초급"))),"미해당"))</f>
        <v>미해당</v>
      </c>
      <c r="AN114" s="27"/>
      <c r="AO114" s="32"/>
      <c r="AP114" s="27"/>
      <c r="AQ114" s="32"/>
      <c r="AR114" s="27"/>
      <c r="AS114" s="27"/>
      <c r="AT114" s="37"/>
      <c r="AU114" s="27"/>
      <c r="AV114" s="38"/>
      <c r="AW114" s="39"/>
      <c r="AX114" s="39"/>
      <c r="AY114" s="40" t="s">
        <v>251</v>
      </c>
      <c r="AZ114" s="41" t="s">
        <v>252</v>
      </c>
      <c r="BA114" s="30" t="s">
        <v>230</v>
      </c>
      <c r="BB114" s="30" t="s">
        <v>1527</v>
      </c>
      <c r="BC114" s="42"/>
      <c r="BD114" s="42"/>
      <c r="BE114" s="43" t="s">
        <v>1528</v>
      </c>
      <c r="BF114" s="42" t="s">
        <v>234</v>
      </c>
      <c r="BG114" s="42" t="s">
        <v>1406</v>
      </c>
      <c r="BH114" s="35"/>
      <c r="BI114" s="44" t="s">
        <v>1529</v>
      </c>
      <c r="BJ114" s="45" t="str">
        <f>IFERROR(VLOOKUP($BG114,[1]프로젝트현황!Y:Z,2,0),"기타")</f>
        <v>동남권</v>
      </c>
      <c r="BK114" s="46" t="str">
        <f>(IF(BF114="","",BF114&amp;" "))&amp;(IF(BG114="","",BG114&amp;" "))&amp;(IF(BH114="","",BH114&amp;" "))&amp;BI114</f>
        <v>경기도 오산시 온사로290번길 33,라동 103호(오산동,은하연림)</v>
      </c>
      <c r="BL114" s="47">
        <v>30</v>
      </c>
      <c r="BM114" s="47">
        <v>30</v>
      </c>
      <c r="BN114" s="48">
        <v>27000000</v>
      </c>
      <c r="BO114" s="48">
        <f>BP114*12</f>
        <v>27000120</v>
      </c>
      <c r="BP114" s="49">
        <f>SUM(BQ114:BS114)</f>
        <v>2250010</v>
      </c>
      <c r="BQ114" s="49">
        <f>ROUNDUP(BN114/12*209/(209+BU114*1.5)/BL114*BM114,-1)-BS114</f>
        <v>1957120</v>
      </c>
      <c r="BR114" s="49">
        <f>ROUNDUP(BN114/12*(BU114*1.5)/(209+BU114*1.5)/BL114*BM114,1)</f>
        <v>92890</v>
      </c>
      <c r="BS114" s="49">
        <v>200000</v>
      </c>
      <c r="BT114" s="50">
        <v>209</v>
      </c>
      <c r="BU114" s="49">
        <f>IF($BN114="","",
IFERROR(
    IF($BN114&lt;'[1]시간외시간 기준표'!$B$2,0,
        IF($BN114&gt;LOOKUP(9.9E+307,'[1]시간외시간 기준표'!$B$2:$B$999),
            LOOKUP(9.9E+307,'[1]시간외시간 기준표'!$C$2:$C$999),
            LOOKUP($BN114,'[1]시간외시간 기준표'!$B$2:$B$999,'[1]시간외시간 기준표'!$C$2:$C$999)
        )
    ),0)
)</f>
        <v>6</v>
      </c>
      <c r="BV114" s="50">
        <f>(BQ114+BS114)/209</f>
        <v>10321.148325358852</v>
      </c>
      <c r="BW114" s="51">
        <v>30</v>
      </c>
      <c r="BX114" s="51">
        <v>30</v>
      </c>
      <c r="BY114" s="52">
        <v>27000000</v>
      </c>
      <c r="BZ114" s="52">
        <f>CA114*12</f>
        <v>27000082.799999997</v>
      </c>
      <c r="CA114" s="49">
        <f>SUM(CB114:CD114)</f>
        <v>2250006.9</v>
      </c>
      <c r="CB114" s="49">
        <f>ROUNDUP(BY114/12*209/(209+CF114*1.5)/BW114*BX114,-1)-CD114</f>
        <v>1913490</v>
      </c>
      <c r="CC114" s="49">
        <f>ROUNDUP(BY114/12*(CF114*1.5)/(209+CF114*1.5)/BW114*BX114,1)</f>
        <v>136516.9</v>
      </c>
      <c r="CD114" s="49">
        <v>200000</v>
      </c>
      <c r="CE114" s="50">
        <v>209</v>
      </c>
      <c r="CF114" s="49">
        <f>IF(BY114&lt;26000000,0,IF(BY114&lt;26500000,4,IF(BY114&lt;27000000,7,IF(BY114&lt;27500000,9,IF(BY114&lt;28000000,11,IF(BY114&lt;28500000,15,IF(BY114&lt;29000000,17,IF(BY114&lt;29500000,20,IF(BY114&lt;30000000,23,IF(BY114&lt;30500000,25,IF(BY114&lt;31000000,27,IF(BY114&lt;31500000,29,IF(BY114&lt;32000000,33,IF(BY114&lt;32500000,37,IF(BY114&lt;33000000,39,IF(BY114&lt;33500000,42,IF(BY114&lt;34000000,45,IF(BY114&lt;34500000,48,IF(BY114&lt;35000000,52,52)))))))))))))))))))</f>
        <v>9</v>
      </c>
      <c r="CG114" s="50">
        <f>(CB114+CD114)/209</f>
        <v>10112.392344497608</v>
      </c>
      <c r="CH114" s="51">
        <v>30</v>
      </c>
      <c r="CI114" s="51">
        <v>30</v>
      </c>
      <c r="CJ114" s="52">
        <v>27000000</v>
      </c>
      <c r="CK114" s="52">
        <f>CL114*12</f>
        <v>27000082.799999997</v>
      </c>
      <c r="CL114" s="49">
        <f>SUM(CM114:CO114)</f>
        <v>2250006.9</v>
      </c>
      <c r="CM114" s="49">
        <f>ROUNDUP(CJ114/12*209/(209+CQ114*1.5)/CH114*CI114,-1)-CO114</f>
        <v>1913490</v>
      </c>
      <c r="CN114" s="49">
        <f>ROUNDUP(CJ114/12*(CQ114*1.5)/(209+CQ114*1.5)/CH114*CI114,1)</f>
        <v>136516.9</v>
      </c>
      <c r="CO114" s="50">
        <v>200000</v>
      </c>
      <c r="CP114" s="50">
        <v>209</v>
      </c>
      <c r="CQ114" s="50">
        <f>IF(CJ114&lt;26000000,0,IF(CJ114&lt;26500000,4,IF(CJ114&lt;27000000,7,IF(CJ114&lt;27500000,9,IF(CJ114&lt;28000000,11,IF(CJ114&lt;28500000,15,IF(CJ114&lt;29000000,17,IF(CJ114&lt;29500000,20,IF(CJ114&lt;30000000,23,IF(CJ114&lt;30500000,25,IF(CJ114&lt;31000000,27,IF(CJ114&lt;31500000,29,IF(CJ114&lt;32000000,33,IF(CJ114&lt;32500000,37,IF(CJ114&lt;33000000,39,IF(CJ114&lt;33500000,42,IF(CJ114&lt;34000000,45,IF(CJ114&lt;34500000,48,IF(CJ114&lt;35000000,52,52)))))))))))))))))))</f>
        <v>9</v>
      </c>
      <c r="CR114" s="50">
        <f>(CM114+CO114)/209</f>
        <v>10112.392344497608</v>
      </c>
      <c r="CS114" s="52"/>
      <c r="CT114" s="53"/>
      <c r="CU114" s="53"/>
      <c r="CV114" s="53"/>
      <c r="CW114" s="54"/>
      <c r="CX114" s="54"/>
      <c r="CY114" s="54"/>
      <c r="CZ114" s="55"/>
      <c r="DA114" s="55"/>
      <c r="DB114" s="56"/>
      <c r="DC114" s="57"/>
      <c r="DD114" s="58"/>
      <c r="DE114" s="58"/>
      <c r="DF114" s="57"/>
      <c r="DG114" s="59">
        <f>B114</f>
        <v>240707</v>
      </c>
      <c r="DH114" s="58"/>
      <c r="DI114" s="58"/>
      <c r="DJ114" s="60"/>
      <c r="DK114" s="58"/>
      <c r="DL114" s="61"/>
      <c r="DM114" s="24"/>
    </row>
    <row r="115" spans="1:117" s="63" customFormat="1" ht="15" customHeight="1">
      <c r="A115" s="25">
        <f>ROW()-2</f>
        <v>113</v>
      </c>
      <c r="B115" s="26">
        <v>240708</v>
      </c>
      <c r="C115" s="27" t="s">
        <v>1530</v>
      </c>
      <c r="D115" s="27"/>
      <c r="E115" s="27" t="s">
        <v>613</v>
      </c>
      <c r="F115" s="27" t="s">
        <v>196</v>
      </c>
      <c r="G115" s="27" t="s">
        <v>240</v>
      </c>
      <c r="H115" s="27" t="s">
        <v>217</v>
      </c>
      <c r="I115" s="27" t="s">
        <v>479</v>
      </c>
      <c r="J115" s="27" t="str">
        <f>+VLOOKUP($I115,[1]프로젝트현황!$I:$N,5,0)</f>
        <v>경기도</v>
      </c>
      <c r="K115" s="27" t="str">
        <f>+VLOOKUP($I115,[1]프로젝트현황!$I:$N,6,0)</f>
        <v>성남시</v>
      </c>
      <c r="L115" s="28">
        <v>45481</v>
      </c>
      <c r="M115" s="28">
        <v>45481</v>
      </c>
      <c r="N115" s="28"/>
      <c r="O115" s="29"/>
      <c r="P115" s="30" t="s">
        <v>1531</v>
      </c>
      <c r="Q115" s="27" t="s">
        <v>1532</v>
      </c>
      <c r="R115" s="31" t="str">
        <f>LEFT(Q115,6)</f>
        <v>960509</v>
      </c>
      <c r="S115" s="31" t="str">
        <f>MID($Q115,3,2)</f>
        <v>05</v>
      </c>
      <c r="T115" s="31" t="str">
        <f>IF(OR(MID($Q115,8,1)="1",MID($Q115,8,1)="3"),"남자",IF(OR(MID($Q115,8,1)="2",MID($Q115,8,1)="4"),"여자",""))</f>
        <v>남자</v>
      </c>
      <c r="U115" s="31">
        <f ca="1">YEAR(TODAY())-IF(OR(MID($Q115,8,1)="1",MID($Q115,8,1)="2"),19&amp;LEFT($Q115,2),IF(OR(MID($Q115,8,1)="3",MID($Q115,8,1)="4"),20&amp;LEFT($Q115,2),""))+1</f>
        <v>31</v>
      </c>
      <c r="V115" s="31" t="s">
        <v>200</v>
      </c>
      <c r="W115" s="31" t="s">
        <v>201</v>
      </c>
      <c r="X115" s="27" t="s">
        <v>1533</v>
      </c>
      <c r="Y115" s="27"/>
      <c r="Z115" s="27"/>
      <c r="AA115" s="32"/>
      <c r="AB115" s="31" t="s">
        <v>203</v>
      </c>
      <c r="AC115" s="27"/>
      <c r="AD115" s="33" t="str">
        <f ca="1">QUOTIENT(SUMPRODUCT(LEFT($AE115:$AF115,FIND("년",$AE115:$AF115)-1)*12+MID($AE115:$AF115,FIND("년",$AE115:$AF115)+1,FIND("개월",$AE115:$AF115)-FIND("년",$AE115:$AF115)-1)),12)&amp;"년"&amp;MOD(SUMPRODUCT(LEFT($AE115:$AF115,FIND("년",$AE115:$AF115)-1)*12+MID($AE115:$AF115,FIND("년",$AE115:$AF115)+1,FIND("개월",$AE115:$AF115)-FIND("년",$AE115:$AF115)-1)),12)&amp;"개월"</f>
        <v>3년4개월</v>
      </c>
      <c r="AE115" s="33" t="s">
        <v>471</v>
      </c>
      <c r="AF115" s="34" t="str">
        <f ca="1">DATEDIF($L115,TODAY(),"y")&amp;"년"&amp;DATEDIF($L115,TODAY(),"ym")&amp;"개월"</f>
        <v>1년7개월</v>
      </c>
      <c r="AG115" s="35" t="s">
        <v>1534</v>
      </c>
      <c r="AH115" s="35" t="s">
        <v>973</v>
      </c>
      <c r="AI115" s="30" t="s">
        <v>270</v>
      </c>
      <c r="AJ115" s="32">
        <v>44609</v>
      </c>
      <c r="AK115" s="36">
        <f ca="1">VALUE(LEFT($AD115,FIND("년",$AD115)-1))</f>
        <v>3</v>
      </c>
      <c r="AL115" s="31" t="str">
        <f ca="1">IF($AI115="학사",IF($AK115&lt;=5,"초급",IF($AK115&lt;9,"중급",IF($AK115&lt;12,"고급",IF($AK115&gt;=12,"특급")))))</f>
        <v>초급</v>
      </c>
      <c r="AM115" s="31" t="str">
        <f>IF(ISNUMBER(SEARCH("산업기사",$AT115)),IF($AK115&gt;=13,"특급",IF($AK115&gt;=10,"고급",IF($AK115&gt;=7,"중급","초급"))),IF(ISNUMBER(SEARCH("기사",$AR115)),IF($AK115&gt;=10,"특급",IF($AK115&gt;=7,"고급",IF($AK115&gt;=4,"중급","초급"))),"미해당"))</f>
        <v>미해당</v>
      </c>
      <c r="AN115" s="27"/>
      <c r="AO115" s="32"/>
      <c r="AP115" s="27" t="s">
        <v>137</v>
      </c>
      <c r="AQ115" s="32" t="s">
        <v>1535</v>
      </c>
      <c r="AR115" s="27"/>
      <c r="AS115" s="27"/>
      <c r="AT115" s="37"/>
      <c r="AU115" s="27"/>
      <c r="AV115" s="38"/>
      <c r="AW115" s="39"/>
      <c r="AX115" s="39"/>
      <c r="AY115" s="40" t="s">
        <v>251</v>
      </c>
      <c r="AZ115" s="41" t="s">
        <v>252</v>
      </c>
      <c r="BA115" s="30" t="s">
        <v>230</v>
      </c>
      <c r="BB115" s="30" t="s">
        <v>1536</v>
      </c>
      <c r="BC115" s="42"/>
      <c r="BD115" s="42"/>
      <c r="BE115" s="43" t="s">
        <v>1537</v>
      </c>
      <c r="BF115" s="42" t="s">
        <v>234</v>
      </c>
      <c r="BG115" s="42" t="s">
        <v>887</v>
      </c>
      <c r="BH115" s="35" t="s">
        <v>944</v>
      </c>
      <c r="BI115" s="44" t="s">
        <v>1538</v>
      </c>
      <c r="BJ115" s="45" t="str">
        <f>IFERROR(VLOOKUP($BG115,[1]프로젝트현황!Y:Z,2,0),"기타")</f>
        <v>동남권</v>
      </c>
      <c r="BK115" s="46" t="str">
        <f>(IF(BF115="","",BF115&amp;" "))&amp;(IF(BG115="","",BG115&amp;" "))&amp;(IF(BH115="","",BH115&amp;" "))&amp;BI115</f>
        <v>경기도 용인시 기흥구 신촌로73번길 5-7, 203호(보정동)</v>
      </c>
      <c r="BL115" s="47">
        <v>30</v>
      </c>
      <c r="BM115" s="47">
        <v>30</v>
      </c>
      <c r="BN115" s="48">
        <v>32000000</v>
      </c>
      <c r="BO115" s="48">
        <f>BP115*12</f>
        <v>32000094</v>
      </c>
      <c r="BP115" s="49">
        <f>SUM(BQ115:BS115)</f>
        <v>2666674.5</v>
      </c>
      <c r="BQ115" s="49">
        <f>ROUNDUP(BN115/12*209/(209+BU115*1.5)/BL115*BM115,-1)-BS115</f>
        <v>1968620</v>
      </c>
      <c r="BR115" s="49">
        <f>ROUNDUP(BN115/12*(BU115*1.5)/(209+BU115*1.5)/BL115*BM115,1)</f>
        <v>498054.5</v>
      </c>
      <c r="BS115" s="49">
        <v>200000</v>
      </c>
      <c r="BT115" s="50">
        <v>209</v>
      </c>
      <c r="BU115" s="49">
        <f>IF($BN115="","",
IFERROR(
    IF($BN115&lt;'[1]시간외시간 기준표'!$B$2,0,
        IF($BN115&gt;LOOKUP(9.9E+307,'[1]시간외시간 기준표'!$B$2:$B$999),
            LOOKUP(9.9E+307,'[1]시간외시간 기준표'!$C$2:$C$999),
            LOOKUP($BN115,'[1]시간외시간 기준표'!$B$2:$B$999,'[1]시간외시간 기준표'!$C$2:$C$999)
        )
    ),0)
)</f>
        <v>32</v>
      </c>
      <c r="BV115" s="50">
        <f>(BQ115+BS115)/209</f>
        <v>10376.172248803829</v>
      </c>
      <c r="BW115" s="51">
        <v>30</v>
      </c>
      <c r="BX115" s="51">
        <v>30</v>
      </c>
      <c r="BY115" s="52">
        <v>32000000</v>
      </c>
      <c r="BZ115" s="52">
        <f>CA115*12</f>
        <v>32000116.799999997</v>
      </c>
      <c r="CA115" s="49">
        <f>SUM(CB115:CD115)</f>
        <v>2666676.4</v>
      </c>
      <c r="CB115" s="49">
        <f>ROUNDUP(BY115/12*209/(209+CF115*1.5)/BW115*BX115,-1)-CD115</f>
        <v>1907130</v>
      </c>
      <c r="CC115" s="49">
        <f>ROUNDUP(BY115/12*(CF115*1.5)/(209+CF115*1.5)/BW115*BX115,1)</f>
        <v>559546.4</v>
      </c>
      <c r="CD115" s="49">
        <v>200000</v>
      </c>
      <c r="CE115" s="50">
        <v>209</v>
      </c>
      <c r="CF115" s="49">
        <f>IF(BY115&lt;26000000,0,IF(BY115&lt;26500000,4,IF(BY115&lt;27000000,7,IF(BY115&lt;27500000,9,IF(BY115&lt;28000000,11,IF(BY115&lt;28500000,15,IF(BY115&lt;29000000,17,IF(BY115&lt;29500000,20,IF(BY115&lt;30000000,23,IF(BY115&lt;30500000,25,IF(BY115&lt;31000000,27,IF(BY115&lt;31500000,29,IF(BY115&lt;32000000,33,IF(BY115&lt;32500000,37,IF(BY115&lt;33000000,39,IF(BY115&lt;33500000,42,IF(BY115&lt;34000000,45,IF(BY115&lt;34500000,48,IF(BY115&lt;35000000,52,52)))))))))))))))))))</f>
        <v>37</v>
      </c>
      <c r="CG115" s="50">
        <f>(CB115+CD115)/209</f>
        <v>10081.961722488039</v>
      </c>
      <c r="CH115" s="51">
        <v>30</v>
      </c>
      <c r="CI115" s="51">
        <v>30</v>
      </c>
      <c r="CJ115" s="52">
        <v>32000000</v>
      </c>
      <c r="CK115" s="52">
        <f>CL115*12</f>
        <v>32000116.799999997</v>
      </c>
      <c r="CL115" s="49">
        <f>SUM(CM115:CO115)</f>
        <v>2666676.4</v>
      </c>
      <c r="CM115" s="49">
        <f>ROUNDUP(CJ115/12*209/(209+CQ115*1.5)/CH115*CI115,-1)-CO115</f>
        <v>1907130</v>
      </c>
      <c r="CN115" s="49">
        <f>ROUNDUP(CJ115/12*(CQ115*1.5)/(209+CQ115*1.5)/CH115*CI115,1)</f>
        <v>559546.4</v>
      </c>
      <c r="CO115" s="50">
        <v>200000</v>
      </c>
      <c r="CP115" s="50">
        <v>209</v>
      </c>
      <c r="CQ115" s="50">
        <f>IF(CJ115&lt;26000000,0,IF(CJ115&lt;26500000,4,IF(CJ115&lt;27000000,7,IF(CJ115&lt;27500000,9,IF(CJ115&lt;28000000,11,IF(CJ115&lt;28500000,15,IF(CJ115&lt;29000000,17,IF(CJ115&lt;29500000,20,IF(CJ115&lt;30000000,23,IF(CJ115&lt;30500000,25,IF(CJ115&lt;31000000,27,IF(CJ115&lt;31500000,29,IF(CJ115&lt;32000000,33,IF(CJ115&lt;32500000,37,IF(CJ115&lt;33000000,39,IF(CJ115&lt;33500000,42,IF(CJ115&lt;34000000,45,IF(CJ115&lt;34500000,48,IF(CJ115&lt;35000000,52,52)))))))))))))))))))</f>
        <v>37</v>
      </c>
      <c r="CR115" s="50">
        <f>(CM115+CO115)/209</f>
        <v>10081.961722488039</v>
      </c>
      <c r="CS115" s="52"/>
      <c r="CT115" s="53"/>
      <c r="CU115" s="53"/>
      <c r="CV115" s="53"/>
      <c r="CW115" s="54"/>
      <c r="CX115" s="54"/>
      <c r="CY115" s="54"/>
      <c r="CZ115" s="55"/>
      <c r="DA115" s="55"/>
      <c r="DB115" s="56"/>
      <c r="DC115" s="57"/>
      <c r="DD115" s="58"/>
      <c r="DE115" s="58"/>
      <c r="DF115" s="57"/>
      <c r="DG115" s="59">
        <f>B115</f>
        <v>240708</v>
      </c>
      <c r="DH115" s="58"/>
      <c r="DI115" s="58"/>
      <c r="DJ115" s="60"/>
      <c r="DK115" s="58"/>
      <c r="DL115" s="61"/>
      <c r="DM115" s="24"/>
    </row>
    <row r="116" spans="1:117" ht="15" customHeight="1">
      <c r="A116" s="25">
        <f>ROW()-2</f>
        <v>114</v>
      </c>
      <c r="B116" s="26">
        <v>240709</v>
      </c>
      <c r="C116" s="27" t="s">
        <v>1539</v>
      </c>
      <c r="D116" s="27"/>
      <c r="E116" s="27" t="s">
        <v>239</v>
      </c>
      <c r="F116" s="27" t="s">
        <v>196</v>
      </c>
      <c r="G116" s="27" t="s">
        <v>240</v>
      </c>
      <c r="H116" s="27" t="s">
        <v>260</v>
      </c>
      <c r="I116" s="27" t="s">
        <v>1540</v>
      </c>
      <c r="J116" s="27" t="str">
        <f>+VLOOKUP($I116,[1]프로젝트현황!$I:$N,5,0)</f>
        <v>서울시</v>
      </c>
      <c r="K116" s="27" t="str">
        <f>+VLOOKUP($I116,[1]프로젝트현황!$I:$N,6,0)</f>
        <v>구로구</v>
      </c>
      <c r="L116" s="28">
        <v>45488</v>
      </c>
      <c r="M116" s="28">
        <v>45558</v>
      </c>
      <c r="N116" s="28"/>
      <c r="O116" s="29"/>
      <c r="P116" s="30" t="s">
        <v>1541</v>
      </c>
      <c r="Q116" s="27" t="s">
        <v>1542</v>
      </c>
      <c r="R116" s="31" t="str">
        <f>LEFT(Q116,6)</f>
        <v>781205</v>
      </c>
      <c r="S116" s="31" t="str">
        <f>MID($Q116,3,2)</f>
        <v>12</v>
      </c>
      <c r="T116" s="31" t="str">
        <f>IF(OR(MID($Q116,8,1)="1",MID($Q116,8,1)="3"),"남자",IF(OR(MID($Q116,8,1)="2",MID($Q116,8,1)="4"),"여자",""))</f>
        <v>여자</v>
      </c>
      <c r="U116" s="31">
        <f ca="1">YEAR(TODAY())-IF(OR(MID($Q116,8,1)="1",MID($Q116,8,1)="2"),19&amp;LEFT($Q116,2),IF(OR(MID($Q116,8,1)="3",MID($Q116,8,1)="4"),20&amp;LEFT($Q116,2),""))+1</f>
        <v>49</v>
      </c>
      <c r="V116" s="31" t="s">
        <v>200</v>
      </c>
      <c r="W116" s="31" t="s">
        <v>201</v>
      </c>
      <c r="X116" s="27" t="s">
        <v>1543</v>
      </c>
      <c r="Y116" s="27"/>
      <c r="Z116" s="27"/>
      <c r="AA116" s="32"/>
      <c r="AB116" s="31" t="s">
        <v>203</v>
      </c>
      <c r="AC116" s="27"/>
      <c r="AD116" s="33" t="str">
        <f>QUOTIENT(SUMPRODUCT(LEFT($AE116:$AF116,FIND("년",$AE116:$AF116)-1)*12+MID($AE116:$AF116,FIND("년",$AE116:$AF116)+1,FIND("개월",$AE116:$AF116)-FIND("년",$AE116:$AF116)-1)),12)&amp;"년"&amp;MOD(SUMPRODUCT(LEFT($AE116:$AF116,FIND("년",$AE116:$AF116)-1)*12+MID($AE116:$AF116,FIND("년",$AE116:$AF116)+1,FIND("개월",$AE116:$AF116)-FIND("년",$AE116:$AF116)-1)),12)&amp;"개월"</f>
        <v>7년8개월</v>
      </c>
      <c r="AE116" s="33" t="s">
        <v>1544</v>
      </c>
      <c r="AF116" s="34" t="s">
        <v>1545</v>
      </c>
      <c r="AG116" s="35" t="s">
        <v>246</v>
      </c>
      <c r="AH116" s="35" t="s">
        <v>1546</v>
      </c>
      <c r="AI116" s="30" t="s">
        <v>205</v>
      </c>
      <c r="AJ116" s="32">
        <v>36574</v>
      </c>
      <c r="AK116" s="36">
        <f>VALUE(LEFT($AD116,FIND("년",$AD116)-1))</f>
        <v>7</v>
      </c>
      <c r="AL116" s="31" t="str">
        <f>IF($AI116="전문학사",IF($AK116&lt;=8,"초급",IF($AK116&lt;12,"중급",IF($AK116&lt;15,"고급",IF($AK116&gt;=15,"특급")))))</f>
        <v>초급</v>
      </c>
      <c r="AM116" s="31" t="s">
        <v>1547</v>
      </c>
      <c r="AN116" s="27"/>
      <c r="AO116" s="32"/>
      <c r="AP116" s="27"/>
      <c r="AQ116" s="32"/>
      <c r="AR116" s="27"/>
      <c r="AS116" s="27"/>
      <c r="AT116" s="37"/>
      <c r="AU116" s="27"/>
      <c r="AV116" s="38"/>
      <c r="AW116" s="39"/>
      <c r="AX116" s="39"/>
      <c r="AY116" s="40" t="s">
        <v>251</v>
      </c>
      <c r="AZ116" s="41" t="s">
        <v>252</v>
      </c>
      <c r="BA116" s="30" t="s">
        <v>230</v>
      </c>
      <c r="BB116" s="30" t="s">
        <v>1548</v>
      </c>
      <c r="BC116" s="42"/>
      <c r="BD116" s="42"/>
      <c r="BE116" s="43" t="s">
        <v>1549</v>
      </c>
      <c r="BF116" s="42" t="s">
        <v>211</v>
      </c>
      <c r="BG116" s="42" t="s">
        <v>1550</v>
      </c>
      <c r="BH116" s="35"/>
      <c r="BI116" s="44" t="s">
        <v>1551</v>
      </c>
      <c r="BJ116" s="45" t="str">
        <f>IFERROR(VLOOKUP($BG116,[1]프로젝트현황!Y:Z,2,0),"기타")</f>
        <v>동남권</v>
      </c>
      <c r="BK116" s="46" t="str">
        <f>(IF(BF116="","",BF116&amp;" "))&amp;(IF(BG116="","",BG116&amp;" "))&amp;(IF(BH116="","",BH116&amp;" "))&amp;BI116</f>
        <v>서울시 강동구 상암로79길 88, 708동 2801호(상일동,고덕롯데캐슬베네루체)</v>
      </c>
      <c r="BL116" s="47">
        <v>30</v>
      </c>
      <c r="BM116" s="47">
        <v>30</v>
      </c>
      <c r="BN116" s="48">
        <v>32333333.333333332</v>
      </c>
      <c r="BO116" s="48">
        <f>BP116*12</f>
        <v>32333348.400000002</v>
      </c>
      <c r="BP116" s="49">
        <f>SUM(BQ116:BS116)</f>
        <v>2694445.7</v>
      </c>
      <c r="BQ116" s="49">
        <f>ROUNDUP(BN116/12*209/(209+BU116*1.5)/BL116*BM116,-1)-BS116</f>
        <v>1965920</v>
      </c>
      <c r="BR116" s="49">
        <f>ROUNDUP(BN116/12*(BU116*1.5)/(209+BU116*1.5)/BL116*BM116,1)</f>
        <v>528525.69999999995</v>
      </c>
      <c r="BS116" s="49">
        <v>200000</v>
      </c>
      <c r="BT116" s="50">
        <v>209</v>
      </c>
      <c r="BU116" s="49">
        <f>IF($BN116="","",
IFERROR(
    IF($BN116&lt;'[1]시간외시간 기준표'!$B$2,0,
        IF($BN116&gt;LOOKUP(9.9E+307,'[1]시간외시간 기준표'!$B$2:$B$999),
            LOOKUP(9.9E+307,'[1]시간외시간 기준표'!$C$2:$C$999),
            LOOKUP($BN116,'[1]시간외시간 기준표'!$B$2:$B$999,'[1]시간외시간 기준표'!$C$2:$C$999)
        )
    ),0)
)</f>
        <v>34</v>
      </c>
      <c r="BV116" s="50">
        <f>(BQ116+BS116)/209</f>
        <v>10363.253588516747</v>
      </c>
      <c r="BW116" s="51">
        <v>30</v>
      </c>
      <c r="BX116" s="51">
        <v>30</v>
      </c>
      <c r="BY116" s="52">
        <v>32333333.333333332</v>
      </c>
      <c r="BZ116" s="52">
        <f>CA116*12</f>
        <v>32333340</v>
      </c>
      <c r="CA116" s="49">
        <f>SUM(CB116:CD116)</f>
        <v>2694445</v>
      </c>
      <c r="CB116" s="49">
        <f>ROUNDUP(BY116/12*209/(209+CF116*1.5)/BW116*BX116,-1)-CD116</f>
        <v>1929070</v>
      </c>
      <c r="CC116" s="49">
        <f>ROUNDUP(BY116/12*(CF116*1.5)/(209+CF116*1.5)/BW116*BX116,1)</f>
        <v>565375</v>
      </c>
      <c r="CD116" s="49">
        <v>200000</v>
      </c>
      <c r="CE116" s="50">
        <v>209</v>
      </c>
      <c r="CF116" s="49">
        <f>IF(BY116&lt;26000000,0,IF(BY116&lt;26500000,4,IF(BY116&lt;27000000,7,IF(BY116&lt;27500000,9,IF(BY116&lt;28000000,11,IF(BY116&lt;28500000,15,IF(BY116&lt;29000000,17,IF(BY116&lt;29500000,20,IF(BY116&lt;30000000,23,IF(BY116&lt;30500000,25,IF(BY116&lt;31000000,27,IF(BY116&lt;31500000,29,IF(BY116&lt;32000000,33,IF(BY116&lt;32500000,37,IF(BY116&lt;33000000,39,IF(BY116&lt;33500000,42,IF(BY116&lt;34000000,45,IF(BY116&lt;34500000,48,IF(BY116&lt;35000000,52,52)))))))))))))))))))</f>
        <v>37</v>
      </c>
      <c r="CG116" s="50">
        <f>(CB116+CD116)/209</f>
        <v>10186.937799043062</v>
      </c>
      <c r="CH116" s="51">
        <v>30</v>
      </c>
      <c r="CI116" s="51">
        <v>30</v>
      </c>
      <c r="CJ116" s="52">
        <v>32000000</v>
      </c>
      <c r="CK116" s="52">
        <f>CL116*12</f>
        <v>32000116.799999997</v>
      </c>
      <c r="CL116" s="49">
        <f>SUM(CM116:CO116)</f>
        <v>2666676.4</v>
      </c>
      <c r="CM116" s="49">
        <f>ROUNDUP(CJ116/12*209/(209+CQ116*1.5)/CH116*CI116,-1)-CO116</f>
        <v>1907130</v>
      </c>
      <c r="CN116" s="49">
        <f>ROUNDUP(CJ116/12*(CQ116*1.5)/(209+CQ116*1.5)/CH116*CI116,1)</f>
        <v>559546.4</v>
      </c>
      <c r="CO116" s="50">
        <v>200000</v>
      </c>
      <c r="CP116" s="50">
        <v>209</v>
      </c>
      <c r="CQ116" s="50">
        <f>IF(CJ116&lt;26000000,0,IF(CJ116&lt;26500000,4,IF(CJ116&lt;27000000,7,IF(CJ116&lt;27500000,9,IF(CJ116&lt;28000000,11,IF(CJ116&lt;28500000,15,IF(CJ116&lt;29000000,17,IF(CJ116&lt;29500000,20,IF(CJ116&lt;30000000,23,IF(CJ116&lt;30500000,25,IF(CJ116&lt;31000000,27,IF(CJ116&lt;31500000,29,IF(CJ116&lt;32000000,33,IF(CJ116&lt;32500000,37,IF(CJ116&lt;33000000,39,IF(CJ116&lt;33500000,42,IF(CJ116&lt;34000000,45,IF(CJ116&lt;34500000,48,IF(CJ116&lt;35000000,52,52)))))))))))))))))))</f>
        <v>37</v>
      </c>
      <c r="CR116" s="50">
        <f>(CM116+CO116)/209</f>
        <v>10081.961722488039</v>
      </c>
      <c r="CS116" s="52"/>
      <c r="CT116" s="53"/>
      <c r="CU116" s="53"/>
      <c r="CV116" s="53"/>
      <c r="CW116" s="54"/>
      <c r="CX116" s="54"/>
      <c r="CY116" s="54"/>
      <c r="CZ116" s="55"/>
      <c r="DA116" s="55"/>
      <c r="DB116" s="56"/>
      <c r="DC116" s="57"/>
      <c r="DD116" s="58" t="s">
        <v>1552</v>
      </c>
      <c r="DE116" s="58"/>
      <c r="DF116" s="57"/>
      <c r="DG116" s="59">
        <f>B116</f>
        <v>240709</v>
      </c>
      <c r="DH116" s="58"/>
      <c r="DI116" s="58"/>
      <c r="DJ116" s="60"/>
      <c r="DK116" s="58"/>
      <c r="DL116" s="61"/>
      <c r="DM116" s="24"/>
    </row>
    <row r="117" spans="1:117" ht="15" customHeight="1">
      <c r="A117" s="25">
        <f>ROW()-2</f>
        <v>115</v>
      </c>
      <c r="B117" s="26">
        <v>240710</v>
      </c>
      <c r="C117" s="27" t="s">
        <v>1553</v>
      </c>
      <c r="D117" s="27"/>
      <c r="E117" s="27" t="s">
        <v>613</v>
      </c>
      <c r="F117" s="27" t="s">
        <v>196</v>
      </c>
      <c r="G117" s="27" t="s">
        <v>240</v>
      </c>
      <c r="H117" s="27" t="s">
        <v>241</v>
      </c>
      <c r="I117" s="27" t="s">
        <v>242</v>
      </c>
      <c r="J117" s="27" t="str">
        <f>+VLOOKUP($I117,[1]프로젝트현황!$I:$N,5,0)</f>
        <v>서울시</v>
      </c>
      <c r="K117" s="27" t="str">
        <f>+VLOOKUP($I117,[1]프로젝트현황!$I:$N,6,0)</f>
        <v>영등포구</v>
      </c>
      <c r="L117" s="28">
        <v>45502</v>
      </c>
      <c r="M117" s="28">
        <v>45502</v>
      </c>
      <c r="N117" s="28"/>
      <c r="O117" s="29"/>
      <c r="P117" s="30" t="s">
        <v>1554</v>
      </c>
      <c r="Q117" s="27" t="s">
        <v>1555</v>
      </c>
      <c r="R117" s="31" t="str">
        <f>LEFT(Q117,6)</f>
        <v>930812</v>
      </c>
      <c r="S117" s="31" t="str">
        <f>MID($Q117,3,2)</f>
        <v>08</v>
      </c>
      <c r="T117" s="31" t="str">
        <f>IF(OR(MID($Q117,8,1)="1",MID($Q117,8,1)="3"),"남자",IF(OR(MID($Q117,8,1)="2",MID($Q117,8,1)="4"),"여자",""))</f>
        <v>남자</v>
      </c>
      <c r="U117" s="31">
        <f ca="1">YEAR(TODAY())-IF(OR(MID($Q117,8,1)="1",MID($Q117,8,1)="2"),19&amp;LEFT($Q117,2),IF(OR(MID($Q117,8,1)="3",MID($Q117,8,1)="4"),20&amp;LEFT($Q117,2),""))+1</f>
        <v>34</v>
      </c>
      <c r="V117" s="31" t="s">
        <v>200</v>
      </c>
      <c r="W117" s="31" t="s">
        <v>201</v>
      </c>
      <c r="X117" s="27" t="s">
        <v>1556</v>
      </c>
      <c r="Y117" s="27"/>
      <c r="Z117" s="27"/>
      <c r="AA117" s="32"/>
      <c r="AB117" s="31" t="s">
        <v>203</v>
      </c>
      <c r="AC117" s="27"/>
      <c r="AD117" s="33" t="str">
        <f>QUOTIENT(SUMPRODUCT(LEFT($AE117:$AF117,FIND("년",$AE117:$AF117)-1)*12+MID($AE117:$AF117,FIND("년",$AE117:$AF117)+1,FIND("개월",$AE117:$AF117)-FIND("년",$AE117:$AF117)-1)),12)&amp;"년"&amp;MOD(SUMPRODUCT(LEFT($AE117:$AF117,FIND("년",$AE117:$AF117)-1)*12+MID($AE117:$AF117,FIND("년",$AE117:$AF117)+1,FIND("개월",$AE117:$AF117)-FIND("년",$AE117:$AF117)-1)),12)&amp;"개월"</f>
        <v>3년5개월</v>
      </c>
      <c r="AE117" s="33" t="s">
        <v>1515</v>
      </c>
      <c r="AF117" s="34" t="s">
        <v>1545</v>
      </c>
      <c r="AG117" s="35" t="s">
        <v>1557</v>
      </c>
      <c r="AH117" s="35" t="s">
        <v>1162</v>
      </c>
      <c r="AI117" s="30" t="s">
        <v>270</v>
      </c>
      <c r="AJ117" s="32">
        <v>43509</v>
      </c>
      <c r="AK117" s="36">
        <f>VALUE(LEFT($AD117,FIND("년",$AD117)-1))</f>
        <v>3</v>
      </c>
      <c r="AL117" s="31" t="str">
        <f>IF($AI117="학사",IF($AK117&lt;=5,"초급",IF($AK117&lt;9,"중급",IF($AK117&lt;12,"고급",IF($AK117&gt;=12,"특급")))))</f>
        <v>초급</v>
      </c>
      <c r="AM117" s="31" t="str">
        <f>IF(ISNUMBER(SEARCH("산업기사",$AT117)),IF($AK117&gt;=13,"특급",IF($AK117&gt;=10,"고급",IF($AK117&gt;=7,"중급","초급"))),IF(ISNUMBER(SEARCH("기사",$AR117)),IF($AK117&gt;=10,"특급",IF($AK117&gt;=7,"고급",IF($AK117&gt;=4,"중급","초급"))),"미해당"))</f>
        <v>미해당</v>
      </c>
      <c r="AN117" s="27"/>
      <c r="AO117" s="32"/>
      <c r="AP117" s="27"/>
      <c r="AQ117" s="32"/>
      <c r="AR117" s="27"/>
      <c r="AS117" s="27"/>
      <c r="AT117" s="37"/>
      <c r="AU117" s="27"/>
      <c r="AV117" s="38"/>
      <c r="AW117" s="39"/>
      <c r="AX117" s="39"/>
      <c r="AY117" s="40" t="s">
        <v>251</v>
      </c>
      <c r="AZ117" s="41" t="s">
        <v>252</v>
      </c>
      <c r="BA117" s="30" t="s">
        <v>230</v>
      </c>
      <c r="BB117" s="30" t="s">
        <v>1558</v>
      </c>
      <c r="BC117" s="42" t="s">
        <v>254</v>
      </c>
      <c r="BD117" s="42" t="s">
        <v>1559</v>
      </c>
      <c r="BE117" s="43" t="s">
        <v>1560</v>
      </c>
      <c r="BF117" s="42" t="s">
        <v>211</v>
      </c>
      <c r="BG117" s="42" t="s">
        <v>385</v>
      </c>
      <c r="BH117" s="35"/>
      <c r="BI117" s="44" t="s">
        <v>1561</v>
      </c>
      <c r="BJ117" s="45" t="str">
        <f>IFERROR(VLOOKUP($BG117,[1]프로젝트현황!Y:Z,2,0),"기타")</f>
        <v>동남권</v>
      </c>
      <c r="BK117" s="46" t="str">
        <f>(IF(BF117="","",BF117&amp;" "))&amp;(IF(BG117="","",BG117&amp;" "))&amp;(IF(BH117="","",BH117&amp;" "))&amp;BI117</f>
        <v>서울시 서초구 효령로 22, 602호 (방배동, 멤버스뷰)</v>
      </c>
      <c r="BL117" s="47">
        <v>30</v>
      </c>
      <c r="BM117" s="47">
        <v>30</v>
      </c>
      <c r="BN117" s="48">
        <v>29833333.333333332</v>
      </c>
      <c r="BO117" s="48">
        <f>BP117*12</f>
        <v>29833365.599999998</v>
      </c>
      <c r="BP117" s="49">
        <f>SUM(BQ117:BS117)</f>
        <v>2486113.7999999998</v>
      </c>
      <c r="BQ117" s="49">
        <f>ROUNDUP(BN117/12*209/(209+BU117*1.5)/BL117*BM117,-1)-BS117</f>
        <v>1960490</v>
      </c>
      <c r="BR117" s="49">
        <f>ROUNDUP(BN117/12*(BU117*1.5)/(209+BU117*1.5)/BL117*BM117,1)</f>
        <v>325623.8</v>
      </c>
      <c r="BS117" s="49">
        <v>200000</v>
      </c>
      <c r="BT117" s="50">
        <v>209</v>
      </c>
      <c r="BU117" s="49">
        <f>IF($BN117="","",
IFERROR(
    IF($BN117&lt;'[1]시간외시간 기준표'!$B$2,0,
        IF($BN117&gt;LOOKUP(9.9E+307,'[1]시간외시간 기준표'!$B$2:$B$999),
            LOOKUP(9.9E+307,'[1]시간외시간 기준표'!$C$2:$C$999),
            LOOKUP($BN117,'[1]시간외시간 기준표'!$B$2:$B$999,'[1]시간외시간 기준표'!$C$2:$C$999)
        )
    ),0)
)</f>
        <v>21</v>
      </c>
      <c r="BV117" s="50">
        <f>(BQ117+BS117)/209</f>
        <v>10337.272727272728</v>
      </c>
      <c r="BW117" s="51">
        <v>30</v>
      </c>
      <c r="BX117" s="51">
        <v>30</v>
      </c>
      <c r="BY117" s="52">
        <v>29833333.333333332</v>
      </c>
      <c r="BZ117" s="52">
        <f>CA117*12</f>
        <v>29833340.400000002</v>
      </c>
      <c r="CA117" s="49">
        <f>SUM(CB117:CD117)</f>
        <v>2486111.7000000002</v>
      </c>
      <c r="CB117" s="49">
        <f>ROUNDUP(BY117/12*209/(209+CF117*1.5)/BW117*BX117,-1)-CD117</f>
        <v>1933870</v>
      </c>
      <c r="CC117" s="49">
        <f>ROUNDUP(BY117/12*(CF117*1.5)/(209+CF117*1.5)/BW117*BX117,1)</f>
        <v>352241.69999999995</v>
      </c>
      <c r="CD117" s="49">
        <v>200000</v>
      </c>
      <c r="CE117" s="50">
        <v>209</v>
      </c>
      <c r="CF117" s="49">
        <f>IF(BY117&lt;26000000,0,IF(BY117&lt;26500000,4,IF(BY117&lt;27000000,7,IF(BY117&lt;27500000,9,IF(BY117&lt;28000000,11,IF(BY117&lt;28500000,15,IF(BY117&lt;29000000,17,IF(BY117&lt;29500000,20,IF(BY117&lt;30000000,23,IF(BY117&lt;30500000,25,IF(BY117&lt;31000000,27,IF(BY117&lt;31500000,29,IF(BY117&lt;32000000,33,IF(BY117&lt;32500000,37,IF(BY117&lt;33000000,39,IF(BY117&lt;33500000,42,IF(BY117&lt;34000000,45,IF(BY117&lt;34500000,48,IF(BY117&lt;35000000,52,52)))))))))))))))))))</f>
        <v>23</v>
      </c>
      <c r="CG117" s="50">
        <f>(CB117+CD117)/209</f>
        <v>10209.904306220096</v>
      </c>
      <c r="CH117" s="51">
        <v>30</v>
      </c>
      <c r="CI117" s="51">
        <v>30</v>
      </c>
      <c r="CJ117" s="52">
        <v>29500000</v>
      </c>
      <c r="CK117" s="52">
        <f>CL117*12</f>
        <v>29500032</v>
      </c>
      <c r="CL117" s="49">
        <f>SUM(CM117:CO117)</f>
        <v>2458336</v>
      </c>
      <c r="CM117" s="49">
        <f>ROUNDUP(CJ117/12*209/(209+CQ117*1.5)/CH117*CI117,-1)-CO117</f>
        <v>1910030</v>
      </c>
      <c r="CN117" s="49">
        <f>ROUNDUP(CJ117/12*(CQ117*1.5)/(209+CQ117*1.5)/CH117*CI117,1)</f>
        <v>348306</v>
      </c>
      <c r="CO117" s="50">
        <v>200000</v>
      </c>
      <c r="CP117" s="50">
        <v>209</v>
      </c>
      <c r="CQ117" s="50">
        <f>IF(CJ117&lt;26000000,0,IF(CJ117&lt;26500000,4,IF(CJ117&lt;27000000,7,IF(CJ117&lt;27500000,9,IF(CJ117&lt;28000000,11,IF(CJ117&lt;28500000,15,IF(CJ117&lt;29000000,17,IF(CJ117&lt;29500000,20,IF(CJ117&lt;30000000,23,IF(CJ117&lt;30500000,25,IF(CJ117&lt;31000000,27,IF(CJ117&lt;31500000,29,IF(CJ117&lt;32000000,33,IF(CJ117&lt;32500000,37,IF(CJ117&lt;33000000,39,IF(CJ117&lt;33500000,42,IF(CJ117&lt;34000000,45,IF(CJ117&lt;34500000,48,IF(CJ117&lt;35000000,52,52)))))))))))))))))))</f>
        <v>23</v>
      </c>
      <c r="CR117" s="50">
        <f>(CM117+CO117)/209</f>
        <v>10095.837320574163</v>
      </c>
      <c r="CS117" s="52"/>
      <c r="CT117" s="53"/>
      <c r="CU117" s="53"/>
      <c r="CV117" s="53"/>
      <c r="CW117" s="54"/>
      <c r="CX117" s="54"/>
      <c r="CY117" s="54"/>
      <c r="CZ117" s="55"/>
      <c r="DA117" s="55"/>
      <c r="DB117" s="56"/>
      <c r="DC117" s="57"/>
      <c r="DD117" s="58"/>
      <c r="DE117" s="58"/>
      <c r="DF117" s="57"/>
      <c r="DG117" s="59">
        <f>B117</f>
        <v>240710</v>
      </c>
      <c r="DH117" s="58"/>
      <c r="DI117" s="58"/>
      <c r="DJ117" s="60"/>
      <c r="DK117" s="58"/>
      <c r="DL117" s="61"/>
      <c r="DM117" s="24"/>
    </row>
    <row r="118" spans="1:117" ht="15" customHeight="1">
      <c r="A118" s="25">
        <f>ROW()-2</f>
        <v>116</v>
      </c>
      <c r="B118" s="26">
        <v>240804</v>
      </c>
      <c r="C118" s="27" t="s">
        <v>1562</v>
      </c>
      <c r="D118" s="27"/>
      <c r="E118" s="27" t="s">
        <v>613</v>
      </c>
      <c r="F118" s="27" t="s">
        <v>196</v>
      </c>
      <c r="G118" s="27" t="s">
        <v>240</v>
      </c>
      <c r="H118" s="27" t="s">
        <v>241</v>
      </c>
      <c r="I118" s="27" t="s">
        <v>538</v>
      </c>
      <c r="J118" s="27" t="str">
        <f>+VLOOKUP($I118,[1]프로젝트현황!$I:$N,5,0)</f>
        <v>서울시</v>
      </c>
      <c r="K118" s="27" t="str">
        <f>+VLOOKUP($I118,[1]프로젝트현황!$I:$N,6,0)</f>
        <v>금천구</v>
      </c>
      <c r="L118" s="28">
        <v>45516</v>
      </c>
      <c r="M118" s="28">
        <v>45516</v>
      </c>
      <c r="N118" s="28"/>
      <c r="O118" s="29"/>
      <c r="P118" s="30" t="s">
        <v>1563</v>
      </c>
      <c r="Q118" s="27" t="s">
        <v>1564</v>
      </c>
      <c r="R118" s="31" t="str">
        <f>LEFT(Q118,6)</f>
        <v>000104</v>
      </c>
      <c r="S118" s="31" t="str">
        <f>MID($Q118,3,2)</f>
        <v>01</v>
      </c>
      <c r="T118" s="31" t="str">
        <f>IF(OR(MID($Q118,8,1)="1",MID($Q118,8,1)="3"),"남자",IF(OR(MID($Q118,8,1)="2",MID($Q118,8,1)="4"),"여자",""))</f>
        <v>남자</v>
      </c>
      <c r="U118" s="31">
        <f ca="1">YEAR(TODAY())-IF(OR(MID($Q118,8,1)="1",MID($Q118,8,1)="2"),19&amp;LEFT($Q118,2),IF(OR(MID($Q118,8,1)="3",MID($Q118,8,1)="4"),20&amp;LEFT($Q118,2),""))+1</f>
        <v>27</v>
      </c>
      <c r="V118" s="31" t="s">
        <v>200</v>
      </c>
      <c r="W118" s="31" t="s">
        <v>201</v>
      </c>
      <c r="X118" s="27" t="s">
        <v>1565</v>
      </c>
      <c r="Y118" s="27"/>
      <c r="Z118" s="27"/>
      <c r="AA118" s="32"/>
      <c r="AB118" s="31" t="s">
        <v>203</v>
      </c>
      <c r="AC118" s="27"/>
      <c r="AD118" s="33" t="str">
        <f ca="1">QUOTIENT(SUMPRODUCT(LEFT($AE118:$AF118,FIND("년",$AE118:$AF118)-1)*12+MID($AE118:$AF118,FIND("년",$AE118:$AF118)+1,FIND("개월",$AE118:$AF118)-FIND("년",$AE118:$AF118)-1)),12)&amp;"년"&amp;MOD(SUMPRODUCT(LEFT($AE118:$AF118,FIND("년",$AE118:$AF118)-1)*12+MID($AE118:$AF118,FIND("년",$AE118:$AF118)+1,FIND("개월",$AE118:$AF118)-FIND("년",$AE118:$AF118)-1)),12)&amp;"개월"</f>
        <v>1년5개월</v>
      </c>
      <c r="AE118" s="33" t="s">
        <v>543</v>
      </c>
      <c r="AF118" s="34" t="str">
        <f ca="1">DATEDIF($L118,TODAY(),"y")&amp;"년"&amp;DATEDIF($L118,TODAY(),"ym")&amp;"개월"</f>
        <v>1년5개월</v>
      </c>
      <c r="AG118" s="35" t="s">
        <v>447</v>
      </c>
      <c r="AH118" s="35" t="s">
        <v>448</v>
      </c>
      <c r="AI118" s="30" t="s">
        <v>205</v>
      </c>
      <c r="AJ118" s="32">
        <v>45338</v>
      </c>
      <c r="AK118" s="36">
        <f ca="1">VALUE(LEFT($AD118,FIND("년",$AD118)-1))</f>
        <v>1</v>
      </c>
      <c r="AL118" s="31" t="str">
        <f ca="1">IF($AI118="전문학사",IF($AK118&lt;=8,"초급",IF($AK118&lt;12,"중급",IF($AK118&lt;15,"고급",IF($AK118&gt;=15,"특급")))))</f>
        <v>초급</v>
      </c>
      <c r="AM118" s="31" t="str">
        <f>IF(ISNUMBER(SEARCH("산업기사",$AT118)),IF($AK118&gt;=13,"특급",IF($AK118&gt;=10,"고급",IF($AK118&gt;=7,"중급","초급"))),IF(ISNUMBER(SEARCH("기사",$AR118)),IF($AK118&gt;=10,"특급",IF($AK118&gt;=7,"고급",IF($AK118&gt;=4,"중급","초급"))),"미해당"))</f>
        <v>미해당</v>
      </c>
      <c r="AN118" s="27"/>
      <c r="AO118" s="32"/>
      <c r="AP118" s="27"/>
      <c r="AQ118" s="32"/>
      <c r="AR118" s="27"/>
      <c r="AS118" s="27"/>
      <c r="AT118" s="37"/>
      <c r="AU118" s="27"/>
      <c r="AV118" s="38"/>
      <c r="AW118" s="39"/>
      <c r="AX118" s="39"/>
      <c r="AY118" s="40" t="s">
        <v>251</v>
      </c>
      <c r="AZ118" s="41" t="s">
        <v>252</v>
      </c>
      <c r="BA118" s="30" t="s">
        <v>230</v>
      </c>
      <c r="BB118" s="30" t="s">
        <v>1566</v>
      </c>
      <c r="BC118" s="42"/>
      <c r="BD118" s="42"/>
      <c r="BE118" s="43" t="s">
        <v>1567</v>
      </c>
      <c r="BF118" s="42" t="s">
        <v>234</v>
      </c>
      <c r="BG118" s="42" t="s">
        <v>278</v>
      </c>
      <c r="BH118" s="35" t="s">
        <v>1568</v>
      </c>
      <c r="BI118" s="44" t="s">
        <v>1569</v>
      </c>
      <c r="BJ118" s="45" t="str">
        <f>IFERROR(VLOOKUP($BG118,[1]프로젝트현황!Y:Z,2,0),"기타")</f>
        <v>서남권</v>
      </c>
      <c r="BK118" s="46" t="str">
        <f>(IF(BF118="","",BF118&amp;" "))&amp;(IF(BG118="","",BG118&amp;" "))&amp;(IF(BH118="","",BH118&amp;" "))&amp;BI118</f>
        <v>경기도 안산시 상록구 본삼로8, 110동 104호(본오동,본오주공아파트)</v>
      </c>
      <c r="BL118" s="47">
        <v>30</v>
      </c>
      <c r="BM118" s="47">
        <v>30</v>
      </c>
      <c r="BN118" s="48">
        <v>28266666.666666668</v>
      </c>
      <c r="BO118" s="48">
        <f>BP118*12</f>
        <v>28266770.400000002</v>
      </c>
      <c r="BP118" s="49">
        <f>SUM(BQ118:BS118)</f>
        <v>2355564.2000000002</v>
      </c>
      <c r="BQ118" s="49">
        <f>ROUNDUP(BN118/12*209/(209+BU118*1.5)/BL118*BM118,-1)-BS118</f>
        <v>1968780</v>
      </c>
      <c r="BR118" s="49">
        <f>ROUNDUP(BN118/12*(BU118*1.5)/(209+BU118*1.5)/BL118*BM118,1)</f>
        <v>186784.2</v>
      </c>
      <c r="BS118" s="49">
        <v>200000</v>
      </c>
      <c r="BT118" s="50">
        <v>209</v>
      </c>
      <c r="BU118" s="49">
        <f>IF($BN118="","",
IFERROR(
    IF($BN118&lt;'[1]시간외시간 기준표'!$B$2,0,
        IF($BN118&gt;LOOKUP(9.9E+307,'[1]시간외시간 기준표'!$B$2:$B$999),
            LOOKUP(9.9E+307,'[1]시간외시간 기준표'!$C$2:$C$999),
            LOOKUP($BN118,'[1]시간외시간 기준표'!$B$2:$B$999,'[1]시간외시간 기준표'!$C$2:$C$999)
        )
    ),0)
)</f>
        <v>12</v>
      </c>
      <c r="BV118" s="50">
        <f>(BQ118+BS118)/209</f>
        <v>10376.937799043062</v>
      </c>
      <c r="BW118" s="51">
        <v>30</v>
      </c>
      <c r="BX118" s="51">
        <v>30</v>
      </c>
      <c r="BY118" s="52">
        <v>28266666.666666668</v>
      </c>
      <c r="BZ118" s="52">
        <f>CA118*12</f>
        <v>28266740.400000002</v>
      </c>
      <c r="CA118" s="49">
        <f>SUM(CB118:CD118)</f>
        <v>2355561.7000000002</v>
      </c>
      <c r="CB118" s="49">
        <f>ROUNDUP(BY118/12*209/(209+CF118*1.5)/BW118*BX118,-1)-CD118</f>
        <v>1926620</v>
      </c>
      <c r="CC118" s="49">
        <f>ROUNDUP(BY118/12*(CF118*1.5)/(209+CF118*1.5)/BW118*BX118,1)</f>
        <v>228941.7</v>
      </c>
      <c r="CD118" s="49">
        <v>200000</v>
      </c>
      <c r="CE118" s="50">
        <v>209</v>
      </c>
      <c r="CF118" s="49">
        <f>IF(BY118&lt;26000000,0,IF(BY118&lt;26500000,4,IF(BY118&lt;27000000,7,IF(BY118&lt;27500000,9,IF(BY118&lt;28000000,11,IF(BY118&lt;28500000,15,IF(BY118&lt;29000000,17,IF(BY118&lt;29500000,20,IF(BY118&lt;30000000,23,IF(BY118&lt;30500000,25,IF(BY118&lt;31000000,27,IF(BY118&lt;31500000,29,IF(BY118&lt;32000000,33,IF(BY118&lt;32500000,37,IF(BY118&lt;33000000,39,IF(BY118&lt;33500000,42,IF(BY118&lt;34000000,45,IF(BY118&lt;34500000,48,IF(BY118&lt;35000000,52,52)))))))))))))))))))</f>
        <v>15</v>
      </c>
      <c r="CG118" s="50">
        <f>(CB118+CD118)/209</f>
        <v>10175.215311004784</v>
      </c>
      <c r="CH118" s="51">
        <v>30</v>
      </c>
      <c r="CI118" s="51">
        <v>30</v>
      </c>
      <c r="CJ118" s="52">
        <v>28000000</v>
      </c>
      <c r="CK118" s="52">
        <f>CL118*12</f>
        <v>28000102.799999997</v>
      </c>
      <c r="CL118" s="49">
        <f>SUM(CM118:CO118)</f>
        <v>2333341.9</v>
      </c>
      <c r="CM118" s="49">
        <f>ROUNDUP(CJ118/12*209/(209+CQ118*1.5)/CH118*CI118,-1)-CO118</f>
        <v>1906560</v>
      </c>
      <c r="CN118" s="49">
        <f>ROUNDUP(CJ118/12*(CQ118*1.5)/(209+CQ118*1.5)/CH118*CI118,1)</f>
        <v>226781.9</v>
      </c>
      <c r="CO118" s="50">
        <v>200000</v>
      </c>
      <c r="CP118" s="50">
        <v>209</v>
      </c>
      <c r="CQ118" s="50">
        <f>IF(CJ118&lt;26000000,0,IF(CJ118&lt;26500000,4,IF(CJ118&lt;27000000,7,IF(CJ118&lt;27500000,9,IF(CJ118&lt;28000000,11,IF(CJ118&lt;28500000,15,IF(CJ118&lt;29000000,17,IF(CJ118&lt;29500000,20,IF(CJ118&lt;30000000,23,IF(CJ118&lt;30500000,25,IF(CJ118&lt;31000000,27,IF(CJ118&lt;31500000,29,IF(CJ118&lt;32000000,33,IF(CJ118&lt;32500000,37,IF(CJ118&lt;33000000,39,IF(CJ118&lt;33500000,42,IF(CJ118&lt;34000000,45,IF(CJ118&lt;34500000,48,IF(CJ118&lt;35000000,52,52)))))))))))))))))))</f>
        <v>15</v>
      </c>
      <c r="CR118" s="50">
        <f>(CM118+CO118)/209</f>
        <v>10079.234449760766</v>
      </c>
      <c r="CS118" s="52"/>
      <c r="CT118" s="53"/>
      <c r="CU118" s="53"/>
      <c r="CV118" s="53"/>
      <c r="CW118" s="54"/>
      <c r="CX118" s="54"/>
      <c r="CY118" s="54"/>
      <c r="CZ118" s="55"/>
      <c r="DA118" s="55"/>
      <c r="DB118" s="56"/>
      <c r="DC118" s="57"/>
      <c r="DD118" s="58"/>
      <c r="DE118" s="58"/>
      <c r="DF118" s="57"/>
      <c r="DG118" s="59">
        <f>B118</f>
        <v>240804</v>
      </c>
      <c r="DH118" s="58"/>
      <c r="DI118" s="58"/>
      <c r="DJ118" s="60"/>
      <c r="DK118" s="58"/>
      <c r="DL118" s="61"/>
      <c r="DM118" s="24"/>
    </row>
    <row r="119" spans="1:117" ht="15" customHeight="1">
      <c r="A119" s="25">
        <f>ROW()-2</f>
        <v>117</v>
      </c>
      <c r="B119" s="26">
        <v>240805</v>
      </c>
      <c r="C119" s="27" t="s">
        <v>1570</v>
      </c>
      <c r="D119" s="27"/>
      <c r="E119" s="27" t="s">
        <v>613</v>
      </c>
      <c r="F119" s="27" t="s">
        <v>196</v>
      </c>
      <c r="G119" s="27" t="s">
        <v>240</v>
      </c>
      <c r="H119" s="27" t="s">
        <v>241</v>
      </c>
      <c r="I119" s="27" t="s">
        <v>653</v>
      </c>
      <c r="J119" s="27" t="str">
        <f>+VLOOKUP($I119,[1]프로젝트현황!$I:$N,5,0)</f>
        <v>서울시</v>
      </c>
      <c r="K119" s="27" t="str">
        <f>+VLOOKUP($I119,[1]프로젝트현황!$I:$N,6,0)</f>
        <v>강남구</v>
      </c>
      <c r="L119" s="28">
        <v>45523</v>
      </c>
      <c r="M119" s="28">
        <v>45523</v>
      </c>
      <c r="N119" s="28"/>
      <c r="O119" s="29"/>
      <c r="P119" s="30" t="s">
        <v>1571</v>
      </c>
      <c r="Q119" s="27" t="s">
        <v>1572</v>
      </c>
      <c r="R119" s="31" t="str">
        <f>LEFT(Q119,6)</f>
        <v>960104</v>
      </c>
      <c r="S119" s="31" t="str">
        <f>MID($Q119,3,2)</f>
        <v>01</v>
      </c>
      <c r="T119" s="31" t="str">
        <f>IF(OR(MID($Q119,8,1)="1",MID($Q119,8,1)="3"),"남자",IF(OR(MID($Q119,8,1)="2",MID($Q119,8,1)="4"),"여자",""))</f>
        <v>남자</v>
      </c>
      <c r="U119" s="31">
        <f ca="1">YEAR(TODAY())-IF(OR(MID($Q119,8,1)="1",MID($Q119,8,1)="2"),19&amp;LEFT($Q119,2),IF(OR(MID($Q119,8,1)="3",MID($Q119,8,1)="4"),20&amp;LEFT($Q119,2),""))+1</f>
        <v>31</v>
      </c>
      <c r="V119" s="31" t="s">
        <v>200</v>
      </c>
      <c r="W119" s="31" t="s">
        <v>201</v>
      </c>
      <c r="X119" s="27" t="s">
        <v>1573</v>
      </c>
      <c r="Y119" s="27"/>
      <c r="Z119" s="27"/>
      <c r="AA119" s="32"/>
      <c r="AB119" s="31" t="s">
        <v>203</v>
      </c>
      <c r="AC119" s="27"/>
      <c r="AD119" s="33" t="str">
        <f ca="1">QUOTIENT(SUMPRODUCT(LEFT($AE119:$AF119,FIND("년",$AE119:$AF119)-1)*12+MID($AE119:$AF119,FIND("년",$AE119:$AF119)+1,FIND("개월",$AE119:$AF119)-FIND("년",$AE119:$AF119)-1)),12)&amp;"년"&amp;MOD(SUMPRODUCT(LEFT($AE119:$AF119,FIND("년",$AE119:$AF119)-1)*12+MID($AE119:$AF119,FIND("년",$AE119:$AF119)+1,FIND("개월",$AE119:$AF119)-FIND("년",$AE119:$AF119)-1)),12)&amp;"개월"</f>
        <v>1년5개월</v>
      </c>
      <c r="AE119" s="33" t="s">
        <v>543</v>
      </c>
      <c r="AF119" s="34" t="str">
        <f ca="1">DATEDIF($L119,TODAY(),"y")&amp;"년"&amp;DATEDIF($L119,TODAY(),"ym")&amp;"개월"</f>
        <v>1년5개월</v>
      </c>
      <c r="AG119" s="35" t="s">
        <v>972</v>
      </c>
      <c r="AH119" s="35" t="s">
        <v>1574</v>
      </c>
      <c r="AI119" s="30" t="s">
        <v>205</v>
      </c>
      <c r="AJ119" s="32">
        <v>44246</v>
      </c>
      <c r="AK119" s="36">
        <f ca="1">VALUE(LEFT($AD119,FIND("년",$AD119)-1))</f>
        <v>1</v>
      </c>
      <c r="AL119" s="31" t="str">
        <f ca="1">IF($AI119="전문학사",IF($AK119&lt;=8,"초급",IF($AK119&lt;12,"중급",IF($AK119&lt;15,"고급",IF($AK119&gt;=15,"특급")))))</f>
        <v>초급</v>
      </c>
      <c r="AM119" s="31" t="str">
        <f>IF(ISNUMBER(SEARCH("산업기사",$AT119)),IF($AK119&gt;=13,"특급",IF($AK119&gt;=10,"고급",IF($AK119&gt;=7,"중급","초급"))),IF(ISNUMBER(SEARCH("기사",$AR119)),IF($AK119&gt;=10,"특급",IF($AK119&gt;=7,"고급",IF($AK119&gt;=4,"중급","초급"))),"미해당"))</f>
        <v>미해당</v>
      </c>
      <c r="AN119" s="27"/>
      <c r="AO119" s="32"/>
      <c r="AP119" s="27"/>
      <c r="AQ119" s="32"/>
      <c r="AR119" s="27"/>
      <c r="AS119" s="27"/>
      <c r="AT119" s="37"/>
      <c r="AU119" s="27"/>
      <c r="AV119" s="38"/>
      <c r="AW119" s="39"/>
      <c r="AX119" s="39"/>
      <c r="AY119" s="40" t="s">
        <v>251</v>
      </c>
      <c r="AZ119" s="41" t="s">
        <v>252</v>
      </c>
      <c r="BA119" s="30" t="s">
        <v>230</v>
      </c>
      <c r="BB119" s="30" t="s">
        <v>1575</v>
      </c>
      <c r="BC119" s="42"/>
      <c r="BD119" s="42"/>
      <c r="BE119" s="43" t="s">
        <v>1576</v>
      </c>
      <c r="BF119" s="42" t="s">
        <v>211</v>
      </c>
      <c r="BG119" s="42" t="s">
        <v>650</v>
      </c>
      <c r="BH119" s="35"/>
      <c r="BI119" s="44" t="s">
        <v>1577</v>
      </c>
      <c r="BJ119" s="45" t="str">
        <f>IFERROR(VLOOKUP($BG119,[1]프로젝트현황!Y:Z,2,0),"기타")</f>
        <v>동북권</v>
      </c>
      <c r="BK119" s="46" t="str">
        <f>(IF(BF119="","",BF119&amp;" "))&amp;(IF(BG119="","",BG119&amp;" "))&amp;(IF(BH119="","",BH119&amp;" "))&amp;BI119</f>
        <v>서울시 광진구 아차산로29길 52-10</v>
      </c>
      <c r="BL119" s="47">
        <v>30</v>
      </c>
      <c r="BM119" s="47">
        <v>30</v>
      </c>
      <c r="BN119" s="48">
        <v>27266666.666666668</v>
      </c>
      <c r="BO119" s="48">
        <f>BP119*12</f>
        <v>27266689.200000003</v>
      </c>
      <c r="BP119" s="49">
        <f>SUM(BQ119:BS119)</f>
        <v>2272224.1</v>
      </c>
      <c r="BQ119" s="49">
        <f>ROUNDUP(BN119/12*209/(209+BU119*1.5)/BL119*BM119,-1)-BS119</f>
        <v>1963530</v>
      </c>
      <c r="BR119" s="49">
        <f>ROUNDUP(BN119/12*(BU119*1.5)/(209+BU119*1.5)/BL119*BM119,1)</f>
        <v>108694.1</v>
      </c>
      <c r="BS119" s="49">
        <v>200000</v>
      </c>
      <c r="BT119" s="50">
        <v>209</v>
      </c>
      <c r="BU119" s="49">
        <f>IF($BN119="","",
IFERROR(
    IF($BN119&lt;'[1]시간외시간 기준표'!$B$2,0,
        IF($BN119&gt;LOOKUP(9.9E+307,'[1]시간외시간 기준표'!$B$2:$B$999),
            LOOKUP(9.9E+307,'[1]시간외시간 기준표'!$C$2:$C$999),
            LOOKUP($BN119,'[1]시간외시간 기준표'!$B$2:$B$999,'[1]시간외시간 기준표'!$C$2:$C$999)
        )
    ),0)
)</f>
        <v>7</v>
      </c>
      <c r="BV119" s="50">
        <f>(BQ119+BS119)/209</f>
        <v>10351.818181818182</v>
      </c>
      <c r="BW119" s="51">
        <v>30</v>
      </c>
      <c r="BX119" s="51">
        <v>30</v>
      </c>
      <c r="BY119" s="52">
        <v>27266666.666666668</v>
      </c>
      <c r="BZ119" s="52">
        <f>CA119*12</f>
        <v>27266702.400000002</v>
      </c>
      <c r="CA119" s="49">
        <f>SUM(CB119:CD119)</f>
        <v>2272225.2000000002</v>
      </c>
      <c r="CB119" s="49">
        <f>ROUNDUP(BY119/12*209/(209+CF119*1.5)/BW119*BX119,-1)-CD119</f>
        <v>1934360</v>
      </c>
      <c r="CC119" s="49">
        <f>ROUNDUP(BY119/12*(CF119*1.5)/(209+CF119*1.5)/BW119*BX119,1)</f>
        <v>137865.20000000001</v>
      </c>
      <c r="CD119" s="49">
        <v>200000</v>
      </c>
      <c r="CE119" s="50">
        <v>209</v>
      </c>
      <c r="CF119" s="49">
        <f>IF(BY119&lt;26000000,0,IF(BY119&lt;26500000,4,IF(BY119&lt;27000000,7,IF(BY119&lt;27500000,9,IF(BY119&lt;28000000,11,IF(BY119&lt;28500000,15,IF(BY119&lt;29000000,17,IF(BY119&lt;29500000,20,IF(BY119&lt;30000000,23,IF(BY119&lt;30500000,25,IF(BY119&lt;31000000,27,IF(BY119&lt;31500000,29,IF(BY119&lt;32000000,33,IF(BY119&lt;32500000,37,IF(BY119&lt;33000000,39,IF(BY119&lt;33500000,42,IF(BY119&lt;34000000,45,IF(BY119&lt;34500000,48,IF(BY119&lt;35000000,52,52)))))))))))))))))))</f>
        <v>9</v>
      </c>
      <c r="CG119" s="50">
        <f>(CB119+CD119)/209</f>
        <v>10212.248803827752</v>
      </c>
      <c r="CH119" s="51">
        <v>30</v>
      </c>
      <c r="CI119" s="51">
        <v>30</v>
      </c>
      <c r="CJ119" s="52">
        <v>27000000</v>
      </c>
      <c r="CK119" s="52">
        <f>CL119*12</f>
        <v>27000082.799999997</v>
      </c>
      <c r="CL119" s="49">
        <f>SUM(CM119:CO119)</f>
        <v>2250006.9</v>
      </c>
      <c r="CM119" s="49">
        <f>ROUNDUP(CJ119/12*209/(209+CQ119*1.5)/CH119*CI119,-1)-CO119</f>
        <v>1913490</v>
      </c>
      <c r="CN119" s="49">
        <f>ROUNDUP(CJ119/12*(CQ119*1.5)/(209+CQ119*1.5)/CH119*CI119,1)</f>
        <v>136516.9</v>
      </c>
      <c r="CO119" s="50">
        <v>200000</v>
      </c>
      <c r="CP119" s="50">
        <v>209</v>
      </c>
      <c r="CQ119" s="50">
        <f>IF(CJ119&lt;26000000,0,IF(CJ119&lt;26500000,4,IF(CJ119&lt;27000000,7,IF(CJ119&lt;27500000,9,IF(CJ119&lt;28000000,11,IF(CJ119&lt;28500000,15,IF(CJ119&lt;29000000,17,IF(CJ119&lt;29500000,20,IF(CJ119&lt;30000000,23,IF(CJ119&lt;30500000,25,IF(CJ119&lt;31000000,27,IF(CJ119&lt;31500000,29,IF(CJ119&lt;32000000,33,IF(CJ119&lt;32500000,37,IF(CJ119&lt;33000000,39,IF(CJ119&lt;33500000,42,IF(CJ119&lt;34000000,45,IF(CJ119&lt;34500000,48,IF(CJ119&lt;35000000,52,52)))))))))))))))))))</f>
        <v>9</v>
      </c>
      <c r="CR119" s="50">
        <f>(CM119+CO119)/209</f>
        <v>10112.392344497608</v>
      </c>
      <c r="CS119" s="52"/>
      <c r="CT119" s="53"/>
      <c r="CU119" s="53"/>
      <c r="CV119" s="53"/>
      <c r="CW119" s="54"/>
      <c r="CX119" s="54"/>
      <c r="CY119" s="54"/>
      <c r="CZ119" s="55"/>
      <c r="DA119" s="55"/>
      <c r="DB119" s="56"/>
      <c r="DC119" s="57"/>
      <c r="DD119" s="58"/>
      <c r="DE119" s="58"/>
      <c r="DF119" s="57"/>
      <c r="DG119" s="59">
        <f>B119</f>
        <v>240805</v>
      </c>
      <c r="DH119" s="58"/>
      <c r="DI119" s="58"/>
      <c r="DJ119" s="60"/>
      <c r="DK119" s="58"/>
      <c r="DL119" s="61"/>
      <c r="DM119" s="24"/>
    </row>
    <row r="120" spans="1:117" ht="15" customHeight="1">
      <c r="A120" s="25">
        <f>ROW()-2</f>
        <v>118</v>
      </c>
      <c r="B120" s="26">
        <v>240807</v>
      </c>
      <c r="C120" s="27" t="s">
        <v>1578</v>
      </c>
      <c r="D120" s="27"/>
      <c r="E120" s="27" t="s">
        <v>613</v>
      </c>
      <c r="F120" s="27" t="s">
        <v>196</v>
      </c>
      <c r="G120" s="27" t="s">
        <v>240</v>
      </c>
      <c r="H120" s="27" t="s">
        <v>217</v>
      </c>
      <c r="I120" s="27" t="s">
        <v>359</v>
      </c>
      <c r="J120" s="27" t="str">
        <f>+VLOOKUP($I120,[1]프로젝트현황!$I:$N,5,0)</f>
        <v>서울시</v>
      </c>
      <c r="K120" s="27" t="str">
        <f>+VLOOKUP($I120,[1]프로젝트현황!$I:$N,6,0)</f>
        <v>금천구</v>
      </c>
      <c r="L120" s="28">
        <v>45523</v>
      </c>
      <c r="M120" s="28">
        <v>45523</v>
      </c>
      <c r="N120" s="28"/>
      <c r="O120" s="29"/>
      <c r="P120" s="30" t="s">
        <v>1579</v>
      </c>
      <c r="Q120" s="27" t="s">
        <v>1580</v>
      </c>
      <c r="R120" s="31" t="str">
        <f>LEFT(Q120,6)</f>
        <v>950107</v>
      </c>
      <c r="S120" s="31" t="str">
        <f>MID($Q120,3,2)</f>
        <v>01</v>
      </c>
      <c r="T120" s="31" t="str">
        <f>IF(OR(MID($Q120,8,1)="1",MID($Q120,8,1)="3"),"남자",IF(OR(MID($Q120,8,1)="2",MID($Q120,8,1)="4"),"여자",""))</f>
        <v>남자</v>
      </c>
      <c r="U120" s="31">
        <f ca="1">YEAR(TODAY())-IF(OR(MID($Q120,8,1)="1",MID($Q120,8,1)="2"),19&amp;LEFT($Q120,2),IF(OR(MID($Q120,8,1)="3",MID($Q120,8,1)="4"),20&amp;LEFT($Q120,2),""))+1</f>
        <v>32</v>
      </c>
      <c r="V120" s="31" t="s">
        <v>200</v>
      </c>
      <c r="W120" s="31" t="s">
        <v>201</v>
      </c>
      <c r="X120" s="27" t="s">
        <v>1581</v>
      </c>
      <c r="Y120" s="27"/>
      <c r="Z120" s="27"/>
      <c r="AA120" s="32"/>
      <c r="AB120" s="31" t="s">
        <v>203</v>
      </c>
      <c r="AC120" s="27"/>
      <c r="AD120" s="33" t="str">
        <f ca="1">QUOTIENT(SUMPRODUCT(LEFT($AE120:$AF120,FIND("년",$AE120:$AF120)-1)*12+MID($AE120:$AF120,FIND("년",$AE120:$AF120)+1,FIND("개월",$AE120:$AF120)-FIND("년",$AE120:$AF120)-1)),12)&amp;"년"&amp;MOD(SUMPRODUCT(LEFT($AE120:$AF120,FIND("년",$AE120:$AF120)-1)*12+MID($AE120:$AF120,FIND("년",$AE120:$AF120)+1,FIND("개월",$AE120:$AF120)-FIND("년",$AE120:$AF120)-1)),12)&amp;"개월"</f>
        <v>1년5개월</v>
      </c>
      <c r="AE120" s="33" t="s">
        <v>543</v>
      </c>
      <c r="AF120" s="34" t="str">
        <f ca="1">DATEDIF($L120,TODAY(),"y")&amp;"년"&amp;DATEDIF($L120,TODAY(),"ym")&amp;"개월"</f>
        <v>1년5개월</v>
      </c>
      <c r="AG120" s="35" t="s">
        <v>1582</v>
      </c>
      <c r="AH120" s="35" t="s">
        <v>918</v>
      </c>
      <c r="AI120" s="30" t="s">
        <v>270</v>
      </c>
      <c r="AJ120" s="32">
        <v>44249</v>
      </c>
      <c r="AK120" s="36">
        <f ca="1">VALUE(LEFT($AD120,FIND("년",$AD120)-1))</f>
        <v>1</v>
      </c>
      <c r="AL120" s="31" t="str">
        <f ca="1">IF($AI120="학사",IF($AK120&lt;=5,"초급",IF($AK120&lt;9,"중급",IF($AK120&lt;12,"고급",IF($AK120&gt;=12,"특급")))))</f>
        <v>초급</v>
      </c>
      <c r="AM120" s="31" t="str">
        <f>IF(ISNUMBER(SEARCH("산업기사",$AT120)),IF($AK120&gt;=13,"특급",IF($AK120&gt;=10,"고급",IF($AK120&gt;=7,"중급","초급"))),IF(ISNUMBER(SEARCH("기사",$AR120)),IF($AK120&gt;=10,"특급",IF($AK120&gt;=7,"고급",IF($AK120&gt;=4,"중급","초급"))),"미해당"))</f>
        <v>미해당</v>
      </c>
      <c r="AN120" s="27"/>
      <c r="AO120" s="32"/>
      <c r="AP120" s="27"/>
      <c r="AQ120" s="32"/>
      <c r="AR120" s="27"/>
      <c r="AS120" s="27"/>
      <c r="AT120" s="37"/>
      <c r="AU120" s="27"/>
      <c r="AV120" s="38"/>
      <c r="AW120" s="39"/>
      <c r="AX120" s="39"/>
      <c r="AY120" s="40" t="s">
        <v>251</v>
      </c>
      <c r="AZ120" s="41" t="s">
        <v>252</v>
      </c>
      <c r="BA120" s="30" t="s">
        <v>230</v>
      </c>
      <c r="BB120" s="30" t="s">
        <v>1583</v>
      </c>
      <c r="BC120" s="42"/>
      <c r="BD120" s="42"/>
      <c r="BE120" s="43" t="s">
        <v>1584</v>
      </c>
      <c r="BF120" s="42" t="s">
        <v>211</v>
      </c>
      <c r="BG120" s="42" t="s">
        <v>400</v>
      </c>
      <c r="BH120" s="35"/>
      <c r="BI120" s="44" t="s">
        <v>1585</v>
      </c>
      <c r="BJ120" s="45" t="str">
        <f>IFERROR(VLOOKUP($BG120,[1]프로젝트현황!Y:Z,2,0),"기타")</f>
        <v>서남권</v>
      </c>
      <c r="BK120" s="46" t="str">
        <f>(IF(BF120="","",BF120&amp;" "))&amp;(IF(BG120="","",BG120&amp;" "))&amp;(IF(BH120="","",BH120&amp;" "))&amp;BI120</f>
        <v>서울시 강서구 공항대로61길 60, 103동 601호(염창동,태영송화아파트)</v>
      </c>
      <c r="BL120" s="47">
        <v>30</v>
      </c>
      <c r="BM120" s="47">
        <v>30</v>
      </c>
      <c r="BN120" s="48">
        <v>28000000</v>
      </c>
      <c r="BO120" s="48">
        <f>BP120*12</f>
        <v>28000101.599999998</v>
      </c>
      <c r="BP120" s="49">
        <f>SUM(BQ120:BS120)</f>
        <v>2333341.7999999998</v>
      </c>
      <c r="BQ120" s="49">
        <f>ROUNDUP(BN120/12*209/(209+BU120*1.5)/BL120*BM120,-1)-BS120</f>
        <v>1962610</v>
      </c>
      <c r="BR120" s="49">
        <f>ROUNDUP(BN120/12*(BU120*1.5)/(209+BU120*1.5)/BL120*BM120,1)</f>
        <v>170731.80000000002</v>
      </c>
      <c r="BS120" s="49">
        <v>200000</v>
      </c>
      <c r="BT120" s="50">
        <v>209</v>
      </c>
      <c r="BU120" s="49">
        <f>IF($BN120="","",
IFERROR(
    IF($BN120&lt;'[1]시간외시간 기준표'!$B$2,0,
        IF($BN120&gt;LOOKUP(9.9E+307,'[1]시간외시간 기준표'!$B$2:$B$999),
            LOOKUP(9.9E+307,'[1]시간외시간 기준표'!$C$2:$C$999),
            LOOKUP($BN120,'[1]시간외시간 기준표'!$B$2:$B$999,'[1]시간외시간 기준표'!$C$2:$C$999)
        )
    ),0)
)</f>
        <v>11</v>
      </c>
      <c r="BV120" s="50">
        <f>(BQ120+BS120)/209</f>
        <v>10347.416267942584</v>
      </c>
      <c r="BW120" s="51">
        <v>30</v>
      </c>
      <c r="BX120" s="51">
        <v>30</v>
      </c>
      <c r="BY120" s="52">
        <v>28000000</v>
      </c>
      <c r="BZ120" s="52">
        <f>CA120*12</f>
        <v>28000102.799999997</v>
      </c>
      <c r="CA120" s="49">
        <f>SUM(CB120:CD120)</f>
        <v>2333341.9</v>
      </c>
      <c r="CB120" s="49">
        <f>ROUNDUP(BY120/12*209/(209+CF120*1.5)/BW120*BX120,-1)-CD120</f>
        <v>1906560</v>
      </c>
      <c r="CC120" s="49">
        <f>ROUNDUP(BY120/12*(CF120*1.5)/(209+CF120*1.5)/BW120*BX120,1)</f>
        <v>226781.9</v>
      </c>
      <c r="CD120" s="49">
        <v>200000</v>
      </c>
      <c r="CE120" s="50">
        <v>209</v>
      </c>
      <c r="CF120" s="49">
        <f>IF(BY120&lt;26000000,0,IF(BY120&lt;26500000,4,IF(BY120&lt;27000000,7,IF(BY120&lt;27500000,9,IF(BY120&lt;28000000,11,IF(BY120&lt;28500000,15,IF(BY120&lt;29000000,17,IF(BY120&lt;29500000,20,IF(BY120&lt;30000000,23,IF(BY120&lt;30500000,25,IF(BY120&lt;31000000,27,IF(BY120&lt;31500000,29,IF(BY120&lt;32000000,33,IF(BY120&lt;32500000,37,IF(BY120&lt;33000000,39,IF(BY120&lt;33500000,42,IF(BY120&lt;34000000,45,IF(BY120&lt;34500000,48,IF(BY120&lt;35000000,52,52)))))))))))))))))))</f>
        <v>15</v>
      </c>
      <c r="CG120" s="50">
        <f>(CB120+CD120)/209</f>
        <v>10079.234449760766</v>
      </c>
      <c r="CH120" s="51">
        <v>30</v>
      </c>
      <c r="CI120" s="51">
        <v>30</v>
      </c>
      <c r="CJ120" s="52">
        <v>28000000</v>
      </c>
      <c r="CK120" s="52">
        <f>CL120*12</f>
        <v>28000102.799999997</v>
      </c>
      <c r="CL120" s="49">
        <f>SUM(CM120:CO120)</f>
        <v>2333341.9</v>
      </c>
      <c r="CM120" s="49">
        <f>ROUNDUP(CJ120/12*209/(209+CQ120*1.5)/CH120*CI120,-1)-CO120</f>
        <v>1906560</v>
      </c>
      <c r="CN120" s="49">
        <f>ROUNDUP(CJ120/12*(CQ120*1.5)/(209+CQ120*1.5)/CH120*CI120,1)</f>
        <v>226781.9</v>
      </c>
      <c r="CO120" s="50">
        <v>200000</v>
      </c>
      <c r="CP120" s="50">
        <v>209</v>
      </c>
      <c r="CQ120" s="50">
        <f>IF(CJ120&lt;26000000,0,IF(CJ120&lt;26500000,4,IF(CJ120&lt;27000000,7,IF(CJ120&lt;27500000,9,IF(CJ120&lt;28000000,11,IF(CJ120&lt;28500000,15,IF(CJ120&lt;29000000,17,IF(CJ120&lt;29500000,20,IF(CJ120&lt;30000000,23,IF(CJ120&lt;30500000,25,IF(CJ120&lt;31000000,27,IF(CJ120&lt;31500000,29,IF(CJ120&lt;32000000,33,IF(CJ120&lt;32500000,37,IF(CJ120&lt;33000000,39,IF(CJ120&lt;33500000,42,IF(CJ120&lt;34000000,45,IF(CJ120&lt;34500000,48,IF(CJ120&lt;35000000,52,52)))))))))))))))))))</f>
        <v>15</v>
      </c>
      <c r="CR120" s="50">
        <f>(CM120+CO120)/209</f>
        <v>10079.234449760766</v>
      </c>
      <c r="CS120" s="52"/>
      <c r="CT120" s="53"/>
      <c r="CU120" s="53"/>
      <c r="CV120" s="53"/>
      <c r="CW120" s="54"/>
      <c r="CX120" s="54"/>
      <c r="CY120" s="54"/>
      <c r="CZ120" s="55"/>
      <c r="DA120" s="55"/>
      <c r="DB120" s="56"/>
      <c r="DC120" s="57"/>
      <c r="DD120" s="58"/>
      <c r="DE120" s="58"/>
      <c r="DF120" s="57"/>
      <c r="DG120" s="59">
        <f>B120</f>
        <v>240807</v>
      </c>
      <c r="DH120" s="58"/>
      <c r="DI120" s="58"/>
      <c r="DJ120" s="60"/>
      <c r="DK120" s="58"/>
      <c r="DL120" s="61"/>
      <c r="DM120" s="24"/>
    </row>
    <row r="121" spans="1:117" ht="15" customHeight="1">
      <c r="A121" s="25">
        <f>ROW()-2</f>
        <v>119</v>
      </c>
      <c r="B121" s="26">
        <v>240809</v>
      </c>
      <c r="C121" s="27" t="s">
        <v>1586</v>
      </c>
      <c r="D121" s="27"/>
      <c r="E121" s="27" t="s">
        <v>613</v>
      </c>
      <c r="F121" s="27" t="s">
        <v>196</v>
      </c>
      <c r="G121" s="27" t="s">
        <v>240</v>
      </c>
      <c r="H121" s="27" t="s">
        <v>260</v>
      </c>
      <c r="I121" s="27" t="s">
        <v>1320</v>
      </c>
      <c r="J121" s="27" t="str">
        <f>+VLOOKUP($I121,[1]프로젝트현황!$I:$N,5,0)</f>
        <v>서울시</v>
      </c>
      <c r="K121" s="27" t="str">
        <f>+VLOOKUP($I121,[1]프로젝트현황!$I:$N,6,0)</f>
        <v>중구</v>
      </c>
      <c r="L121" s="28">
        <v>45530</v>
      </c>
      <c r="M121" s="28">
        <v>45530</v>
      </c>
      <c r="N121" s="28"/>
      <c r="O121" s="29"/>
      <c r="P121" s="30" t="s">
        <v>1587</v>
      </c>
      <c r="Q121" s="27" t="s">
        <v>1588</v>
      </c>
      <c r="R121" s="31" t="str">
        <f>LEFT(Q121,6)</f>
        <v>990322</v>
      </c>
      <c r="S121" s="31" t="str">
        <f>MID($Q121,3,2)</f>
        <v>03</v>
      </c>
      <c r="T121" s="31" t="str">
        <f>IF(OR(MID($Q121,8,1)="1",MID($Q121,8,1)="3"),"남자",IF(OR(MID($Q121,8,1)="2",MID($Q121,8,1)="4"),"여자",""))</f>
        <v>여자</v>
      </c>
      <c r="U121" s="31">
        <f ca="1">YEAR(TODAY())-IF(OR(MID($Q121,8,1)="1",MID($Q121,8,1)="2"),19&amp;LEFT($Q121,2),IF(OR(MID($Q121,8,1)="3",MID($Q121,8,1)="4"),20&amp;LEFT($Q121,2),""))+1</f>
        <v>28</v>
      </c>
      <c r="V121" s="31" t="s">
        <v>200</v>
      </c>
      <c r="W121" s="31" t="s">
        <v>201</v>
      </c>
      <c r="X121" s="27" t="s">
        <v>1589</v>
      </c>
      <c r="Y121" s="27"/>
      <c r="Z121" s="27"/>
      <c r="AA121" s="32"/>
      <c r="AB121" s="31" t="s">
        <v>203</v>
      </c>
      <c r="AC121" s="27"/>
      <c r="AD121" s="33" t="str">
        <f ca="1">QUOTIENT(SUMPRODUCT(LEFT($AE121:$AF121,FIND("년",$AE121:$AF121)-1)*12+MID($AE121:$AF121,FIND("년",$AE121:$AF121)+1,FIND("개월",$AE121:$AF121)-FIND("년",$AE121:$AF121)-1)),12)&amp;"년"&amp;MOD(SUMPRODUCT(LEFT($AE121:$AF121,FIND("년",$AE121:$AF121)-1)*12+MID($AE121:$AF121,FIND("년",$AE121:$AF121)+1,FIND("개월",$AE121:$AF121)-FIND("년",$AE121:$AF121)-1)),12)&amp;"개월"</f>
        <v>4년2개월</v>
      </c>
      <c r="AE121" s="33" t="s">
        <v>1590</v>
      </c>
      <c r="AF121" s="34" t="str">
        <f ca="1">DATEDIF($L121,TODAY(),"y")&amp;"년"&amp;DATEDIF($L121,TODAY(),"ym")&amp;"개월"</f>
        <v>1년5개월</v>
      </c>
      <c r="AG121" s="35" t="s">
        <v>1591</v>
      </c>
      <c r="AH121" s="35" t="s">
        <v>1592</v>
      </c>
      <c r="AI121" s="30" t="s">
        <v>205</v>
      </c>
      <c r="AJ121" s="32">
        <v>44246</v>
      </c>
      <c r="AK121" s="36">
        <f ca="1">VALUE(LEFT($AD121,FIND("년",$AD121)-1))</f>
        <v>4</v>
      </c>
      <c r="AL121" s="31" t="str">
        <f ca="1">IF($AI121="전문학사",IF($AK121&lt;=8,"초급",IF($AK121&lt;12,"중급",IF($AK121&lt;15,"고급",IF($AK121&gt;=15,"특급")))))</f>
        <v>초급</v>
      </c>
      <c r="AM121" s="31" t="str">
        <f>IF(ISNUMBER(SEARCH("산업기사",$AT121)),IF($AK121&gt;=13,"특급",IF($AK121&gt;=10,"고급",IF($AK121&gt;=7,"중급","초급"))),IF(ISNUMBER(SEARCH("기사",$AR121)),IF($AK121&gt;=10,"특급",IF($AK121&gt;=7,"고급",IF($AK121&gt;=4,"중급","초급"))),"미해당"))</f>
        <v>미해당</v>
      </c>
      <c r="AN121" s="27"/>
      <c r="AO121" s="32"/>
      <c r="AP121" s="27"/>
      <c r="AQ121" s="32"/>
      <c r="AR121" s="27"/>
      <c r="AS121" s="27"/>
      <c r="AT121" s="37"/>
      <c r="AU121" s="27"/>
      <c r="AV121" s="38"/>
      <c r="AW121" s="39"/>
      <c r="AX121" s="39"/>
      <c r="AY121" s="40" t="s">
        <v>251</v>
      </c>
      <c r="AZ121" s="41" t="s">
        <v>252</v>
      </c>
      <c r="BA121" s="30" t="s">
        <v>230</v>
      </c>
      <c r="BB121" s="30" t="s">
        <v>1593</v>
      </c>
      <c r="BC121" s="42"/>
      <c r="BD121" s="42"/>
      <c r="BE121" s="43" t="s">
        <v>1594</v>
      </c>
      <c r="BF121" s="42" t="s">
        <v>234</v>
      </c>
      <c r="BG121" s="42" t="s">
        <v>355</v>
      </c>
      <c r="BH121" s="35" t="s">
        <v>356</v>
      </c>
      <c r="BI121" s="44" t="s">
        <v>1595</v>
      </c>
      <c r="BJ121" s="45" t="str">
        <f>IFERROR(VLOOKUP($BG121,[1]프로젝트현황!Y:Z,2,0),"기타")</f>
        <v>서남권</v>
      </c>
      <c r="BK121" s="46" t="str">
        <f>(IF(BF121="","",BF121&amp;" "))&amp;(IF(BG121="","",BG121&amp;" "))&amp;(IF(BH121="","",BH121&amp;" "))&amp;BI121</f>
        <v>경기도 부천시 원미구 중동로364번길 28-13,A동503호</v>
      </c>
      <c r="BL121" s="47">
        <v>30</v>
      </c>
      <c r="BM121" s="47">
        <v>30</v>
      </c>
      <c r="BN121" s="48">
        <v>31000000</v>
      </c>
      <c r="BO121" s="48">
        <f>BP121*12</f>
        <v>31000064.400000002</v>
      </c>
      <c r="BP121" s="49">
        <f>SUM(BQ121:BS121)</f>
        <v>2583338.7000000002</v>
      </c>
      <c r="BQ121" s="49">
        <f>ROUNDUP(BN121/12*209/(209+BU121*1.5)/BL121*BM121,-1)-BS121</f>
        <v>1964000</v>
      </c>
      <c r="BR121" s="49">
        <f>ROUNDUP(BN121/12*(BU121*1.5)/(209+BU121*1.5)/BL121*BM121,1)</f>
        <v>419338.69999999995</v>
      </c>
      <c r="BS121" s="49">
        <v>200000</v>
      </c>
      <c r="BT121" s="50">
        <v>209</v>
      </c>
      <c r="BU121" s="49">
        <f>IF($BN121="","",
IFERROR(
    IF($BN121&lt;'[1]시간외시간 기준표'!$B$2,0,
        IF($BN121&gt;LOOKUP(9.9E+307,'[1]시간외시간 기준표'!$B$2:$B$999),
            LOOKUP(9.9E+307,'[1]시간외시간 기준표'!$C$2:$C$999),
            LOOKUP($BN121,'[1]시간외시간 기준표'!$B$2:$B$999,'[1]시간외시간 기준표'!$C$2:$C$999)
        )
    ),0)
)</f>
        <v>27</v>
      </c>
      <c r="BV121" s="50">
        <f>(BQ121+BS121)/209</f>
        <v>10354.066985645934</v>
      </c>
      <c r="BW121" s="51">
        <v>30</v>
      </c>
      <c r="BX121" s="51">
        <v>30</v>
      </c>
      <c r="BY121" s="52">
        <v>31000000</v>
      </c>
      <c r="BZ121" s="52">
        <f>CA121*12</f>
        <v>31000075.200000003</v>
      </c>
      <c r="CA121" s="49">
        <f>SUM(CB121:CD121)</f>
        <v>2583339.6</v>
      </c>
      <c r="CB121" s="49">
        <f>ROUNDUP(BY121/12*209/(209+CF121*1.5)/BW121*BX121,-1)-CD121</f>
        <v>1938290</v>
      </c>
      <c r="CC121" s="49">
        <f>ROUNDUP(BY121/12*(CF121*1.5)/(209+CF121*1.5)/BW121*BX121,1)</f>
        <v>445049.59999999998</v>
      </c>
      <c r="CD121" s="49">
        <v>200000</v>
      </c>
      <c r="CE121" s="50">
        <v>209</v>
      </c>
      <c r="CF121" s="49">
        <f>IF(BY121&lt;26000000,0,IF(BY121&lt;26500000,4,IF(BY121&lt;27000000,7,IF(BY121&lt;27500000,9,IF(BY121&lt;28000000,11,IF(BY121&lt;28500000,15,IF(BY121&lt;29000000,17,IF(BY121&lt;29500000,20,IF(BY121&lt;30000000,23,IF(BY121&lt;30500000,25,IF(BY121&lt;31000000,27,IF(BY121&lt;31500000,29,IF(BY121&lt;32000000,33,IF(BY121&lt;32500000,37,IF(BY121&lt;33000000,39,IF(BY121&lt;33500000,42,IF(BY121&lt;34000000,45,IF(BY121&lt;34500000,48,IF(BY121&lt;35000000,52,52)))))))))))))))))))</f>
        <v>29</v>
      </c>
      <c r="CG121" s="50">
        <f>(CB121+CD121)/209</f>
        <v>10231.052631578947</v>
      </c>
      <c r="CH121" s="51">
        <v>30</v>
      </c>
      <c r="CI121" s="51">
        <v>30</v>
      </c>
      <c r="CJ121" s="52">
        <v>31000000</v>
      </c>
      <c r="CK121" s="52">
        <f>CL121*12</f>
        <v>31000075.200000003</v>
      </c>
      <c r="CL121" s="49">
        <f>SUM(CM121:CO121)</f>
        <v>2583339.6</v>
      </c>
      <c r="CM121" s="49">
        <f>ROUNDUP(CJ121/12*209/(209+CQ121*1.5)/CH121*CI121,-1)-CO121</f>
        <v>1938290</v>
      </c>
      <c r="CN121" s="49">
        <f>ROUNDUP(CJ121/12*(CQ121*1.5)/(209+CQ121*1.5)/CH121*CI121,1)</f>
        <v>445049.59999999998</v>
      </c>
      <c r="CO121" s="50">
        <v>200000</v>
      </c>
      <c r="CP121" s="50">
        <v>209</v>
      </c>
      <c r="CQ121" s="50">
        <f>IF(CJ121&lt;26000000,0,IF(CJ121&lt;26500000,4,IF(CJ121&lt;27000000,7,IF(CJ121&lt;27500000,9,IF(CJ121&lt;28000000,11,IF(CJ121&lt;28500000,15,IF(CJ121&lt;29000000,17,IF(CJ121&lt;29500000,20,IF(CJ121&lt;30000000,23,IF(CJ121&lt;30500000,25,IF(CJ121&lt;31000000,27,IF(CJ121&lt;31500000,29,IF(CJ121&lt;32000000,33,IF(CJ121&lt;32500000,37,IF(CJ121&lt;33000000,39,IF(CJ121&lt;33500000,42,IF(CJ121&lt;34000000,45,IF(CJ121&lt;34500000,48,IF(CJ121&lt;35000000,52,52)))))))))))))))))))</f>
        <v>29</v>
      </c>
      <c r="CR121" s="50">
        <f>(CM121+CO121)/209</f>
        <v>10231.052631578947</v>
      </c>
      <c r="CS121" s="52"/>
      <c r="CT121" s="53"/>
      <c r="CU121" s="53"/>
      <c r="CV121" s="53"/>
      <c r="CW121" s="54"/>
      <c r="CX121" s="54"/>
      <c r="CY121" s="54"/>
      <c r="CZ121" s="55"/>
      <c r="DA121" s="55"/>
      <c r="DB121" s="56"/>
      <c r="DC121" s="57"/>
      <c r="DD121" s="58"/>
      <c r="DE121" s="58"/>
      <c r="DF121" s="57"/>
      <c r="DG121" s="59">
        <f>B121</f>
        <v>240809</v>
      </c>
      <c r="DH121" s="58"/>
      <c r="DI121" s="58"/>
      <c r="DJ121" s="60"/>
      <c r="DK121" s="58"/>
      <c r="DL121" s="61"/>
      <c r="DM121" s="63"/>
    </row>
    <row r="122" spans="1:117" ht="15" customHeight="1">
      <c r="A122" s="25">
        <f>ROW()-2</f>
        <v>120</v>
      </c>
      <c r="B122" s="26">
        <v>240901</v>
      </c>
      <c r="C122" s="27" t="s">
        <v>1596</v>
      </c>
      <c r="D122" s="27"/>
      <c r="E122" s="27" t="s">
        <v>613</v>
      </c>
      <c r="F122" s="27" t="s">
        <v>196</v>
      </c>
      <c r="G122" s="27" t="s">
        <v>240</v>
      </c>
      <c r="H122" s="27" t="s">
        <v>260</v>
      </c>
      <c r="I122" s="27" t="s">
        <v>1540</v>
      </c>
      <c r="J122" s="27" t="str">
        <f>+VLOOKUP($I122,[1]프로젝트현황!$I:$N,5,0)</f>
        <v>서울시</v>
      </c>
      <c r="K122" s="27" t="str">
        <f>+VLOOKUP($I122,[1]프로젝트현황!$I:$N,6,0)</f>
        <v>구로구</v>
      </c>
      <c r="L122" s="28">
        <v>45537</v>
      </c>
      <c r="M122" s="28">
        <v>45537</v>
      </c>
      <c r="N122" s="28"/>
      <c r="O122" s="29"/>
      <c r="P122" s="30" t="s">
        <v>1597</v>
      </c>
      <c r="Q122" s="27" t="s">
        <v>1598</v>
      </c>
      <c r="R122" s="31" t="str">
        <f>LEFT(Q122,6)</f>
        <v>970503</v>
      </c>
      <c r="S122" s="31" t="str">
        <f>MID($Q122,3,2)</f>
        <v>05</v>
      </c>
      <c r="T122" s="31" t="str">
        <f>IF(OR(MID($Q122,8,1)="1",MID($Q122,8,1)="3"),"남자",IF(OR(MID($Q122,8,1)="2",MID($Q122,8,1)="4"),"여자",""))</f>
        <v>남자</v>
      </c>
      <c r="U122" s="31">
        <f ca="1">YEAR(TODAY())-IF(OR(MID($Q122,8,1)="1",MID($Q122,8,1)="2"),19&amp;LEFT($Q122,2),IF(OR(MID($Q122,8,1)="3",MID($Q122,8,1)="4"),20&amp;LEFT($Q122,2),""))+1</f>
        <v>30</v>
      </c>
      <c r="V122" s="31" t="s">
        <v>200</v>
      </c>
      <c r="W122" s="31" t="s">
        <v>201</v>
      </c>
      <c r="X122" s="27" t="s">
        <v>1599</v>
      </c>
      <c r="Y122" s="27"/>
      <c r="Z122" s="27"/>
      <c r="AA122" s="32"/>
      <c r="AB122" s="31" t="s">
        <v>203</v>
      </c>
      <c r="AC122" s="27"/>
      <c r="AD122" s="33" t="str">
        <f ca="1">QUOTIENT(SUMPRODUCT(LEFT($AE122:$AF122,FIND("년",$AE122:$AF122)-1)*12+MID($AE122:$AF122,FIND("년",$AE122:$AF122)+1,FIND("개월",$AE122:$AF122)-FIND("년",$AE122:$AF122)-1)),12)&amp;"년"&amp;MOD(SUMPRODUCT(LEFT($AE122:$AF122,FIND("년",$AE122:$AF122)-1)*12+MID($AE122:$AF122,FIND("년",$AE122:$AF122)+1,FIND("개월",$AE122:$AF122)-FIND("년",$AE122:$AF122)-1)),12)&amp;"개월"</f>
        <v>1년5개월</v>
      </c>
      <c r="AE122" s="33" t="s">
        <v>543</v>
      </c>
      <c r="AF122" s="34" t="str">
        <f ca="1">DATEDIF($L122,TODAY(),"y")&amp;"년"&amp;DATEDIF($L122,TODAY(),"ym")&amp;"개월"</f>
        <v>1년5개월</v>
      </c>
      <c r="AG122" s="35" t="s">
        <v>1600</v>
      </c>
      <c r="AH122" s="35" t="s">
        <v>1601</v>
      </c>
      <c r="AI122" s="30" t="s">
        <v>205</v>
      </c>
      <c r="AJ122" s="32">
        <v>44972</v>
      </c>
      <c r="AK122" s="36">
        <f ca="1">VALUE(LEFT($AD122,FIND("년",$AD122)-1))</f>
        <v>1</v>
      </c>
      <c r="AL122" s="31" t="str">
        <f ca="1">IF($AI122="전문학사",IF($AK122&lt;=8,"초급",IF($AK122&lt;12,"중급",IF($AK122&lt;15,"고급",IF($AK122&gt;=15,"특급")))))</f>
        <v>초급</v>
      </c>
      <c r="AM122" s="31" t="str">
        <f>IF(ISNUMBER(SEARCH("산업기사",$AT122)),IF($AK122&gt;=13,"특급",IF($AK122&gt;=10,"고급",IF($AK122&gt;=7,"중급","초급"))),IF(ISNUMBER(SEARCH("기사",$AR122)),IF($AK122&gt;=10,"특급",IF($AK122&gt;=7,"고급",IF($AK122&gt;=4,"중급","초급"))),"미해당"))</f>
        <v>미해당</v>
      </c>
      <c r="AN122" s="27"/>
      <c r="AO122" s="32"/>
      <c r="AP122" s="27"/>
      <c r="AQ122" s="32"/>
      <c r="AR122" s="27"/>
      <c r="AS122" s="27"/>
      <c r="AT122" s="37"/>
      <c r="AU122" s="27"/>
      <c r="AV122" s="38"/>
      <c r="AW122" s="39"/>
      <c r="AX122" s="39"/>
      <c r="AY122" s="40" t="s">
        <v>251</v>
      </c>
      <c r="AZ122" s="41" t="s">
        <v>252</v>
      </c>
      <c r="BA122" s="30" t="s">
        <v>230</v>
      </c>
      <c r="BB122" s="30" t="s">
        <v>1602</v>
      </c>
      <c r="BC122" s="42"/>
      <c r="BD122" s="42"/>
      <c r="BE122" s="43" t="s">
        <v>1603</v>
      </c>
      <c r="BF122" s="42" t="s">
        <v>211</v>
      </c>
      <c r="BG122" s="42" t="s">
        <v>1604</v>
      </c>
      <c r="BH122" s="35"/>
      <c r="BI122" s="44" t="s">
        <v>1605</v>
      </c>
      <c r="BJ122" s="45" t="str">
        <f>IFERROR(VLOOKUP($BG122,[1]프로젝트현황!Y:Z,2,0),"기타")</f>
        <v>서북권</v>
      </c>
      <c r="BK122" s="46" t="str">
        <f>(IF(BF122="","",BF122&amp;" "))&amp;(IF(BG122="","",BG122&amp;" "))&amp;(IF(BH122="","",BH122&amp;" "))&amp;BI122</f>
        <v>서울시 은평구 연서로9길 10-1, 402호</v>
      </c>
      <c r="BL122" s="47">
        <v>30</v>
      </c>
      <c r="BM122" s="47">
        <v>30</v>
      </c>
      <c r="BN122" s="48">
        <v>27200000</v>
      </c>
      <c r="BO122" s="48">
        <f>BP122*12</f>
        <v>27200019.599999998</v>
      </c>
      <c r="BP122" s="49">
        <f>SUM(BQ122:BS122)</f>
        <v>2266668.2999999998</v>
      </c>
      <c r="BQ122" s="49">
        <f>ROUNDUP(BN122/12*209/(209+BU122*1.5)/BL122*BM122,-1)-BS122</f>
        <v>1958240</v>
      </c>
      <c r="BR122" s="49">
        <f>ROUNDUP(BN122/12*(BU122*1.5)/(209+BU122*1.5)/BL122*BM122,1)</f>
        <v>108428.3</v>
      </c>
      <c r="BS122" s="49">
        <v>200000</v>
      </c>
      <c r="BT122" s="50">
        <v>209</v>
      </c>
      <c r="BU122" s="49">
        <f>IF($BN122="","",
IFERROR(
    IF($BN122&lt;'[1]시간외시간 기준표'!$B$2,0,
        IF($BN122&gt;LOOKUP(9.9E+307,'[1]시간외시간 기준표'!$B$2:$B$999),
            LOOKUP(9.9E+307,'[1]시간외시간 기준표'!$C$2:$C$999),
            LOOKUP($BN122,'[1]시간외시간 기준표'!$B$2:$B$999,'[1]시간외시간 기준표'!$C$2:$C$999)
        )
    ),0)
)</f>
        <v>7</v>
      </c>
      <c r="BV122" s="50">
        <f>(BQ122+BS122)/209</f>
        <v>10326.507177033493</v>
      </c>
      <c r="BW122" s="51">
        <v>30</v>
      </c>
      <c r="BX122" s="51">
        <v>30</v>
      </c>
      <c r="BY122" s="52">
        <v>27200000</v>
      </c>
      <c r="BZ122" s="52">
        <f>CA122*12</f>
        <v>27200017.200000003</v>
      </c>
      <c r="CA122" s="49">
        <f>SUM(CB122:CD122)</f>
        <v>2266668.1</v>
      </c>
      <c r="CB122" s="49">
        <f>ROUNDUP(BY122/12*209/(209+CF122*1.5)/BW122*BX122,-1)-CD122</f>
        <v>1929140</v>
      </c>
      <c r="CC122" s="49">
        <f>ROUNDUP(BY122/12*(CF122*1.5)/(209+CF122*1.5)/BW122*BX122,1)</f>
        <v>137528.1</v>
      </c>
      <c r="CD122" s="49">
        <v>200000</v>
      </c>
      <c r="CE122" s="50">
        <v>209</v>
      </c>
      <c r="CF122" s="49">
        <f>IF(BY122&lt;26000000,0,IF(BY122&lt;26500000,4,IF(BY122&lt;27000000,7,IF(BY122&lt;27500000,9,IF(BY122&lt;28000000,11,IF(BY122&lt;28500000,15,IF(BY122&lt;29000000,17,IF(BY122&lt;29500000,20,IF(BY122&lt;30000000,23,IF(BY122&lt;30500000,25,IF(BY122&lt;31000000,27,IF(BY122&lt;31500000,29,IF(BY122&lt;32000000,33,IF(BY122&lt;32500000,37,IF(BY122&lt;33000000,39,IF(BY122&lt;33500000,42,IF(BY122&lt;34000000,45,IF(BY122&lt;34500000,48,IF(BY122&lt;35000000,52,52)))))))))))))))))))</f>
        <v>9</v>
      </c>
      <c r="CG122" s="50">
        <f>(CB122+CD122)/209</f>
        <v>10187.272727272728</v>
      </c>
      <c r="CH122" s="51">
        <v>30</v>
      </c>
      <c r="CI122" s="51">
        <v>30</v>
      </c>
      <c r="CJ122" s="52">
        <v>27000000</v>
      </c>
      <c r="CK122" s="52">
        <f>CL122*12</f>
        <v>27000082.799999997</v>
      </c>
      <c r="CL122" s="49">
        <f>SUM(CM122:CO122)</f>
        <v>2250006.9</v>
      </c>
      <c r="CM122" s="49">
        <f>ROUNDUP(CJ122/12*209/(209+CQ122*1.5)/CH122*CI122,-1)-CO122</f>
        <v>1913490</v>
      </c>
      <c r="CN122" s="49">
        <f>ROUNDUP(CJ122/12*(CQ122*1.5)/(209+CQ122*1.5)/CH122*CI122,1)</f>
        <v>136516.9</v>
      </c>
      <c r="CO122" s="50">
        <v>200000</v>
      </c>
      <c r="CP122" s="50">
        <v>209</v>
      </c>
      <c r="CQ122" s="50">
        <f>IF(CJ122&lt;26000000,0,IF(CJ122&lt;26500000,4,IF(CJ122&lt;27000000,7,IF(CJ122&lt;27500000,9,IF(CJ122&lt;28000000,11,IF(CJ122&lt;28500000,15,IF(CJ122&lt;29000000,17,IF(CJ122&lt;29500000,20,IF(CJ122&lt;30000000,23,IF(CJ122&lt;30500000,25,IF(CJ122&lt;31000000,27,IF(CJ122&lt;31500000,29,IF(CJ122&lt;32000000,33,IF(CJ122&lt;32500000,37,IF(CJ122&lt;33000000,39,IF(CJ122&lt;33500000,42,IF(CJ122&lt;34000000,45,IF(CJ122&lt;34500000,48,IF(CJ122&lt;35000000,52,52)))))))))))))))))))</f>
        <v>9</v>
      </c>
      <c r="CR122" s="50">
        <f>(CM122+CO122)/209</f>
        <v>10112.392344497608</v>
      </c>
      <c r="CS122" s="52"/>
      <c r="CT122" s="53"/>
      <c r="CU122" s="53"/>
      <c r="CV122" s="53"/>
      <c r="CW122" s="54"/>
      <c r="CX122" s="54"/>
      <c r="CY122" s="54"/>
      <c r="CZ122" s="55"/>
      <c r="DA122" s="55"/>
      <c r="DB122" s="56"/>
      <c r="DC122" s="57"/>
      <c r="DD122" s="58"/>
      <c r="DE122" s="58"/>
      <c r="DF122" s="57"/>
      <c r="DG122" s="59">
        <f>B122</f>
        <v>240901</v>
      </c>
      <c r="DH122" s="58"/>
      <c r="DI122" s="58"/>
      <c r="DJ122" s="60"/>
      <c r="DK122" s="58"/>
      <c r="DL122" s="61"/>
      <c r="DM122" s="24"/>
    </row>
    <row r="123" spans="1:117" ht="15" customHeight="1">
      <c r="A123" s="25">
        <f>ROW()-2</f>
        <v>121</v>
      </c>
      <c r="B123" s="26">
        <v>240903</v>
      </c>
      <c r="C123" s="27" t="s">
        <v>1606</v>
      </c>
      <c r="D123" s="27"/>
      <c r="E123" s="27" t="s">
        <v>239</v>
      </c>
      <c r="F123" s="27" t="s">
        <v>196</v>
      </c>
      <c r="G123" s="27" t="s">
        <v>493</v>
      </c>
      <c r="H123" s="27" t="s">
        <v>494</v>
      </c>
      <c r="I123" s="27" t="s">
        <v>494</v>
      </c>
      <c r="J123" s="27" t="str">
        <f>+VLOOKUP($I123,[1]프로젝트현황!$I:$N,5,0)</f>
        <v>서울시</v>
      </c>
      <c r="K123" s="27" t="str">
        <f>+VLOOKUP($I123,[1]프로젝트현황!$I:$N,6,0)</f>
        <v>강남구</v>
      </c>
      <c r="L123" s="28">
        <v>45537</v>
      </c>
      <c r="M123" s="28">
        <v>45537</v>
      </c>
      <c r="N123" s="28"/>
      <c r="O123" s="29"/>
      <c r="P123" s="30" t="s">
        <v>1607</v>
      </c>
      <c r="Q123" s="27" t="s">
        <v>1608</v>
      </c>
      <c r="R123" s="31" t="str">
        <f>LEFT(Q123,6)</f>
        <v>920904</v>
      </c>
      <c r="S123" s="31" t="str">
        <f>MID($Q123,3,2)</f>
        <v>09</v>
      </c>
      <c r="T123" s="31" t="str">
        <f>IF(OR(MID($Q123,8,1)="1",MID($Q123,8,1)="3"),"남자",IF(OR(MID($Q123,8,1)="2",MID($Q123,8,1)="4"),"여자",""))</f>
        <v>남자</v>
      </c>
      <c r="U123" s="31">
        <f ca="1">YEAR(TODAY())-IF(OR(MID($Q123,8,1)="1",MID($Q123,8,1)="2"),19&amp;LEFT($Q123,2),IF(OR(MID($Q123,8,1)="3",MID($Q123,8,1)="4"),20&amp;LEFT($Q123,2),""))+1</f>
        <v>35</v>
      </c>
      <c r="V123" s="31" t="s">
        <v>200</v>
      </c>
      <c r="W123" s="31" t="s">
        <v>201</v>
      </c>
      <c r="X123" s="27" t="s">
        <v>1609</v>
      </c>
      <c r="Y123" s="27"/>
      <c r="Z123" s="27"/>
      <c r="AA123" s="32"/>
      <c r="AB123" s="31" t="s">
        <v>203</v>
      </c>
      <c r="AC123" s="27"/>
      <c r="AD123" s="33" t="str">
        <f ca="1">QUOTIENT(SUMPRODUCT(LEFT($AE123:$AF123,FIND("년",$AE123:$AF123)-1)*12+MID($AE123:$AF123,FIND("년",$AE123:$AF123)+1,FIND("개월",$AE123:$AF123)-FIND("년",$AE123:$AF123)-1)),12)&amp;"년"&amp;MOD(SUMPRODUCT(LEFT($AE123:$AF123,FIND("년",$AE123:$AF123)-1)*12+MID($AE123:$AF123,FIND("년",$AE123:$AF123)+1,FIND("개월",$AE123:$AF123)-FIND("년",$AE123:$AF123)-1)),12)&amp;"개월"</f>
        <v>3년3개월</v>
      </c>
      <c r="AE123" s="33" t="s">
        <v>1610</v>
      </c>
      <c r="AF123" s="34" t="str">
        <f ca="1">DATEDIF($L123,TODAY(),"y")&amp;"년"&amp;DATEDIF($L123,TODAY(),"ym")&amp;"개월"</f>
        <v>1년5개월</v>
      </c>
      <c r="AG123" s="35" t="s">
        <v>1611</v>
      </c>
      <c r="AH123" s="35" t="s">
        <v>1612</v>
      </c>
      <c r="AI123" s="30" t="s">
        <v>270</v>
      </c>
      <c r="AJ123" s="32">
        <v>43335</v>
      </c>
      <c r="AK123" s="36">
        <f ca="1">VALUE(LEFT($AD123,FIND("년",$AD123)-1))</f>
        <v>3</v>
      </c>
      <c r="AL123" s="31" t="str">
        <f ca="1">IF($AI123="학사",IF($AK123&lt;=5,"초급",IF($AK123&lt;9,"중급",IF($AK123&lt;12,"고급",IF($AK123&gt;=12,"특급")))))</f>
        <v>초급</v>
      </c>
      <c r="AM123" s="31" t="str">
        <f ca="1">IF(ISNUMBER(SEARCH("산업기사",$AT123)),IF($AK123&gt;=13,"특급",IF($AK123&gt;=10,"고급",IF($AK123&gt;=7,"중급","초급"))),IF(ISNUMBER(SEARCH("기사",$AR123)),IF($AK123&gt;=10,"특급",IF($AK123&gt;=7,"고급",IF($AK123&gt;=4,"중급","초급"))),"미해당"))</f>
        <v>초급</v>
      </c>
      <c r="AN123" s="27"/>
      <c r="AO123" s="32"/>
      <c r="AP123" s="27"/>
      <c r="AQ123" s="32"/>
      <c r="AR123" s="27" t="s">
        <v>139</v>
      </c>
      <c r="AS123" s="32">
        <v>44774</v>
      </c>
      <c r="AT123" s="37"/>
      <c r="AU123" s="27"/>
      <c r="AV123" s="38" t="s">
        <v>1613</v>
      </c>
      <c r="AW123" s="39" t="s">
        <v>1614</v>
      </c>
      <c r="AX123" s="39">
        <v>43462</v>
      </c>
      <c r="AY123" s="40" t="s">
        <v>251</v>
      </c>
      <c r="AZ123" s="41" t="s">
        <v>252</v>
      </c>
      <c r="BA123" s="30" t="s">
        <v>230</v>
      </c>
      <c r="BB123" s="30" t="s">
        <v>1615</v>
      </c>
      <c r="BC123" s="42"/>
      <c r="BD123" s="42"/>
      <c r="BE123" s="43" t="s">
        <v>1616</v>
      </c>
      <c r="BF123" s="42" t="s">
        <v>234</v>
      </c>
      <c r="BG123" s="42" t="s">
        <v>328</v>
      </c>
      <c r="BH123" s="35" t="s">
        <v>1617</v>
      </c>
      <c r="BI123" s="44" t="s">
        <v>1618</v>
      </c>
      <c r="BJ123" s="45" t="str">
        <f>IFERROR(VLOOKUP($BG123,[1]프로젝트현황!Y:Z,2,0),"기타")</f>
        <v>동남권</v>
      </c>
      <c r="BK123" s="46" t="str">
        <f>(IF(BF123="","",BF123&amp;" "))&amp;(IF(BG123="","",BG123&amp;" "))&amp;(IF(BH123="","",BH123&amp;" "))&amp;BI123</f>
        <v>경기도 성남시 수정구 창업로40번길 6, 101동 425호</v>
      </c>
      <c r="BL123" s="47">
        <v>30</v>
      </c>
      <c r="BM123" s="47">
        <v>30</v>
      </c>
      <c r="BN123" s="48">
        <v>45000000</v>
      </c>
      <c r="BO123" s="48">
        <f>BP123*12</f>
        <v>45000045.599999994</v>
      </c>
      <c r="BP123" s="49">
        <f>SUM(BQ123:BS123)</f>
        <v>3750003.8</v>
      </c>
      <c r="BQ123" s="49">
        <f>ROUNDUP(BN123/12*209/(209+BU123*1.5)/BL123*BM123,-1)-BS123</f>
        <v>2530840</v>
      </c>
      <c r="BR123" s="49">
        <f>ROUNDUP(BN123/12*(BU123*1.5)/(209+BU123*1.5)/BL123*BM123,1)</f>
        <v>1019163.7999999999</v>
      </c>
      <c r="BS123" s="49">
        <v>200000</v>
      </c>
      <c r="BT123" s="50">
        <v>209</v>
      </c>
      <c r="BU123" s="49">
        <f>IF($BN123="","",
IFERROR(
    IF($BN123&lt;'[1]시간외시간 기준표'!$B$2,0,
        IF($BN123&gt;LOOKUP(9.9E+307,'[1]시간외시간 기준표'!$B$2:$B$999),
            LOOKUP(9.9E+307,'[1]시간외시간 기준표'!$C$2:$C$999),
            LOOKUP($BN123,'[1]시간외시간 기준표'!$B$2:$B$999,'[1]시간외시간 기준표'!$C$2:$C$999)
        )
    ),0)
)</f>
        <v>52</v>
      </c>
      <c r="BV123" s="50">
        <f>(BQ123+BS123)/209</f>
        <v>13066.22009569378</v>
      </c>
      <c r="BW123" s="51">
        <v>30</v>
      </c>
      <c r="BX123" s="51">
        <v>30</v>
      </c>
      <c r="BY123" s="52">
        <v>45000000</v>
      </c>
      <c r="BZ123" s="52">
        <f>CA123*12</f>
        <v>45000045.599999994</v>
      </c>
      <c r="CA123" s="49">
        <f>SUM(CB123:CD123)</f>
        <v>3750003.8</v>
      </c>
      <c r="CB123" s="49">
        <f>ROUNDUP(BY123/12*209/(209+CF123*1.5)/BW123*BX123,-1)-CD123</f>
        <v>2530840</v>
      </c>
      <c r="CC123" s="49">
        <f>ROUNDUP(BY123/12*(CF123*1.5)/(209+CF123*1.5)/BW123*BX123,1)</f>
        <v>1019163.7999999999</v>
      </c>
      <c r="CD123" s="49">
        <v>200000</v>
      </c>
      <c r="CE123" s="50">
        <v>209</v>
      </c>
      <c r="CF123" s="49">
        <f>IF(BY123&lt;26000000,0,IF(BY123&lt;26500000,4,IF(BY123&lt;27000000,7,IF(BY123&lt;27500000,9,IF(BY123&lt;28000000,11,IF(BY123&lt;28500000,15,IF(BY123&lt;29000000,17,IF(BY123&lt;29500000,20,IF(BY123&lt;30000000,23,IF(BY123&lt;30500000,25,IF(BY123&lt;31000000,27,IF(BY123&lt;31500000,29,IF(BY123&lt;32000000,33,IF(BY123&lt;32500000,37,IF(BY123&lt;33000000,39,IF(BY123&lt;33500000,42,IF(BY123&lt;34000000,45,IF(BY123&lt;34500000,48,IF(BY123&lt;35000000,52,52)))))))))))))))))))</f>
        <v>52</v>
      </c>
      <c r="CG123" s="50">
        <f>(CB123+CD123)/209</f>
        <v>13066.22009569378</v>
      </c>
      <c r="CH123" s="51">
        <v>30</v>
      </c>
      <c r="CI123" s="51">
        <v>30</v>
      </c>
      <c r="CJ123" s="52">
        <v>43000000</v>
      </c>
      <c r="CK123" s="52">
        <f>CL123*12</f>
        <v>43000051.200000003</v>
      </c>
      <c r="CL123" s="49">
        <f>SUM(CM123:CO123)</f>
        <v>3583337.6</v>
      </c>
      <c r="CM123" s="49">
        <f>ROUNDUP(CJ123/12*209/(209+CQ123*1.5)/CH123*CI123,-1)-CO123</f>
        <v>2409470</v>
      </c>
      <c r="CN123" s="49">
        <f>ROUNDUP(CJ123/12*(CQ123*1.5)/(209+CQ123*1.5)/CH123*CI123,1)</f>
        <v>973867.6</v>
      </c>
      <c r="CO123" s="50">
        <v>200000</v>
      </c>
      <c r="CP123" s="50">
        <v>209</v>
      </c>
      <c r="CQ123" s="50">
        <f>IF(CJ123&lt;26000000,0,IF(CJ123&lt;26500000,4,IF(CJ123&lt;27000000,7,IF(CJ123&lt;27500000,9,IF(CJ123&lt;28000000,11,IF(CJ123&lt;28500000,15,IF(CJ123&lt;29000000,17,IF(CJ123&lt;29500000,20,IF(CJ123&lt;30000000,23,IF(CJ123&lt;30500000,25,IF(CJ123&lt;31000000,27,IF(CJ123&lt;31500000,29,IF(CJ123&lt;32000000,33,IF(CJ123&lt;32500000,37,IF(CJ123&lt;33000000,39,IF(CJ123&lt;33500000,42,IF(CJ123&lt;34000000,45,IF(CJ123&lt;34500000,48,IF(CJ123&lt;35000000,52,52)))))))))))))))))))</f>
        <v>52</v>
      </c>
      <c r="CR123" s="50">
        <f>(CM123+CO123)/209</f>
        <v>12485.502392344497</v>
      </c>
      <c r="CS123" s="52"/>
      <c r="CT123" s="53"/>
      <c r="CU123" s="53"/>
      <c r="CV123" s="53"/>
      <c r="CW123" s="54"/>
      <c r="CX123" s="54"/>
      <c r="CY123" s="54"/>
      <c r="CZ123" s="55"/>
      <c r="DA123" s="55"/>
      <c r="DB123" s="56"/>
      <c r="DC123" s="57"/>
      <c r="DD123" s="58"/>
      <c r="DE123" s="58"/>
      <c r="DF123" s="57"/>
      <c r="DG123" s="59">
        <f>B123</f>
        <v>240903</v>
      </c>
      <c r="DH123" s="58"/>
      <c r="DI123" s="58"/>
      <c r="DJ123" s="60"/>
      <c r="DK123" s="58"/>
      <c r="DL123" s="61"/>
      <c r="DM123" s="24"/>
    </row>
    <row r="124" spans="1:117" ht="15" customHeight="1">
      <c r="A124" s="25">
        <f>ROW()-2</f>
        <v>122</v>
      </c>
      <c r="B124" s="26">
        <v>240908</v>
      </c>
      <c r="C124" s="27" t="s">
        <v>1619</v>
      </c>
      <c r="D124" s="27"/>
      <c r="E124" s="27" t="s">
        <v>613</v>
      </c>
      <c r="F124" s="27" t="s">
        <v>196</v>
      </c>
      <c r="G124" s="27" t="s">
        <v>240</v>
      </c>
      <c r="H124" s="27" t="s">
        <v>241</v>
      </c>
      <c r="I124" s="27" t="s">
        <v>1018</v>
      </c>
      <c r="J124" s="27" t="str">
        <f>+VLOOKUP($I124,[1]프로젝트현황!$I:$N,5,0)</f>
        <v>경기도</v>
      </c>
      <c r="K124" s="27" t="str">
        <f>+VLOOKUP($I124,[1]프로젝트현황!$I:$N,6,0)</f>
        <v>화성시</v>
      </c>
      <c r="L124" s="28">
        <v>45558</v>
      </c>
      <c r="M124" s="28">
        <v>45558</v>
      </c>
      <c r="N124" s="28"/>
      <c r="O124" s="29"/>
      <c r="P124" s="30" t="s">
        <v>1620</v>
      </c>
      <c r="Q124" s="27" t="s">
        <v>1621</v>
      </c>
      <c r="R124" s="31" t="str">
        <f>LEFT(Q124,6)</f>
        <v>970909</v>
      </c>
      <c r="S124" s="31" t="str">
        <f>MID($Q124,3,2)</f>
        <v>09</v>
      </c>
      <c r="T124" s="31" t="str">
        <f>IF(OR(MID($Q124,8,1)="1",MID($Q124,8,1)="3"),"남자",IF(OR(MID($Q124,8,1)="2",MID($Q124,8,1)="4"),"여자",""))</f>
        <v>남자</v>
      </c>
      <c r="U124" s="31">
        <f ca="1">YEAR(TODAY())-IF(OR(MID($Q124,8,1)="1",MID($Q124,8,1)="2"),19&amp;LEFT($Q124,2),IF(OR(MID($Q124,8,1)="3",MID($Q124,8,1)="4"),20&amp;LEFT($Q124,2),""))+1</f>
        <v>30</v>
      </c>
      <c r="V124" s="31" t="s">
        <v>200</v>
      </c>
      <c r="W124" s="31" t="s">
        <v>201</v>
      </c>
      <c r="X124" s="27" t="s">
        <v>1622</v>
      </c>
      <c r="Y124" s="27"/>
      <c r="Z124" s="27"/>
      <c r="AA124" s="32"/>
      <c r="AB124" s="31" t="s">
        <v>203</v>
      </c>
      <c r="AC124" s="27"/>
      <c r="AD124" s="33" t="str">
        <f ca="1">QUOTIENT(SUMPRODUCT(LEFT($AE124:$AF124,FIND("년",$AE124:$AF124)-1)*12+MID($AE124:$AF124,FIND("년",$AE124:$AF124)+1,FIND("개월",$AE124:$AF124)-FIND("년",$AE124:$AF124)-1)),12)&amp;"년"&amp;MOD(SUMPRODUCT(LEFT($AE124:$AF124,FIND("년",$AE124:$AF124)-1)*12+MID($AE124:$AF124,FIND("년",$AE124:$AF124)+1,FIND("개월",$AE124:$AF124)-FIND("년",$AE124:$AF124)-1)),12)&amp;"개월"</f>
        <v>3년6개월</v>
      </c>
      <c r="AE124" s="33" t="s">
        <v>1034</v>
      </c>
      <c r="AF124" s="34" t="str">
        <f ca="1">DATEDIF($L124,TODAY(),"y")&amp;"년"&amp;DATEDIF($L124,TODAY(),"ym")&amp;"개월"</f>
        <v>1년4개월</v>
      </c>
      <c r="AG124" s="35" t="s">
        <v>1623</v>
      </c>
      <c r="AH124" s="35" t="s">
        <v>1624</v>
      </c>
      <c r="AI124" s="30" t="s">
        <v>205</v>
      </c>
      <c r="AJ124" s="32">
        <v>44232</v>
      </c>
      <c r="AK124" s="36">
        <f ca="1">VALUE(LEFT($AD124,FIND("년",$AD124)-1))</f>
        <v>3</v>
      </c>
      <c r="AL124" s="31" t="str">
        <f ca="1">IF($AI124="전문학사",IF($AK124&lt;=8,"초급",IF($AK124&lt;12,"중급",IF($AK124&lt;15,"고급",IF($AK124&gt;=15,"특급")))))</f>
        <v>초급</v>
      </c>
      <c r="AM124" s="31" t="str">
        <f>IF(ISNUMBER(SEARCH("산업기사",$AT124)),IF($AK124&gt;=13,"특급",IF($AK124&gt;=10,"고급",IF($AK124&gt;=7,"중급","초급"))),IF(ISNUMBER(SEARCH("기사",$AR124)),IF($AK124&gt;=10,"특급",IF($AK124&gt;=7,"고급",IF($AK124&gt;=4,"중급","초급"))),"미해당"))</f>
        <v>미해당</v>
      </c>
      <c r="AN124" s="27"/>
      <c r="AO124" s="32"/>
      <c r="AP124" s="27"/>
      <c r="AQ124" s="32"/>
      <c r="AR124" s="27"/>
      <c r="AS124" s="27"/>
      <c r="AT124" s="37"/>
      <c r="AU124" s="27"/>
      <c r="AV124" s="38"/>
      <c r="AW124" s="39"/>
      <c r="AX124" s="39"/>
      <c r="AY124" s="40" t="s">
        <v>251</v>
      </c>
      <c r="AZ124" s="41" t="s">
        <v>252</v>
      </c>
      <c r="BA124" s="30" t="s">
        <v>230</v>
      </c>
      <c r="BB124" s="30" t="s">
        <v>1625</v>
      </c>
      <c r="BC124" s="42"/>
      <c r="BD124" s="42"/>
      <c r="BE124" s="43" t="s">
        <v>1626</v>
      </c>
      <c r="BF124" s="42" t="s">
        <v>234</v>
      </c>
      <c r="BG124" s="42" t="s">
        <v>594</v>
      </c>
      <c r="BH124" s="35" t="s">
        <v>1627</v>
      </c>
      <c r="BI124" s="44" t="s">
        <v>1628</v>
      </c>
      <c r="BJ124" s="45" t="str">
        <f>IFERROR(VLOOKUP($BG124,[1]프로젝트현황!Y:Z,2,0),"기타")</f>
        <v>서남권</v>
      </c>
      <c r="BK124" s="46" t="str">
        <f>(IF(BF124="","",BF124&amp;" "))&amp;(IF(BG124="","",BG124&amp;" "))&amp;(IF(BH124="","",BH124&amp;" "))&amp;BI124</f>
        <v>경기도 화성시 향남읍 향남로39번길 22, 1501동 602호</v>
      </c>
      <c r="BL124" s="47">
        <v>30</v>
      </c>
      <c r="BM124" s="47">
        <v>30</v>
      </c>
      <c r="BN124" s="48">
        <v>32000000</v>
      </c>
      <c r="BO124" s="48">
        <f>BP124*12</f>
        <v>32000094</v>
      </c>
      <c r="BP124" s="49">
        <f>SUM(BQ124:BS124)</f>
        <v>2666674.5</v>
      </c>
      <c r="BQ124" s="49">
        <f>ROUNDUP(BN124/12*209/(209+BU124*1.5)/BL124*BM124,-1)-BS124</f>
        <v>1968620</v>
      </c>
      <c r="BR124" s="49">
        <f>ROUNDUP(BN124/12*(BU124*1.5)/(209+BU124*1.5)/BL124*BM124,1)</f>
        <v>498054.5</v>
      </c>
      <c r="BS124" s="49">
        <v>200000</v>
      </c>
      <c r="BT124" s="50">
        <v>209</v>
      </c>
      <c r="BU124" s="49">
        <f>IF($BN124="","",
IFERROR(
    IF($BN124&lt;'[1]시간외시간 기준표'!$B$2,0,
        IF($BN124&gt;LOOKUP(9.9E+307,'[1]시간외시간 기준표'!$B$2:$B$999),
            LOOKUP(9.9E+307,'[1]시간외시간 기준표'!$C$2:$C$999),
            LOOKUP($BN124,'[1]시간외시간 기준표'!$B$2:$B$999,'[1]시간외시간 기준표'!$C$2:$C$999)
        )
    ),0)
)</f>
        <v>32</v>
      </c>
      <c r="BV124" s="50">
        <f>(BQ124+BS124)/209</f>
        <v>10376.172248803829</v>
      </c>
      <c r="BW124" s="51">
        <v>30</v>
      </c>
      <c r="BX124" s="51">
        <v>30</v>
      </c>
      <c r="BY124" s="52">
        <v>32000000</v>
      </c>
      <c r="BZ124" s="52">
        <f>CA124*12</f>
        <v>32000116.799999997</v>
      </c>
      <c r="CA124" s="49">
        <f>SUM(CB124:CD124)</f>
        <v>2666676.4</v>
      </c>
      <c r="CB124" s="49">
        <f>ROUNDUP(BY124/12*209/(209+CF124*1.5)/BW124*BX124,-1)-CD124</f>
        <v>1907130</v>
      </c>
      <c r="CC124" s="49">
        <f>ROUNDUP(BY124/12*(CF124*1.5)/(209+CF124*1.5)/BW124*BX124,1)</f>
        <v>559546.4</v>
      </c>
      <c r="CD124" s="49">
        <v>200000</v>
      </c>
      <c r="CE124" s="50">
        <v>209</v>
      </c>
      <c r="CF124" s="49">
        <f>IF(BY124&lt;26000000,0,IF(BY124&lt;26500000,4,IF(BY124&lt;27000000,7,IF(BY124&lt;27500000,9,IF(BY124&lt;28000000,11,IF(BY124&lt;28500000,15,IF(BY124&lt;29000000,17,IF(BY124&lt;29500000,20,IF(BY124&lt;30000000,23,IF(BY124&lt;30500000,25,IF(BY124&lt;31000000,27,IF(BY124&lt;31500000,29,IF(BY124&lt;32000000,33,IF(BY124&lt;32500000,37,IF(BY124&lt;33000000,39,IF(BY124&lt;33500000,42,IF(BY124&lt;34000000,45,IF(BY124&lt;34500000,48,IF(BY124&lt;35000000,52,52)))))))))))))))))))</f>
        <v>37</v>
      </c>
      <c r="CG124" s="50">
        <f>(CB124+CD124)/209</f>
        <v>10081.961722488039</v>
      </c>
      <c r="CH124" s="51">
        <v>30</v>
      </c>
      <c r="CI124" s="51">
        <v>30</v>
      </c>
      <c r="CJ124" s="52">
        <v>32000000</v>
      </c>
      <c r="CK124" s="52">
        <f>CL124*12</f>
        <v>32000116.799999997</v>
      </c>
      <c r="CL124" s="49">
        <f>SUM(CM124:CO124)</f>
        <v>2666676.4</v>
      </c>
      <c r="CM124" s="49">
        <f>ROUNDUP(CJ124/12*209/(209+CQ124*1.5)/CH124*CI124,-1)-CO124</f>
        <v>1907130</v>
      </c>
      <c r="CN124" s="49">
        <f>ROUNDUP(CJ124/12*(CQ124*1.5)/(209+CQ124*1.5)/CH124*CI124,1)</f>
        <v>559546.4</v>
      </c>
      <c r="CO124" s="50">
        <v>200000</v>
      </c>
      <c r="CP124" s="50">
        <v>209</v>
      </c>
      <c r="CQ124" s="50">
        <f>IF(CJ124&lt;26000000,0,IF(CJ124&lt;26500000,4,IF(CJ124&lt;27000000,7,IF(CJ124&lt;27500000,9,IF(CJ124&lt;28000000,11,IF(CJ124&lt;28500000,15,IF(CJ124&lt;29000000,17,IF(CJ124&lt;29500000,20,IF(CJ124&lt;30000000,23,IF(CJ124&lt;30500000,25,IF(CJ124&lt;31000000,27,IF(CJ124&lt;31500000,29,IF(CJ124&lt;32000000,33,IF(CJ124&lt;32500000,37,IF(CJ124&lt;33000000,39,IF(CJ124&lt;33500000,42,IF(CJ124&lt;34000000,45,IF(CJ124&lt;34500000,48,IF(CJ124&lt;35000000,52,52)))))))))))))))))))</f>
        <v>37</v>
      </c>
      <c r="CR124" s="50">
        <f>(CM124+CO124)/209</f>
        <v>10081.961722488039</v>
      </c>
      <c r="CS124" s="52"/>
      <c r="CT124" s="53"/>
      <c r="CU124" s="53"/>
      <c r="CV124" s="53"/>
      <c r="CW124" s="54"/>
      <c r="CX124" s="54"/>
      <c r="CY124" s="54"/>
      <c r="CZ124" s="55"/>
      <c r="DA124" s="55"/>
      <c r="DB124" s="56"/>
      <c r="DC124" s="57"/>
      <c r="DD124" s="58"/>
      <c r="DE124" s="58"/>
      <c r="DF124" s="57"/>
      <c r="DG124" s="59">
        <f>B124</f>
        <v>240908</v>
      </c>
      <c r="DH124" s="58"/>
      <c r="DI124" s="58"/>
      <c r="DJ124" s="60"/>
      <c r="DK124" s="58"/>
      <c r="DL124" s="61"/>
      <c r="DM124" s="24"/>
    </row>
    <row r="125" spans="1:117" ht="15" customHeight="1">
      <c r="A125" s="25">
        <f>ROW()-2</f>
        <v>123</v>
      </c>
      <c r="B125" s="26">
        <v>240910</v>
      </c>
      <c r="C125" s="27" t="s">
        <v>1629</v>
      </c>
      <c r="D125" s="27"/>
      <c r="E125" s="27" t="s">
        <v>613</v>
      </c>
      <c r="F125" s="27" t="s">
        <v>196</v>
      </c>
      <c r="G125" s="27" t="s">
        <v>240</v>
      </c>
      <c r="H125" s="27" t="s">
        <v>260</v>
      </c>
      <c r="I125" s="27" t="s">
        <v>1540</v>
      </c>
      <c r="J125" s="27" t="str">
        <f>+VLOOKUP($I125,[1]프로젝트현황!$I:$N,5,0)</f>
        <v>서울시</v>
      </c>
      <c r="K125" s="27" t="str">
        <f>+VLOOKUP($I125,[1]프로젝트현황!$I:$N,6,0)</f>
        <v>구로구</v>
      </c>
      <c r="L125" s="28">
        <v>45558</v>
      </c>
      <c r="M125" s="28">
        <v>45558</v>
      </c>
      <c r="N125" s="28"/>
      <c r="O125" s="29"/>
      <c r="P125" s="30" t="s">
        <v>1630</v>
      </c>
      <c r="Q125" s="27" t="s">
        <v>1631</v>
      </c>
      <c r="R125" s="31" t="str">
        <f>LEFT(Q125,6)</f>
        <v>041221</v>
      </c>
      <c r="S125" s="31" t="str">
        <f>MID($Q125,3,2)</f>
        <v>12</v>
      </c>
      <c r="T125" s="31" t="str">
        <f>IF(OR(MID($Q125,8,1)="1",MID($Q125,8,1)="3"),"남자",IF(OR(MID($Q125,8,1)="2",MID($Q125,8,1)="4"),"여자",""))</f>
        <v>여자</v>
      </c>
      <c r="U125" s="31">
        <f ca="1">YEAR(TODAY())-IF(OR(MID($Q125,8,1)="1",MID($Q125,8,1)="2"),19&amp;LEFT($Q125,2),IF(OR(MID($Q125,8,1)="3",MID($Q125,8,1)="4"),20&amp;LEFT($Q125,2),""))+1</f>
        <v>23</v>
      </c>
      <c r="V125" s="31" t="s">
        <v>200</v>
      </c>
      <c r="W125" s="31" t="s">
        <v>201</v>
      </c>
      <c r="X125" s="27" t="s">
        <v>1632</v>
      </c>
      <c r="Y125" s="27"/>
      <c r="Z125" s="27"/>
      <c r="AA125" s="32"/>
      <c r="AB125" s="31" t="s">
        <v>203</v>
      </c>
      <c r="AC125" s="27"/>
      <c r="AD125" s="33" t="str">
        <f ca="1">QUOTIENT(SUMPRODUCT(LEFT($AE125:$AF125,FIND("년",$AE125:$AF125)-1)*12+MID($AE125:$AF125,FIND("년",$AE125:$AF125)+1,FIND("개월",$AE125:$AF125)-FIND("년",$AE125:$AF125)-1)),12)&amp;"년"&amp;MOD(SUMPRODUCT(LEFT($AE125:$AF125,FIND("년",$AE125:$AF125)-1)*12+MID($AE125:$AF125,FIND("년",$AE125:$AF125)+1,FIND("개월",$AE125:$AF125)-FIND("년",$AE125:$AF125)-1)),12)&amp;"개월"</f>
        <v>1년4개월</v>
      </c>
      <c r="AE125" s="33" t="s">
        <v>543</v>
      </c>
      <c r="AF125" s="34" t="str">
        <f ca="1">DATEDIF($L125,TODAY(),"y")&amp;"년"&amp;DATEDIF($L125,TODAY(),"ym")&amp;"개월"</f>
        <v>1년4개월</v>
      </c>
      <c r="AG125" s="35" t="s">
        <v>906</v>
      </c>
      <c r="AH125" s="35" t="s">
        <v>1633</v>
      </c>
      <c r="AI125" s="30" t="s">
        <v>365</v>
      </c>
      <c r="AJ125" s="32" t="s">
        <v>1634</v>
      </c>
      <c r="AK125" s="36">
        <f ca="1">VALUE(LEFT($AD125,FIND("년",$AD125)-1))</f>
        <v>1</v>
      </c>
      <c r="AL125" s="31" t="str">
        <f ca="1">IF($AI125="고졸",IF($AK125&lt;=11,"초급",IF($AK125&lt;=14,"중급",IF($AK125&lt;=17,"고급",IF($AK125&gt;=18,"특급")))))</f>
        <v>초급</v>
      </c>
      <c r="AM125" s="31" t="str">
        <f>IF(ISNUMBER(SEARCH("산업기사",$AT125)),IF($AK125&gt;=13,"특급",IF($AK125&gt;=10,"고급",IF($AK125&gt;=7,"중급","초급"))),IF(ISNUMBER(SEARCH("기사",$AR125)),IF($AK125&gt;=10,"특급",IF($AK125&gt;=7,"고급",IF($AK125&gt;=4,"중급","초급"))),"미해당"))</f>
        <v>미해당</v>
      </c>
      <c r="AN125" s="27"/>
      <c r="AO125" s="32"/>
      <c r="AP125" s="27"/>
      <c r="AQ125" s="32"/>
      <c r="AR125" s="27"/>
      <c r="AS125" s="27"/>
      <c r="AT125" s="37"/>
      <c r="AU125" s="27"/>
      <c r="AV125" s="38"/>
      <c r="AW125" s="39"/>
      <c r="AX125" s="39"/>
      <c r="AY125" s="40" t="s">
        <v>251</v>
      </c>
      <c r="AZ125" s="41" t="s">
        <v>252</v>
      </c>
      <c r="BA125" s="30" t="s">
        <v>230</v>
      </c>
      <c r="BB125" s="30" t="s">
        <v>1635</v>
      </c>
      <c r="BC125" s="42"/>
      <c r="BD125" s="42"/>
      <c r="BE125" s="43" t="s">
        <v>1636</v>
      </c>
      <c r="BF125" s="42" t="s">
        <v>211</v>
      </c>
      <c r="BG125" s="42" t="s">
        <v>623</v>
      </c>
      <c r="BH125" s="35"/>
      <c r="BI125" s="44" t="s">
        <v>1637</v>
      </c>
      <c r="BJ125" s="45" t="str">
        <f>IFERROR(VLOOKUP($BG125,[1]프로젝트현황!Y:Z,2,0),"기타")</f>
        <v>동북권</v>
      </c>
      <c r="BK125" s="46" t="str">
        <f>(IF(BF125="","",BF125&amp;" "))&amp;(IF(BG125="","",BG125&amp;" "))&amp;(IF(BH125="","",BH125&amp;" "))&amp;BI125</f>
        <v>서울시 강북구 도봉로98길 33, 101동 305호 (번동, 삼성아파트)</v>
      </c>
      <c r="BL125" s="47">
        <v>30</v>
      </c>
      <c r="BM125" s="47">
        <v>30</v>
      </c>
      <c r="BN125" s="48">
        <v>28200000</v>
      </c>
      <c r="BO125" s="48">
        <f>BP125*12</f>
        <v>28200044.400000002</v>
      </c>
      <c r="BP125" s="49">
        <f>SUM(BQ125:BS125)</f>
        <v>2350003.7000000002</v>
      </c>
      <c r="BQ125" s="49">
        <f>ROUNDUP(BN125/12*209/(209+BU125*1.5)/BL125*BM125,-1)-BS125</f>
        <v>1963660</v>
      </c>
      <c r="BR125" s="49">
        <f>ROUNDUP(BN125/12*(BU125*1.5)/(209+BU125*1.5)/BL125*BM125,1)</f>
        <v>186343.7</v>
      </c>
      <c r="BS125" s="49">
        <v>200000</v>
      </c>
      <c r="BT125" s="50">
        <v>209</v>
      </c>
      <c r="BU125" s="49">
        <f>IF($BN125="","",
IFERROR(
    IF($BN125&lt;'[1]시간외시간 기준표'!$B$2,0,
        IF($BN125&gt;LOOKUP(9.9E+307,'[1]시간외시간 기준표'!$B$2:$B$999),
            LOOKUP(9.9E+307,'[1]시간외시간 기준표'!$C$2:$C$999),
            LOOKUP($BN125,'[1]시간외시간 기준표'!$B$2:$B$999,'[1]시간외시간 기준표'!$C$2:$C$999)
        )
    ),0)
)</f>
        <v>12</v>
      </c>
      <c r="BV125" s="50">
        <f>(BQ125+BS125)/209</f>
        <v>10352.440191387559</v>
      </c>
      <c r="BW125" s="51">
        <v>30</v>
      </c>
      <c r="BX125" s="51">
        <v>30</v>
      </c>
      <c r="BY125" s="52">
        <v>28200000</v>
      </c>
      <c r="BZ125" s="52">
        <f>CA125*12</f>
        <v>28200021.599999998</v>
      </c>
      <c r="CA125" s="49">
        <f>SUM(CB125:CD125)</f>
        <v>2350001.7999999998</v>
      </c>
      <c r="CB125" s="49">
        <f>ROUNDUP(BY125/12*209/(209+CF125*1.5)/BW125*BX125,-1)-CD125</f>
        <v>1921600</v>
      </c>
      <c r="CC125" s="49">
        <f>ROUNDUP(BY125/12*(CF125*1.5)/(209+CF125*1.5)/BW125*BX125,1)</f>
        <v>228401.80000000002</v>
      </c>
      <c r="CD125" s="49">
        <v>200000</v>
      </c>
      <c r="CE125" s="50">
        <v>209</v>
      </c>
      <c r="CF125" s="49">
        <f>IF(BY125&lt;26000000,0,IF(BY125&lt;26500000,4,IF(BY125&lt;27000000,7,IF(BY125&lt;27500000,9,IF(BY125&lt;28000000,11,IF(BY125&lt;28500000,15,IF(BY125&lt;29000000,17,IF(BY125&lt;29500000,20,IF(BY125&lt;30000000,23,IF(BY125&lt;30500000,25,IF(BY125&lt;31000000,27,IF(BY125&lt;31500000,29,IF(BY125&lt;32000000,33,IF(BY125&lt;32500000,37,IF(BY125&lt;33000000,39,IF(BY125&lt;33500000,42,IF(BY125&lt;34000000,45,IF(BY125&lt;34500000,48,IF(BY125&lt;35000000,52,52)))))))))))))))))))</f>
        <v>15</v>
      </c>
      <c r="CG125" s="50">
        <f>(CB125+CD125)/209</f>
        <v>10151.196172248803</v>
      </c>
      <c r="CH125" s="51">
        <v>30</v>
      </c>
      <c r="CI125" s="51">
        <v>30</v>
      </c>
      <c r="CJ125" s="52">
        <v>28000000</v>
      </c>
      <c r="CK125" s="52">
        <f>CL125*12</f>
        <v>28000102.799999997</v>
      </c>
      <c r="CL125" s="49">
        <f>SUM(CM125:CO125)</f>
        <v>2333341.9</v>
      </c>
      <c r="CM125" s="49">
        <f>ROUNDUP(CJ125/12*209/(209+CQ125*1.5)/CH125*CI125,-1)-CO125</f>
        <v>1906560</v>
      </c>
      <c r="CN125" s="49">
        <f>ROUNDUP(CJ125/12*(CQ125*1.5)/(209+CQ125*1.5)/CH125*CI125,1)</f>
        <v>226781.9</v>
      </c>
      <c r="CO125" s="50">
        <v>200000</v>
      </c>
      <c r="CP125" s="50">
        <v>209</v>
      </c>
      <c r="CQ125" s="50">
        <f>IF(CJ125&lt;26000000,0,IF(CJ125&lt;26500000,4,IF(CJ125&lt;27000000,7,IF(CJ125&lt;27500000,9,IF(CJ125&lt;28000000,11,IF(CJ125&lt;28500000,15,IF(CJ125&lt;29000000,17,IF(CJ125&lt;29500000,20,IF(CJ125&lt;30000000,23,IF(CJ125&lt;30500000,25,IF(CJ125&lt;31000000,27,IF(CJ125&lt;31500000,29,IF(CJ125&lt;32000000,33,IF(CJ125&lt;32500000,37,IF(CJ125&lt;33000000,39,IF(CJ125&lt;33500000,42,IF(CJ125&lt;34000000,45,IF(CJ125&lt;34500000,48,IF(CJ125&lt;35000000,52,52)))))))))))))))))))</f>
        <v>15</v>
      </c>
      <c r="CR125" s="50">
        <f>(CM125+CO125)/209</f>
        <v>10079.234449760766</v>
      </c>
      <c r="CS125" s="52"/>
      <c r="CT125" s="53"/>
      <c r="CU125" s="53"/>
      <c r="CV125" s="53"/>
      <c r="CW125" s="54"/>
      <c r="CX125" s="54"/>
      <c r="CY125" s="54"/>
      <c r="CZ125" s="55"/>
      <c r="DA125" s="55"/>
      <c r="DB125" s="56"/>
      <c r="DC125" s="57"/>
      <c r="DD125" s="58"/>
      <c r="DE125" s="58"/>
      <c r="DF125" s="57"/>
      <c r="DG125" s="59">
        <f>B125</f>
        <v>240910</v>
      </c>
      <c r="DH125" s="58"/>
      <c r="DI125" s="58"/>
      <c r="DJ125" s="60"/>
      <c r="DK125" s="58"/>
      <c r="DL125" s="61"/>
      <c r="DM125" s="24"/>
    </row>
    <row r="126" spans="1:117" ht="15" customHeight="1">
      <c r="A126" s="25">
        <f>ROW()-2</f>
        <v>124</v>
      </c>
      <c r="B126" s="26">
        <v>240911</v>
      </c>
      <c r="C126" s="27" t="s">
        <v>1638</v>
      </c>
      <c r="D126" s="27"/>
      <c r="E126" s="27" t="s">
        <v>613</v>
      </c>
      <c r="F126" s="27" t="s">
        <v>196</v>
      </c>
      <c r="G126" s="27" t="s">
        <v>240</v>
      </c>
      <c r="H126" s="27" t="s">
        <v>217</v>
      </c>
      <c r="I126" s="27" t="s">
        <v>359</v>
      </c>
      <c r="J126" s="27" t="str">
        <f>+VLOOKUP($I126,[1]프로젝트현황!$I:$N,5,0)</f>
        <v>서울시</v>
      </c>
      <c r="K126" s="27" t="str">
        <f>+VLOOKUP($I126,[1]프로젝트현황!$I:$N,6,0)</f>
        <v>금천구</v>
      </c>
      <c r="L126" s="28">
        <v>45558</v>
      </c>
      <c r="M126" s="28">
        <v>45558</v>
      </c>
      <c r="N126" s="28"/>
      <c r="O126" s="29"/>
      <c r="P126" s="30" t="s">
        <v>1639</v>
      </c>
      <c r="Q126" s="27" t="s">
        <v>1640</v>
      </c>
      <c r="R126" s="31" t="str">
        <f>LEFT(Q126,6)</f>
        <v>980714</v>
      </c>
      <c r="S126" s="31" t="str">
        <f>MID($Q126,3,2)</f>
        <v>07</v>
      </c>
      <c r="T126" s="31" t="str">
        <f>IF(OR(MID($Q126,8,1)="1",MID($Q126,8,1)="3"),"남자",IF(OR(MID($Q126,8,1)="2",MID($Q126,8,1)="4"),"여자",""))</f>
        <v>여자</v>
      </c>
      <c r="U126" s="31">
        <f ca="1">YEAR(TODAY())-IF(OR(MID($Q126,8,1)="1",MID($Q126,8,1)="2"),19&amp;LEFT($Q126,2),IF(OR(MID($Q126,8,1)="3",MID($Q126,8,1)="4"),20&amp;LEFT($Q126,2),""))+1</f>
        <v>29</v>
      </c>
      <c r="V126" s="31" t="s">
        <v>200</v>
      </c>
      <c r="W126" s="31" t="s">
        <v>201</v>
      </c>
      <c r="X126" s="27" t="s">
        <v>1641</v>
      </c>
      <c r="Y126" s="27"/>
      <c r="Z126" s="27"/>
      <c r="AA126" s="32"/>
      <c r="AB126" s="31" t="s">
        <v>203</v>
      </c>
      <c r="AC126" s="27"/>
      <c r="AD126" s="33" t="str">
        <f ca="1">QUOTIENT(SUMPRODUCT(LEFT($AE126:$AF126,FIND("년",$AE126:$AF126)-1)*12+MID($AE126:$AF126,FIND("년",$AE126:$AF126)+1,FIND("개월",$AE126:$AF126)-FIND("년",$AE126:$AF126)-1)),12)&amp;"년"&amp;MOD(SUMPRODUCT(LEFT($AE126:$AF126,FIND("년",$AE126:$AF126)-1)*12+MID($AE126:$AF126,FIND("년",$AE126:$AF126)+1,FIND("개월",$AE126:$AF126)-FIND("년",$AE126:$AF126)-1)),12)&amp;"개월"</f>
        <v>1년4개월</v>
      </c>
      <c r="AE126" s="33" t="s">
        <v>543</v>
      </c>
      <c r="AF126" s="34" t="str">
        <f ca="1">DATEDIF($L126,TODAY(),"y")&amp;"년"&amp;DATEDIF($L126,TODAY(),"ym")&amp;"개월"</f>
        <v>1년4개월</v>
      </c>
      <c r="AG126" s="35" t="s">
        <v>1642</v>
      </c>
      <c r="AH126" s="35" t="s">
        <v>1643</v>
      </c>
      <c r="AI126" s="30" t="s">
        <v>205</v>
      </c>
      <c r="AJ126" s="32">
        <v>44603</v>
      </c>
      <c r="AK126" s="36">
        <f ca="1">VALUE(LEFT($AD126,FIND("년",$AD126)-1))</f>
        <v>1</v>
      </c>
      <c r="AL126" s="31" t="str">
        <f ca="1">IF($AI126="전문학사",IF($AK126&lt;=8,"초급",IF($AK126&lt;12,"중급",IF($AK126&lt;15,"고급",IF($AK126&gt;=15,"특급")))))</f>
        <v>초급</v>
      </c>
      <c r="AM126" s="31" t="str">
        <f>IF(ISNUMBER(SEARCH("산업기사",$AT126)),IF($AK126&gt;=13,"특급",IF($AK126&gt;=10,"고급",IF($AK126&gt;=7,"중급","초급"))),IF(ISNUMBER(SEARCH("기사",$AR126)),IF($AK126&gt;=10,"특급",IF($AK126&gt;=7,"고급",IF($AK126&gt;=4,"중급","초급"))),"미해당"))</f>
        <v>미해당</v>
      </c>
      <c r="AN126" s="27"/>
      <c r="AO126" s="32"/>
      <c r="AP126" s="27"/>
      <c r="AQ126" s="32"/>
      <c r="AR126" s="27"/>
      <c r="AS126" s="27"/>
      <c r="AT126" s="37"/>
      <c r="AU126" s="27"/>
      <c r="AV126" s="38"/>
      <c r="AW126" s="39"/>
      <c r="AX126" s="39"/>
      <c r="AY126" s="40" t="s">
        <v>251</v>
      </c>
      <c r="AZ126" s="41" t="s">
        <v>252</v>
      </c>
      <c r="BA126" s="30" t="s">
        <v>230</v>
      </c>
      <c r="BB126" s="30" t="s">
        <v>1644</v>
      </c>
      <c r="BC126" s="42" t="s">
        <v>254</v>
      </c>
      <c r="BD126" s="42" t="s">
        <v>1645</v>
      </c>
      <c r="BE126" s="43" t="s">
        <v>1646</v>
      </c>
      <c r="BF126" s="42" t="s">
        <v>211</v>
      </c>
      <c r="BG126" s="42" t="s">
        <v>535</v>
      </c>
      <c r="BH126" s="35"/>
      <c r="BI126" s="44" t="s">
        <v>1647</v>
      </c>
      <c r="BJ126" s="45" t="str">
        <f>IFERROR(VLOOKUP($BG126,[1]프로젝트현황!Y:Z,2,0),"기타")</f>
        <v>서남권</v>
      </c>
      <c r="BK126" s="46" t="str">
        <f>(IF(BF126="","",BF126&amp;" "))&amp;(IF(BG126="","",BG126&amp;" "))&amp;(IF(BH126="","",BH126&amp;" "))&amp;BI126</f>
        <v>서울시 영등포구 대방천로14길 32, 301동 810호 (신길동, 우성아파트)</v>
      </c>
      <c r="BL126" s="47">
        <v>30</v>
      </c>
      <c r="BM126" s="47">
        <v>30</v>
      </c>
      <c r="BN126" s="48">
        <v>28200000</v>
      </c>
      <c r="BO126" s="48">
        <f>BP126*12</f>
        <v>28200044.400000002</v>
      </c>
      <c r="BP126" s="49">
        <f>SUM(BQ126:BS126)</f>
        <v>2350003.7000000002</v>
      </c>
      <c r="BQ126" s="49">
        <f>ROUNDUP(BN126/12*209/(209+BU126*1.5)/BL126*BM126,-1)-BS126</f>
        <v>1963660</v>
      </c>
      <c r="BR126" s="49">
        <f>ROUNDUP(BN126/12*(BU126*1.5)/(209+BU126*1.5)/BL126*BM126,1)</f>
        <v>186343.7</v>
      </c>
      <c r="BS126" s="49">
        <v>200000</v>
      </c>
      <c r="BT126" s="50">
        <v>209</v>
      </c>
      <c r="BU126" s="49">
        <f>IF($BN126="","",
IFERROR(
    IF($BN126&lt;'[1]시간외시간 기준표'!$B$2,0,
        IF($BN126&gt;LOOKUP(9.9E+307,'[1]시간외시간 기준표'!$B$2:$B$999),
            LOOKUP(9.9E+307,'[1]시간외시간 기준표'!$C$2:$C$999),
            LOOKUP($BN126,'[1]시간외시간 기준표'!$B$2:$B$999,'[1]시간외시간 기준표'!$C$2:$C$999)
        )
    ),0)
)</f>
        <v>12</v>
      </c>
      <c r="BV126" s="50">
        <f>(BQ126+BS126)/209</f>
        <v>10352.440191387559</v>
      </c>
      <c r="BW126" s="51">
        <v>30</v>
      </c>
      <c r="BX126" s="51">
        <v>30</v>
      </c>
      <c r="BY126" s="52">
        <v>28200000</v>
      </c>
      <c r="BZ126" s="52">
        <f>CA126*12</f>
        <v>28200021.599999998</v>
      </c>
      <c r="CA126" s="49">
        <f>SUM(CB126:CD126)</f>
        <v>2350001.7999999998</v>
      </c>
      <c r="CB126" s="49">
        <f>ROUNDUP(BY126/12*209/(209+CF126*1.5)/BW126*BX126,-1)-CD126</f>
        <v>1921600</v>
      </c>
      <c r="CC126" s="49">
        <f>ROUNDUP(BY126/12*(CF126*1.5)/(209+CF126*1.5)/BW126*BX126,1)</f>
        <v>228401.80000000002</v>
      </c>
      <c r="CD126" s="49">
        <v>200000</v>
      </c>
      <c r="CE126" s="50">
        <v>209</v>
      </c>
      <c r="CF126" s="49">
        <f>IF(BY126&lt;26000000,0,IF(BY126&lt;26500000,4,IF(BY126&lt;27000000,7,IF(BY126&lt;27500000,9,IF(BY126&lt;28000000,11,IF(BY126&lt;28500000,15,IF(BY126&lt;29000000,17,IF(BY126&lt;29500000,20,IF(BY126&lt;30000000,23,IF(BY126&lt;30500000,25,IF(BY126&lt;31000000,27,IF(BY126&lt;31500000,29,IF(BY126&lt;32000000,33,IF(BY126&lt;32500000,37,IF(BY126&lt;33000000,39,IF(BY126&lt;33500000,42,IF(BY126&lt;34000000,45,IF(BY126&lt;34500000,48,IF(BY126&lt;35000000,52,52)))))))))))))))))))</f>
        <v>15</v>
      </c>
      <c r="CG126" s="50">
        <f>(CB126+CD126)/209</f>
        <v>10151.196172248803</v>
      </c>
      <c r="CH126" s="51">
        <v>30</v>
      </c>
      <c r="CI126" s="51">
        <v>30</v>
      </c>
      <c r="CJ126" s="52">
        <v>28000000</v>
      </c>
      <c r="CK126" s="52">
        <f>CL126*12</f>
        <v>28000102.799999997</v>
      </c>
      <c r="CL126" s="49">
        <f>SUM(CM126:CO126)</f>
        <v>2333341.9</v>
      </c>
      <c r="CM126" s="49">
        <f>ROUNDUP(CJ126/12*209/(209+CQ126*1.5)/CH126*CI126,-1)-CO126</f>
        <v>1906560</v>
      </c>
      <c r="CN126" s="49">
        <f>ROUNDUP(CJ126/12*(CQ126*1.5)/(209+CQ126*1.5)/CH126*CI126,1)</f>
        <v>226781.9</v>
      </c>
      <c r="CO126" s="50">
        <v>200000</v>
      </c>
      <c r="CP126" s="50">
        <v>209</v>
      </c>
      <c r="CQ126" s="50">
        <f>IF(CJ126&lt;26000000,0,IF(CJ126&lt;26500000,4,IF(CJ126&lt;27000000,7,IF(CJ126&lt;27500000,9,IF(CJ126&lt;28000000,11,IF(CJ126&lt;28500000,15,IF(CJ126&lt;29000000,17,IF(CJ126&lt;29500000,20,IF(CJ126&lt;30000000,23,IF(CJ126&lt;30500000,25,IF(CJ126&lt;31000000,27,IF(CJ126&lt;31500000,29,IF(CJ126&lt;32000000,33,IF(CJ126&lt;32500000,37,IF(CJ126&lt;33000000,39,IF(CJ126&lt;33500000,42,IF(CJ126&lt;34000000,45,IF(CJ126&lt;34500000,48,IF(CJ126&lt;35000000,52,52)))))))))))))))))))</f>
        <v>15</v>
      </c>
      <c r="CR126" s="50">
        <f>(CM126+CO126)/209</f>
        <v>10079.234449760766</v>
      </c>
      <c r="CS126" s="52"/>
      <c r="CT126" s="53"/>
      <c r="CU126" s="53"/>
      <c r="CV126" s="53"/>
      <c r="CW126" s="54"/>
      <c r="CX126" s="54"/>
      <c r="CY126" s="54"/>
      <c r="CZ126" s="55"/>
      <c r="DA126" s="55"/>
      <c r="DB126" s="56"/>
      <c r="DC126" s="57"/>
      <c r="DD126" s="58"/>
      <c r="DE126" s="58"/>
      <c r="DF126" s="57"/>
      <c r="DG126" s="59">
        <f>B126</f>
        <v>240911</v>
      </c>
      <c r="DH126" s="58"/>
      <c r="DI126" s="58"/>
      <c r="DJ126" s="60"/>
      <c r="DK126" s="58"/>
      <c r="DL126" s="61"/>
      <c r="DM126" s="24"/>
    </row>
    <row r="127" spans="1:117" ht="15" customHeight="1">
      <c r="A127" s="25">
        <f>ROW()-2</f>
        <v>125</v>
      </c>
      <c r="B127" s="26">
        <v>240912</v>
      </c>
      <c r="C127" s="27" t="s">
        <v>1648</v>
      </c>
      <c r="D127" s="27"/>
      <c r="E127" s="27" t="s">
        <v>613</v>
      </c>
      <c r="F127" s="27" t="s">
        <v>196</v>
      </c>
      <c r="G127" s="27" t="s">
        <v>240</v>
      </c>
      <c r="H127" s="27" t="s">
        <v>260</v>
      </c>
      <c r="I127" s="27" t="s">
        <v>261</v>
      </c>
      <c r="J127" s="27" t="str">
        <f>+VLOOKUP($I127,[1]프로젝트현황!$I:$N,5,0)</f>
        <v>서울시</v>
      </c>
      <c r="K127" s="27" t="str">
        <f>+VLOOKUP($I127,[1]프로젝트현황!$I:$N,6,0)</f>
        <v>중구</v>
      </c>
      <c r="L127" s="28">
        <v>45558</v>
      </c>
      <c r="M127" s="28">
        <v>45558</v>
      </c>
      <c r="N127" s="28"/>
      <c r="O127" s="29"/>
      <c r="P127" s="30" t="s">
        <v>1649</v>
      </c>
      <c r="Q127" s="27" t="s">
        <v>1650</v>
      </c>
      <c r="R127" s="31" t="str">
        <f>LEFT(Q127,6)</f>
        <v>980216</v>
      </c>
      <c r="S127" s="31" t="str">
        <f>MID($Q127,3,2)</f>
        <v>02</v>
      </c>
      <c r="T127" s="31" t="str">
        <f>IF(OR(MID($Q127,8,1)="1",MID($Q127,8,1)="3"),"남자",IF(OR(MID($Q127,8,1)="2",MID($Q127,8,1)="4"),"여자",""))</f>
        <v>남자</v>
      </c>
      <c r="U127" s="31">
        <f ca="1">YEAR(TODAY())-IF(OR(MID($Q127,8,1)="1",MID($Q127,8,1)="2"),19&amp;LEFT($Q127,2),IF(OR(MID($Q127,8,1)="3",MID($Q127,8,1)="4"),20&amp;LEFT($Q127,2),""))+1</f>
        <v>29</v>
      </c>
      <c r="V127" s="31" t="s">
        <v>200</v>
      </c>
      <c r="W127" s="31" t="s">
        <v>201</v>
      </c>
      <c r="X127" s="27" t="s">
        <v>1651</v>
      </c>
      <c r="Y127" s="27"/>
      <c r="Z127" s="27"/>
      <c r="AA127" s="32"/>
      <c r="AB127" s="31" t="s">
        <v>203</v>
      </c>
      <c r="AC127" s="27"/>
      <c r="AD127" s="33" t="str">
        <f ca="1">QUOTIENT(SUMPRODUCT(LEFT($AE127:$AF127,FIND("년",$AE127:$AF127)-1)*12+MID($AE127:$AF127,FIND("년",$AE127:$AF127)+1,FIND("개월",$AE127:$AF127)-FIND("년",$AE127:$AF127)-1)),12)&amp;"년"&amp;MOD(SUMPRODUCT(LEFT($AE127:$AF127,FIND("년",$AE127:$AF127)-1)*12+MID($AE127:$AF127,FIND("년",$AE127:$AF127)+1,FIND("개월",$AE127:$AF127)-FIND("년",$AE127:$AF127)-1)),12)&amp;"개월"</f>
        <v>2년0개월</v>
      </c>
      <c r="AE127" s="33" t="s">
        <v>1043</v>
      </c>
      <c r="AF127" s="34" t="str">
        <f ca="1">DATEDIF($L127,TODAY(),"y")&amp;"년"&amp;DATEDIF($L127,TODAY(),"ym")&amp;"개월"</f>
        <v>1년4개월</v>
      </c>
      <c r="AG127" s="35" t="s">
        <v>929</v>
      </c>
      <c r="AH127" s="35" t="s">
        <v>588</v>
      </c>
      <c r="AI127" s="30" t="s">
        <v>270</v>
      </c>
      <c r="AJ127" s="32">
        <v>45163</v>
      </c>
      <c r="AK127" s="36">
        <f ca="1">VALUE(LEFT($AD127,FIND("년",$AD127)-1))</f>
        <v>2</v>
      </c>
      <c r="AL127" s="31" t="str">
        <f ca="1">IF($AI127="학사",IF($AK127&lt;=5,"초급",IF($AK127&lt;9,"중급",IF($AK127&lt;12,"고급",IF($AK127&gt;=12,"특급")))))</f>
        <v>초급</v>
      </c>
      <c r="AM127" s="31" t="str">
        <f>IF(ISNUMBER(SEARCH("산업기사",$AT127)),IF($AK127&gt;=13,"특급",IF($AK127&gt;=10,"고급",IF($AK127&gt;=7,"중급","초급"))),IF(ISNUMBER(SEARCH("기사",$AR127)),IF($AK127&gt;=10,"특급",IF($AK127&gt;=7,"고급",IF($AK127&gt;=4,"중급","초급"))),"미해당"))</f>
        <v>미해당</v>
      </c>
      <c r="AN127" s="27"/>
      <c r="AO127" s="32"/>
      <c r="AP127" s="27"/>
      <c r="AQ127" s="32"/>
      <c r="AR127" s="27"/>
      <c r="AS127" s="27"/>
      <c r="AT127" s="37"/>
      <c r="AU127" s="27"/>
      <c r="AV127" s="38"/>
      <c r="AW127" s="39"/>
      <c r="AX127" s="39"/>
      <c r="AY127" s="40" t="s">
        <v>251</v>
      </c>
      <c r="AZ127" s="41" t="s">
        <v>252</v>
      </c>
      <c r="BA127" s="30" t="s">
        <v>230</v>
      </c>
      <c r="BB127" s="30" t="s">
        <v>1652</v>
      </c>
      <c r="BC127" s="42" t="s">
        <v>275</v>
      </c>
      <c r="BD127" s="42" t="s">
        <v>1653</v>
      </c>
      <c r="BE127" s="43" t="s">
        <v>1654</v>
      </c>
      <c r="BF127" s="42" t="s">
        <v>234</v>
      </c>
      <c r="BG127" s="42" t="s">
        <v>235</v>
      </c>
      <c r="BH127" s="35" t="s">
        <v>1655</v>
      </c>
      <c r="BI127" s="44" t="s">
        <v>1656</v>
      </c>
      <c r="BJ127" s="45" t="str">
        <f>IFERROR(VLOOKUP($BG127,[1]프로젝트현황!Y:Z,2,0),"기타")</f>
        <v>서북권</v>
      </c>
      <c r="BK127" s="46" t="str">
        <f>(IF(BF127="","",BF127&amp;" "))&amp;(IF(BG127="","",BG127&amp;" "))&amp;(IF(BH127="","",BH127&amp;" "))&amp;BI127</f>
        <v>경기도 고양시 일산서구 산현로17번길 38, 1107동 602호 (탄현동, 탄현마을)</v>
      </c>
      <c r="BL127" s="47">
        <v>30</v>
      </c>
      <c r="BM127" s="47">
        <v>30</v>
      </c>
      <c r="BN127" s="48">
        <v>28700000</v>
      </c>
      <c r="BO127" s="48">
        <f>BP127*12</f>
        <v>28700035.200000003</v>
      </c>
      <c r="BP127" s="49">
        <f>SUM(BQ127:BS127)</f>
        <v>2391669.6</v>
      </c>
      <c r="BQ127" s="49">
        <f>ROUNDUP(BN127/12*209/(209+BU127*1.5)/BL127*BM127,-1)-BS127</f>
        <v>1973300</v>
      </c>
      <c r="BR127" s="49">
        <f>ROUNDUP(BN127/12*(BU127*1.5)/(209+BU127*1.5)/BL127*BM127,1)</f>
        <v>218369.6</v>
      </c>
      <c r="BS127" s="49">
        <v>200000</v>
      </c>
      <c r="BT127" s="50">
        <v>209</v>
      </c>
      <c r="BU127" s="49">
        <f>IF($BN127="","",
IFERROR(
    IF($BN127&lt;'[1]시간외시간 기준표'!$B$2,0,
        IF($BN127&gt;LOOKUP(9.9E+307,'[1]시간외시간 기준표'!$B$2:$B$999),
            LOOKUP(9.9E+307,'[1]시간외시간 기준표'!$C$2:$C$999),
            LOOKUP($BN127,'[1]시간외시간 기준표'!$B$2:$B$999,'[1]시간외시간 기준표'!$C$2:$C$999)
        )
    ),0)
)</f>
        <v>14</v>
      </c>
      <c r="BV127" s="50">
        <f>(BQ127+BS127)/209</f>
        <v>10398.564593301435</v>
      </c>
      <c r="BW127" s="51">
        <v>30</v>
      </c>
      <c r="BX127" s="51">
        <v>30</v>
      </c>
      <c r="BY127" s="52">
        <v>28700000</v>
      </c>
      <c r="BZ127" s="52">
        <f>CA127*12</f>
        <v>28700096.400000002</v>
      </c>
      <c r="CA127" s="49">
        <f>SUM(CB127:CD127)</f>
        <v>2391674.7000000002</v>
      </c>
      <c r="CB127" s="49">
        <f>ROUNDUP(BY127/12*209/(209+CF127*1.5)/BW127*BX127,-1)-CD127</f>
        <v>1931600</v>
      </c>
      <c r="CC127" s="49">
        <f>ROUNDUP(BY127/12*(CF127*1.5)/(209+CF127*1.5)/BW127*BX127,1)</f>
        <v>260074.7</v>
      </c>
      <c r="CD127" s="49">
        <v>200000</v>
      </c>
      <c r="CE127" s="50">
        <v>209</v>
      </c>
      <c r="CF127" s="49">
        <f>IF(BY127&lt;26000000,0,IF(BY127&lt;26500000,4,IF(BY127&lt;27000000,7,IF(BY127&lt;27500000,9,IF(BY127&lt;28000000,11,IF(BY127&lt;28500000,15,IF(BY127&lt;29000000,17,IF(BY127&lt;29500000,20,IF(BY127&lt;30000000,23,IF(BY127&lt;30500000,25,IF(BY127&lt;31000000,27,IF(BY127&lt;31500000,29,IF(BY127&lt;32000000,33,IF(BY127&lt;32500000,37,IF(BY127&lt;33000000,39,IF(BY127&lt;33500000,42,IF(BY127&lt;34000000,45,IF(BY127&lt;34500000,48,IF(BY127&lt;35000000,52,52)))))))))))))))))))</f>
        <v>17</v>
      </c>
      <c r="CG127" s="50">
        <f>(CB127+CD127)/209</f>
        <v>10199.043062200957</v>
      </c>
      <c r="CH127" s="51">
        <v>30</v>
      </c>
      <c r="CI127" s="51">
        <v>30</v>
      </c>
      <c r="CJ127" s="52">
        <v>28500000</v>
      </c>
      <c r="CK127" s="52">
        <f>CL127*12</f>
        <v>28500027.599999998</v>
      </c>
      <c r="CL127" s="49">
        <f>SUM(CM127:CO127)</f>
        <v>2375002.2999999998</v>
      </c>
      <c r="CM127" s="49">
        <f>ROUNDUP(CJ127/12*209/(209+CQ127*1.5)/CH127*CI127,-1)-CO127</f>
        <v>1916740</v>
      </c>
      <c r="CN127" s="49">
        <f>ROUNDUP(CJ127/12*(CQ127*1.5)/(209+CQ127*1.5)/CH127*CI127,1)</f>
        <v>258262.30000000002</v>
      </c>
      <c r="CO127" s="50">
        <v>200000</v>
      </c>
      <c r="CP127" s="50">
        <v>209</v>
      </c>
      <c r="CQ127" s="50">
        <f>IF(CJ127&lt;26000000,0,IF(CJ127&lt;26500000,4,IF(CJ127&lt;27000000,7,IF(CJ127&lt;27500000,9,IF(CJ127&lt;28000000,11,IF(CJ127&lt;28500000,15,IF(CJ127&lt;29000000,17,IF(CJ127&lt;29500000,20,IF(CJ127&lt;30000000,23,IF(CJ127&lt;30500000,25,IF(CJ127&lt;31000000,27,IF(CJ127&lt;31500000,29,IF(CJ127&lt;32000000,33,IF(CJ127&lt;32500000,37,IF(CJ127&lt;33000000,39,IF(CJ127&lt;33500000,42,IF(CJ127&lt;34000000,45,IF(CJ127&lt;34500000,48,IF(CJ127&lt;35000000,52,52)))))))))))))))))))</f>
        <v>17</v>
      </c>
      <c r="CR127" s="50">
        <f>(CM127+CO127)/209</f>
        <v>10127.942583732058</v>
      </c>
      <c r="CS127" s="52"/>
      <c r="CT127" s="53"/>
      <c r="CU127" s="53"/>
      <c r="CV127" s="53"/>
      <c r="CW127" s="54"/>
      <c r="CX127" s="54"/>
      <c r="CY127" s="54"/>
      <c r="CZ127" s="55"/>
      <c r="DA127" s="55"/>
      <c r="DB127" s="56"/>
      <c r="DC127" s="57"/>
      <c r="DD127" s="58"/>
      <c r="DE127" s="58"/>
      <c r="DF127" s="57"/>
      <c r="DG127" s="59">
        <f>B127</f>
        <v>240912</v>
      </c>
      <c r="DH127" s="58"/>
      <c r="DI127" s="58"/>
      <c r="DJ127" s="60"/>
      <c r="DK127" s="58"/>
      <c r="DL127" s="61"/>
      <c r="DM127" s="24"/>
    </row>
    <row r="128" spans="1:117" ht="15" customHeight="1">
      <c r="A128" s="25">
        <f>ROW()-2</f>
        <v>126</v>
      </c>
      <c r="B128" s="26">
        <v>241001</v>
      </c>
      <c r="C128" s="27" t="s">
        <v>1657</v>
      </c>
      <c r="D128" s="27" t="s">
        <v>215</v>
      </c>
      <c r="E128" s="27" t="s">
        <v>947</v>
      </c>
      <c r="F128" s="27" t="s">
        <v>196</v>
      </c>
      <c r="G128" s="27" t="s">
        <v>240</v>
      </c>
      <c r="H128" s="27" t="s">
        <v>260</v>
      </c>
      <c r="I128" s="27" t="s">
        <v>1658</v>
      </c>
      <c r="J128" s="27" t="str">
        <f>+VLOOKUP($I128,[1]프로젝트현황!$I:$N,5,0)</f>
        <v>서울시</v>
      </c>
      <c r="K128" s="27" t="str">
        <f>+VLOOKUP($I128,[1]프로젝트현황!$I:$N,6,0)</f>
        <v>강남구</v>
      </c>
      <c r="L128" s="28">
        <v>45572</v>
      </c>
      <c r="M128" s="28">
        <v>45572</v>
      </c>
      <c r="N128" s="28"/>
      <c r="O128" s="29"/>
      <c r="P128" s="30" t="s">
        <v>1659</v>
      </c>
      <c r="Q128" s="27" t="s">
        <v>1660</v>
      </c>
      <c r="R128" s="31" t="str">
        <f>LEFT(Q128,6)</f>
        <v>790303</v>
      </c>
      <c r="S128" s="31" t="str">
        <f>MID($Q128,3,2)</f>
        <v>03</v>
      </c>
      <c r="T128" s="31" t="str">
        <f>IF(OR(MID($Q128,8,1)="1",MID($Q128,8,1)="3"),"남자",IF(OR(MID($Q128,8,1)="2",MID($Q128,8,1)="4"),"여자",""))</f>
        <v>남자</v>
      </c>
      <c r="U128" s="31">
        <f ca="1">YEAR(TODAY())-IF(OR(MID($Q128,8,1)="1",MID($Q128,8,1)="2"),19&amp;LEFT($Q128,2),IF(OR(MID($Q128,8,1)="3",MID($Q128,8,1)="4"),20&amp;LEFT($Q128,2),""))+1</f>
        <v>48</v>
      </c>
      <c r="V128" s="31" t="s">
        <v>200</v>
      </c>
      <c r="W128" s="31" t="s">
        <v>201</v>
      </c>
      <c r="X128" s="27" t="s">
        <v>1661</v>
      </c>
      <c r="Y128" s="27"/>
      <c r="Z128" s="27"/>
      <c r="AA128" s="32"/>
      <c r="AB128" s="31" t="s">
        <v>203</v>
      </c>
      <c r="AC128" s="27"/>
      <c r="AD128" s="33" t="str">
        <f ca="1">QUOTIENT(SUMPRODUCT(LEFT($AE128:$AF128,FIND("년",$AE128:$AF128)-1)*12+MID($AE128:$AF128,FIND("년",$AE128:$AF128)+1,FIND("개월",$AE128:$AF128)-FIND("년",$AE128:$AF128)-1)),12)&amp;"년"&amp;MOD(SUMPRODUCT(LEFT($AE128:$AF128,FIND("년",$AE128:$AF128)-1)*12+MID($AE128:$AF128,FIND("년",$AE128:$AF128)+1,FIND("개월",$AE128:$AF128)-FIND("년",$AE128:$AF128)-1)),12)&amp;"개월"</f>
        <v>21년0개월</v>
      </c>
      <c r="AE128" s="33" t="s">
        <v>1662</v>
      </c>
      <c r="AF128" s="34" t="str">
        <f ca="1">DATEDIF($L128,TODAY(),"y")&amp;"년"&amp;DATEDIF($L128,TODAY(),"ym")&amp;"개월"</f>
        <v>1년4개월</v>
      </c>
      <c r="AG128" s="35" t="s">
        <v>1663</v>
      </c>
      <c r="AH128" s="35" t="s">
        <v>1447</v>
      </c>
      <c r="AI128" s="30" t="s">
        <v>270</v>
      </c>
      <c r="AJ128" s="32">
        <v>38400</v>
      </c>
      <c r="AK128" s="36">
        <f ca="1">VALUE(LEFT($AD128,FIND("년",$AD128)-1))</f>
        <v>21</v>
      </c>
      <c r="AL128" s="31" t="str">
        <f ca="1">IF($AI128="학사",IF($AK128&lt;=5,"초급",IF($AK128&lt;9,"중급",IF($AK128&lt;12,"고급",IF($AK128&gt;=12,"특급")))))</f>
        <v>특급</v>
      </c>
      <c r="AM128" s="31" t="str">
        <f>IF(ISNUMBER(SEARCH("산업기사",$AT128)),IF($AK128&gt;=13,"특급",IF($AK128&gt;=10,"고급",IF($AK128&gt;=7,"중급","초급"))),IF(ISNUMBER(SEARCH("기사",$AR128)),IF($AK128&gt;=10,"특급",IF($AK128&gt;=7,"고급",IF($AK128&gt;=4,"중급","초급"))),"미해당"))</f>
        <v>미해당</v>
      </c>
      <c r="AN128" s="27"/>
      <c r="AO128" s="32"/>
      <c r="AP128" s="27" t="s">
        <v>137</v>
      </c>
      <c r="AQ128" s="32">
        <v>40385</v>
      </c>
      <c r="AR128" s="27"/>
      <c r="AS128" s="27"/>
      <c r="AT128" s="37"/>
      <c r="AU128" s="27"/>
      <c r="AV128" s="38"/>
      <c r="AW128" s="39"/>
      <c r="AX128" s="39"/>
      <c r="AY128" s="40" t="s">
        <v>251</v>
      </c>
      <c r="AZ128" s="41" t="s">
        <v>252</v>
      </c>
      <c r="BA128" s="30" t="s">
        <v>230</v>
      </c>
      <c r="BB128" s="30" t="s">
        <v>1664</v>
      </c>
      <c r="BC128" s="42" t="s">
        <v>1665</v>
      </c>
      <c r="BD128" s="42" t="s">
        <v>1666</v>
      </c>
      <c r="BE128" s="43" t="s">
        <v>1667</v>
      </c>
      <c r="BF128" s="42" t="s">
        <v>211</v>
      </c>
      <c r="BG128" s="42" t="s">
        <v>535</v>
      </c>
      <c r="BH128" s="35"/>
      <c r="BI128" s="44" t="s">
        <v>1668</v>
      </c>
      <c r="BJ128" s="45" t="str">
        <f>IFERROR(VLOOKUP($BG128,[1]프로젝트현황!Y:Z,2,0),"기타")</f>
        <v>서남권</v>
      </c>
      <c r="BK128" s="46" t="str">
        <f>(IF(BF128="","",BF128&amp;" "))&amp;(IF(BG128="","",BG128&amp;" "))&amp;(IF(BH128="","",BH128&amp;" "))&amp;BI128</f>
        <v>서울시 영등포구 도림로 313, 나동 1201호</v>
      </c>
      <c r="BL128" s="47">
        <v>30</v>
      </c>
      <c r="BM128" s="47">
        <v>30</v>
      </c>
      <c r="BN128" s="48">
        <v>70000000</v>
      </c>
      <c r="BO128" s="48">
        <f>BP128*12</f>
        <v>70000030.800000012</v>
      </c>
      <c r="BP128" s="49">
        <f>SUM(BQ128:BS128)</f>
        <v>5833335.9000000004</v>
      </c>
      <c r="BQ128" s="49">
        <f>ROUNDUP(BN128/12*209/(209+BU128*1.5)/BL128*BM128,-1)-BS128</f>
        <v>4047970</v>
      </c>
      <c r="BR128" s="49">
        <f>ROUNDUP(BN128/12*(BU128*1.5)/(209+BU128*1.5)/BL128*BM128,1)</f>
        <v>1585365.9000000001</v>
      </c>
      <c r="BS128" s="49">
        <v>200000</v>
      </c>
      <c r="BT128" s="50">
        <v>209</v>
      </c>
      <c r="BU128" s="49">
        <f>IF($BN128="","",
IFERROR(
    IF($BN128&lt;'[1]시간외시간 기준표'!$B$2,0,
        IF($BN128&gt;LOOKUP(9.9E+307,'[1]시간외시간 기준표'!$B$2:$B$999),
            LOOKUP(9.9E+307,'[1]시간외시간 기준표'!$C$2:$C$999),
            LOOKUP($BN128,'[1]시간외시간 기준표'!$B$2:$B$999,'[1]시간외시간 기준표'!$C$2:$C$999)
        )
    ),0)
)</f>
        <v>52</v>
      </c>
      <c r="BV128" s="50">
        <f>(BQ128+BS128)/209</f>
        <v>20325.215311004784</v>
      </c>
      <c r="BW128" s="51">
        <v>30</v>
      </c>
      <c r="BX128" s="51">
        <v>30</v>
      </c>
      <c r="BY128" s="52">
        <v>70000000</v>
      </c>
      <c r="BZ128" s="52">
        <f>CA128*12</f>
        <v>70000030.800000012</v>
      </c>
      <c r="CA128" s="49">
        <f>SUM(CB128:CD128)</f>
        <v>5833335.9000000004</v>
      </c>
      <c r="CB128" s="49">
        <f>ROUNDUP(BY128/12*209/(209+CF128*1.5)/BW128*BX128,-1)-CD128</f>
        <v>4047970</v>
      </c>
      <c r="CC128" s="49">
        <f>ROUNDUP(BY128/12*(CF128*1.5)/(209+CF128*1.5)/BW128*BX128,1)</f>
        <v>1585365.9000000001</v>
      </c>
      <c r="CD128" s="49">
        <v>200000</v>
      </c>
      <c r="CE128" s="50">
        <v>209</v>
      </c>
      <c r="CF128" s="49">
        <f>IF(BY128&lt;26000000,0,IF(BY128&lt;26500000,4,IF(BY128&lt;27000000,7,IF(BY128&lt;27500000,9,IF(BY128&lt;28000000,11,IF(BY128&lt;28500000,15,IF(BY128&lt;29000000,17,IF(BY128&lt;29500000,20,IF(BY128&lt;30000000,23,IF(BY128&lt;30500000,25,IF(BY128&lt;31000000,27,IF(BY128&lt;31500000,29,IF(BY128&lt;32000000,33,IF(BY128&lt;32500000,37,IF(BY128&lt;33000000,39,IF(BY128&lt;33500000,42,IF(BY128&lt;34000000,45,IF(BY128&lt;34500000,48,IF(BY128&lt;35000000,52,52)))))))))))))))))))</f>
        <v>52</v>
      </c>
      <c r="CG128" s="50">
        <f>(CB128+CD128)/209</f>
        <v>20325.215311004784</v>
      </c>
      <c r="CH128" s="51">
        <v>30</v>
      </c>
      <c r="CI128" s="51">
        <v>30</v>
      </c>
      <c r="CJ128" s="52">
        <v>70000000</v>
      </c>
      <c r="CK128" s="52">
        <f>CL128*12</f>
        <v>70000030.800000012</v>
      </c>
      <c r="CL128" s="49">
        <f>SUM(CM128:CO128)</f>
        <v>5833335.9000000004</v>
      </c>
      <c r="CM128" s="49">
        <f>ROUNDUP(CJ128/12*209/(209+CQ128*1.5)/CH128*CI128,-1)-CO128</f>
        <v>4047970</v>
      </c>
      <c r="CN128" s="49">
        <f>ROUNDUP(CJ128/12*(CQ128*1.5)/(209+CQ128*1.5)/CH128*CI128,1)</f>
        <v>1585365.9000000001</v>
      </c>
      <c r="CO128" s="50">
        <v>200000</v>
      </c>
      <c r="CP128" s="50">
        <v>209</v>
      </c>
      <c r="CQ128" s="50">
        <f>IF(CJ128&lt;26000000,0,IF(CJ128&lt;26500000,4,IF(CJ128&lt;27000000,7,IF(CJ128&lt;27500000,9,IF(CJ128&lt;28000000,11,IF(CJ128&lt;28500000,15,IF(CJ128&lt;29000000,17,IF(CJ128&lt;29500000,20,IF(CJ128&lt;30000000,23,IF(CJ128&lt;30500000,25,IF(CJ128&lt;31000000,27,IF(CJ128&lt;31500000,29,IF(CJ128&lt;32000000,33,IF(CJ128&lt;32500000,37,IF(CJ128&lt;33000000,39,IF(CJ128&lt;33500000,42,IF(CJ128&lt;34000000,45,IF(CJ128&lt;34500000,48,IF(CJ128&lt;35000000,52,52)))))))))))))))))))</f>
        <v>52</v>
      </c>
      <c r="CR128" s="50">
        <f>(CM128+CO128)/209</f>
        <v>20325.215311004784</v>
      </c>
      <c r="CS128" s="52"/>
      <c r="CT128" s="53"/>
      <c r="CU128" s="53"/>
      <c r="CV128" s="53"/>
      <c r="CW128" s="54"/>
      <c r="CX128" s="54"/>
      <c r="CY128" s="54"/>
      <c r="CZ128" s="55"/>
      <c r="DA128" s="55"/>
      <c r="DB128" s="56"/>
      <c r="DC128" s="57"/>
      <c r="DD128" s="58"/>
      <c r="DE128" s="58"/>
      <c r="DF128" s="57"/>
      <c r="DG128" s="59">
        <f>B128</f>
        <v>241001</v>
      </c>
      <c r="DH128" s="58"/>
      <c r="DI128" s="58"/>
      <c r="DJ128" s="60"/>
      <c r="DK128" s="58"/>
      <c r="DL128" s="61"/>
      <c r="DM128" s="24"/>
    </row>
    <row r="129" spans="1:117" ht="15" customHeight="1">
      <c r="A129" s="25">
        <f>ROW()-2</f>
        <v>127</v>
      </c>
      <c r="B129" s="26">
        <v>241003</v>
      </c>
      <c r="C129" s="27" t="s">
        <v>1669</v>
      </c>
      <c r="D129" s="27"/>
      <c r="E129" s="27" t="s">
        <v>283</v>
      </c>
      <c r="F129" s="27" t="s">
        <v>196</v>
      </c>
      <c r="G129" s="27" t="s">
        <v>240</v>
      </c>
      <c r="H129" s="27" t="s">
        <v>260</v>
      </c>
      <c r="I129" s="27" t="s">
        <v>1540</v>
      </c>
      <c r="J129" s="27" t="str">
        <f>+VLOOKUP($I129,[1]프로젝트현황!$I:$N,5,0)</f>
        <v>서울시</v>
      </c>
      <c r="K129" s="27" t="str">
        <f>+VLOOKUP($I129,[1]프로젝트현황!$I:$N,6,0)</f>
        <v>구로구</v>
      </c>
      <c r="L129" s="28">
        <v>45575</v>
      </c>
      <c r="M129" s="28">
        <v>45575</v>
      </c>
      <c r="N129" s="28"/>
      <c r="O129" s="29"/>
      <c r="P129" s="30" t="s">
        <v>1670</v>
      </c>
      <c r="Q129" s="27" t="s">
        <v>1671</v>
      </c>
      <c r="R129" s="31" t="str">
        <f>LEFT(Q129,6)</f>
        <v>830422</v>
      </c>
      <c r="S129" s="31" t="str">
        <f>MID($Q129,3,2)</f>
        <v>04</v>
      </c>
      <c r="T129" s="31" t="str">
        <f>IF(OR(MID($Q129,8,1)="1",MID($Q129,8,1)="3"),"남자",IF(OR(MID($Q129,8,1)="2",MID($Q129,8,1)="4"),"여자",""))</f>
        <v>남자</v>
      </c>
      <c r="U129" s="31">
        <f ca="1">YEAR(TODAY())-IF(OR(MID($Q129,8,1)="1",MID($Q129,8,1)="2"),19&amp;LEFT($Q129,2),IF(OR(MID($Q129,8,1)="3",MID($Q129,8,1)="4"),20&amp;LEFT($Q129,2),""))+1</f>
        <v>44</v>
      </c>
      <c r="V129" s="31" t="s">
        <v>200</v>
      </c>
      <c r="W129" s="31" t="s">
        <v>201</v>
      </c>
      <c r="X129" s="27" t="s">
        <v>1672</v>
      </c>
      <c r="Y129" s="27"/>
      <c r="Z129" s="27"/>
      <c r="AA129" s="32"/>
      <c r="AB129" s="31" t="s">
        <v>203</v>
      </c>
      <c r="AC129" s="27"/>
      <c r="AD129" s="33" t="str">
        <f ca="1">QUOTIENT(SUMPRODUCT(LEFT($AE129:$AF129,FIND("년",$AE129:$AF129)-1)*12+MID($AE129:$AF129,FIND("년",$AE129:$AF129)+1,FIND("개월",$AE129:$AF129)-FIND("년",$AE129:$AF129)-1)),12)&amp;"년"&amp;MOD(SUMPRODUCT(LEFT($AE129:$AF129,FIND("년",$AE129:$AF129)-1)*12+MID($AE129:$AF129,FIND("년",$AE129:$AF129)+1,FIND("개월",$AE129:$AF129)-FIND("년",$AE129:$AF129)-1)),12)&amp;"개월"</f>
        <v>13년1개월</v>
      </c>
      <c r="AE129" s="33" t="s">
        <v>1673</v>
      </c>
      <c r="AF129" s="34" t="str">
        <f ca="1">DATEDIF($L129,TODAY(),"y")&amp;"년"&amp;DATEDIF($L129,TODAY(),"ym")&amp;"개월"</f>
        <v>1년4개월</v>
      </c>
      <c r="AG129" s="35" t="s">
        <v>1674</v>
      </c>
      <c r="AH129" s="35" t="s">
        <v>1675</v>
      </c>
      <c r="AI129" s="30" t="s">
        <v>205</v>
      </c>
      <c r="AJ129" s="32">
        <v>40990</v>
      </c>
      <c r="AK129" s="36">
        <f ca="1">VALUE(LEFT($AD129,FIND("년",$AD129)-1))</f>
        <v>13</v>
      </c>
      <c r="AL129" s="31" t="str">
        <f ca="1">IF($AI129="전문학사",IF($AK129&lt;=8,"초급",IF($AK129&lt;12,"중급",IF($AK129&lt;15,"고급",IF($AK129&gt;=15,"특급")))))</f>
        <v>고급</v>
      </c>
      <c r="AM129" s="31" t="str">
        <f>IF(ISNUMBER(SEARCH("산업기사",$AT129)),IF($AK129&gt;=13,"특급",IF($AK129&gt;=10,"고급",IF($AK129&gt;=7,"중급","초급"))),IF(ISNUMBER(SEARCH("기사",$AR129)),IF($AK129&gt;=10,"특급",IF($AK129&gt;=7,"고급",IF($AK129&gt;=4,"중급","초급"))),"미해당"))</f>
        <v>미해당</v>
      </c>
      <c r="AN129" s="27"/>
      <c r="AO129" s="32"/>
      <c r="AP129" s="27"/>
      <c r="AQ129" s="32"/>
      <c r="AR129" s="27"/>
      <c r="AS129" s="27"/>
      <c r="AT129" s="37"/>
      <c r="AU129" s="27"/>
      <c r="AV129" s="38"/>
      <c r="AW129" s="39"/>
      <c r="AX129" s="39"/>
      <c r="AY129" s="40" t="s">
        <v>251</v>
      </c>
      <c r="AZ129" s="41" t="s">
        <v>252</v>
      </c>
      <c r="BA129" s="30" t="s">
        <v>230</v>
      </c>
      <c r="BB129" s="30" t="s">
        <v>1676</v>
      </c>
      <c r="BC129" s="42"/>
      <c r="BD129" s="42"/>
      <c r="BE129" s="43" t="s">
        <v>1677</v>
      </c>
      <c r="BF129" s="42" t="s">
        <v>234</v>
      </c>
      <c r="BG129" s="42" t="s">
        <v>355</v>
      </c>
      <c r="BH129" s="35" t="s">
        <v>1678</v>
      </c>
      <c r="BI129" s="44" t="s">
        <v>1679</v>
      </c>
      <c r="BJ129" s="45" t="str">
        <f>IFERROR(VLOOKUP($BG129,[1]프로젝트현황!Y:Z,2,0),"기타")</f>
        <v>서남권</v>
      </c>
      <c r="BK129" s="46" t="str">
        <f>(IF(BF129="","",BF129&amp;" "))&amp;(IF(BG129="","",BG129&amp;" "))&amp;(IF(BH129="","",BH129&amp;" "))&amp;BI129</f>
        <v>경기도 부천시 오정구 소사로 855, 102동 606호</v>
      </c>
      <c r="BL129" s="47">
        <v>30</v>
      </c>
      <c r="BM129" s="47">
        <v>30</v>
      </c>
      <c r="BN129" s="48">
        <v>43000000</v>
      </c>
      <c r="BO129" s="48">
        <f>BP129*12</f>
        <v>43000051.200000003</v>
      </c>
      <c r="BP129" s="49">
        <f>SUM(BQ129:BS129)</f>
        <v>3583337.6</v>
      </c>
      <c r="BQ129" s="49">
        <f>ROUNDUP(BN129/12*209/(209+BU129*1.5)/BL129*BM129,-1)-BS129</f>
        <v>2409470</v>
      </c>
      <c r="BR129" s="49">
        <f>ROUNDUP(BN129/12*(BU129*1.5)/(209+BU129*1.5)/BL129*BM129,1)</f>
        <v>973867.6</v>
      </c>
      <c r="BS129" s="49">
        <v>200000</v>
      </c>
      <c r="BT129" s="50">
        <v>209</v>
      </c>
      <c r="BU129" s="49">
        <f>IF($BN129="","",
IFERROR(
    IF($BN129&lt;'[1]시간외시간 기준표'!$B$2,0,
        IF($BN129&gt;LOOKUP(9.9E+307,'[1]시간외시간 기준표'!$B$2:$B$999),
            LOOKUP(9.9E+307,'[1]시간외시간 기준표'!$C$2:$C$999),
            LOOKUP($BN129,'[1]시간외시간 기준표'!$B$2:$B$999,'[1]시간외시간 기준표'!$C$2:$C$999)
        )
    ),0)
)</f>
        <v>52</v>
      </c>
      <c r="BV129" s="50">
        <f>(BQ129+BS129)/209</f>
        <v>12485.502392344497</v>
      </c>
      <c r="BW129" s="51">
        <v>30</v>
      </c>
      <c r="BX129" s="51">
        <v>30</v>
      </c>
      <c r="BY129" s="52">
        <v>43000000</v>
      </c>
      <c r="BZ129" s="52">
        <f>CA129*12</f>
        <v>43000051.200000003</v>
      </c>
      <c r="CA129" s="49">
        <f>SUM(CB129:CD129)</f>
        <v>3583337.6</v>
      </c>
      <c r="CB129" s="49">
        <f>ROUNDUP(BY129/12*209/(209+CF129*1.5)/BW129*BX129,-1)-CD129</f>
        <v>2409470</v>
      </c>
      <c r="CC129" s="49">
        <f>ROUNDUP(BY129/12*(CF129*1.5)/(209+CF129*1.5)/BW129*BX129,1)</f>
        <v>973867.6</v>
      </c>
      <c r="CD129" s="49">
        <v>200000</v>
      </c>
      <c r="CE129" s="50">
        <v>209</v>
      </c>
      <c r="CF129" s="49">
        <f>IF(BY129&lt;26000000,0,IF(BY129&lt;26500000,4,IF(BY129&lt;27000000,7,IF(BY129&lt;27500000,9,IF(BY129&lt;28000000,11,IF(BY129&lt;28500000,15,IF(BY129&lt;29000000,17,IF(BY129&lt;29500000,20,IF(BY129&lt;30000000,23,IF(BY129&lt;30500000,25,IF(BY129&lt;31000000,27,IF(BY129&lt;31500000,29,IF(BY129&lt;32000000,33,IF(BY129&lt;32500000,37,IF(BY129&lt;33000000,39,IF(BY129&lt;33500000,42,IF(BY129&lt;34000000,45,IF(BY129&lt;34500000,48,IF(BY129&lt;35000000,52,52)))))))))))))))))))</f>
        <v>52</v>
      </c>
      <c r="CG129" s="50">
        <f>(CB129+CD129)/209</f>
        <v>12485.502392344497</v>
      </c>
      <c r="CH129" s="51">
        <v>30</v>
      </c>
      <c r="CI129" s="51">
        <v>30</v>
      </c>
      <c r="CJ129" s="52">
        <v>43000000</v>
      </c>
      <c r="CK129" s="52">
        <f>CL129*12</f>
        <v>43000051.200000003</v>
      </c>
      <c r="CL129" s="49">
        <f>SUM(CM129:CO129)</f>
        <v>3583337.6</v>
      </c>
      <c r="CM129" s="49">
        <f>ROUNDUP(CJ129/12*209/(209+CQ129*1.5)/CH129*CI129,-1)-CO129</f>
        <v>2409470</v>
      </c>
      <c r="CN129" s="49">
        <f>ROUNDUP(CJ129/12*(CQ129*1.5)/(209+CQ129*1.5)/CH129*CI129,1)</f>
        <v>973867.6</v>
      </c>
      <c r="CO129" s="50">
        <v>200000</v>
      </c>
      <c r="CP129" s="50">
        <v>209</v>
      </c>
      <c r="CQ129" s="50">
        <f>IF(CJ129&lt;26000000,0,IF(CJ129&lt;26500000,4,IF(CJ129&lt;27000000,7,IF(CJ129&lt;27500000,9,IF(CJ129&lt;28000000,11,IF(CJ129&lt;28500000,15,IF(CJ129&lt;29000000,17,IF(CJ129&lt;29500000,20,IF(CJ129&lt;30000000,23,IF(CJ129&lt;30500000,25,IF(CJ129&lt;31000000,27,IF(CJ129&lt;31500000,29,IF(CJ129&lt;32000000,33,IF(CJ129&lt;32500000,37,IF(CJ129&lt;33000000,39,IF(CJ129&lt;33500000,42,IF(CJ129&lt;34000000,45,IF(CJ129&lt;34500000,48,IF(CJ129&lt;35000000,52,52)))))))))))))))))))</f>
        <v>52</v>
      </c>
      <c r="CR129" s="50">
        <f>(CM129+CO129)/209</f>
        <v>12485.502392344497</v>
      </c>
      <c r="CS129" s="52"/>
      <c r="CT129" s="53"/>
      <c r="CU129" s="53"/>
      <c r="CV129" s="53"/>
      <c r="CW129" s="54"/>
      <c r="CX129" s="54"/>
      <c r="CY129" s="54"/>
      <c r="CZ129" s="55"/>
      <c r="DA129" s="55"/>
      <c r="DB129" s="56"/>
      <c r="DC129" s="57"/>
      <c r="DD129" s="58"/>
      <c r="DE129" s="58"/>
      <c r="DF129" s="57"/>
      <c r="DG129" s="59">
        <f>B129</f>
        <v>241003</v>
      </c>
      <c r="DH129" s="58"/>
      <c r="DI129" s="58"/>
      <c r="DJ129" s="60"/>
      <c r="DK129" s="58"/>
      <c r="DL129" s="61"/>
      <c r="DM129" s="24"/>
    </row>
    <row r="130" spans="1:117" ht="15" customHeight="1">
      <c r="A130" s="25">
        <f>ROW()-2</f>
        <v>128</v>
      </c>
      <c r="B130" s="26">
        <v>241006</v>
      </c>
      <c r="C130" s="27" t="s">
        <v>1680</v>
      </c>
      <c r="D130" s="27"/>
      <c r="E130" s="27" t="s">
        <v>613</v>
      </c>
      <c r="F130" s="27" t="s">
        <v>196</v>
      </c>
      <c r="G130" s="27" t="s">
        <v>240</v>
      </c>
      <c r="H130" s="27" t="s">
        <v>260</v>
      </c>
      <c r="I130" s="27" t="s">
        <v>902</v>
      </c>
      <c r="J130" s="27" t="str">
        <f>+VLOOKUP($I130,[1]프로젝트현황!$I:$N,5,0)</f>
        <v>서울시</v>
      </c>
      <c r="K130" s="27" t="str">
        <f>+VLOOKUP($I130,[1]프로젝트현황!$I:$N,6,0)</f>
        <v>종로구</v>
      </c>
      <c r="L130" s="28">
        <v>45589</v>
      </c>
      <c r="M130" s="28">
        <v>45589</v>
      </c>
      <c r="N130" s="28"/>
      <c r="O130" s="29"/>
      <c r="P130" s="30" t="s">
        <v>1681</v>
      </c>
      <c r="Q130" s="27" t="s">
        <v>1682</v>
      </c>
      <c r="R130" s="31" t="str">
        <f>LEFT(Q130,6)</f>
        <v>010523</v>
      </c>
      <c r="S130" s="31" t="str">
        <f>MID($Q130,3,2)</f>
        <v>05</v>
      </c>
      <c r="T130" s="31" t="str">
        <f>IF(OR(MID($Q130,8,1)="1",MID($Q130,8,1)="3"),"남자",IF(OR(MID($Q130,8,1)="2",MID($Q130,8,1)="4"),"여자",""))</f>
        <v>여자</v>
      </c>
      <c r="U130" s="31">
        <f ca="1">YEAR(TODAY())-IF(OR(MID($Q130,8,1)="1",MID($Q130,8,1)="2"),19&amp;LEFT($Q130,2),IF(OR(MID($Q130,8,1)="3",MID($Q130,8,1)="4"),20&amp;LEFT($Q130,2),""))+1</f>
        <v>26</v>
      </c>
      <c r="V130" s="31" t="s">
        <v>200</v>
      </c>
      <c r="W130" s="31" t="s">
        <v>201</v>
      </c>
      <c r="X130" s="27" t="s">
        <v>1683</v>
      </c>
      <c r="Y130" s="27"/>
      <c r="Z130" s="27"/>
      <c r="AA130" s="32"/>
      <c r="AB130" s="31" t="s">
        <v>203</v>
      </c>
      <c r="AC130" s="27"/>
      <c r="AD130" s="33" t="str">
        <f ca="1">QUOTIENT(SUMPRODUCT(LEFT($AE130:$AF130,FIND("년",$AE130:$AF130)-1)*12+MID($AE130:$AF130,FIND("년",$AE130:$AF130)+1,FIND("개월",$AE130:$AF130)-FIND("년",$AE130:$AF130)-1)),12)&amp;"년"&amp;MOD(SUMPRODUCT(LEFT($AE130:$AF130,FIND("년",$AE130:$AF130)-1)*12+MID($AE130:$AF130,FIND("년",$AE130:$AF130)+1,FIND("개월",$AE130:$AF130)-FIND("년",$AE130:$AF130)-1)),12)&amp;"개월"</f>
        <v>2년11개월</v>
      </c>
      <c r="AE130" s="33" t="s">
        <v>336</v>
      </c>
      <c r="AF130" s="34" t="str">
        <f ca="1">DATEDIF($L130,TODAY(),"y")&amp;"년"&amp;DATEDIF($L130,TODAY(),"ym")&amp;"개월"</f>
        <v>1년3개월</v>
      </c>
      <c r="AG130" s="35" t="s">
        <v>1623</v>
      </c>
      <c r="AH130" s="35" t="s">
        <v>1684</v>
      </c>
      <c r="AI130" s="30" t="s">
        <v>205</v>
      </c>
      <c r="AJ130" s="32">
        <v>44588</v>
      </c>
      <c r="AK130" s="36">
        <f ca="1">VALUE(LEFT($AD130,FIND("년",$AD130)-1))</f>
        <v>2</v>
      </c>
      <c r="AL130" s="31" t="str">
        <f ca="1">IF($AI130="전문학사",IF($AK130&lt;=8,"초급",IF($AK130&lt;12,"중급",IF($AK130&lt;15,"고급",IF($AK130&gt;=15,"특급")))))</f>
        <v>초급</v>
      </c>
      <c r="AM130" s="31" t="str">
        <f>IF(ISNUMBER(SEARCH("산업기사",$AT130)),IF($AK130&gt;=13,"특급",IF($AK130&gt;=10,"고급",IF($AK130&gt;=7,"중급","초급"))),IF(ISNUMBER(SEARCH("기사",$AR130)),IF($AK130&gt;=10,"특급",IF($AK130&gt;=7,"고급",IF($AK130&gt;=4,"중급","초급"))),"미해당"))</f>
        <v>미해당</v>
      </c>
      <c r="AN130" s="27"/>
      <c r="AO130" s="32"/>
      <c r="AP130" s="27"/>
      <c r="AQ130" s="32"/>
      <c r="AR130" s="27"/>
      <c r="AS130" s="27"/>
      <c r="AT130" s="37"/>
      <c r="AU130" s="27"/>
      <c r="AV130" s="38"/>
      <c r="AW130" s="39"/>
      <c r="AX130" s="39"/>
      <c r="AY130" s="40" t="s">
        <v>251</v>
      </c>
      <c r="AZ130" s="41" t="s">
        <v>252</v>
      </c>
      <c r="BA130" s="30" t="s">
        <v>230</v>
      </c>
      <c r="BB130" s="30" t="s">
        <v>1685</v>
      </c>
      <c r="BC130" s="42" t="s">
        <v>275</v>
      </c>
      <c r="BD130" s="42" t="s">
        <v>1686</v>
      </c>
      <c r="BE130" s="43" t="s">
        <v>1687</v>
      </c>
      <c r="BF130" s="42" t="s">
        <v>1688</v>
      </c>
      <c r="BG130" s="42" t="s">
        <v>257</v>
      </c>
      <c r="BH130" s="35"/>
      <c r="BI130" s="44" t="s">
        <v>1689</v>
      </c>
      <c r="BJ130" s="45" t="str">
        <f>IFERROR(VLOOKUP($BG130,[1]프로젝트현황!Y:Z,2,0),"기타")</f>
        <v>서남권</v>
      </c>
      <c r="BK130" s="46" t="str">
        <f>(IF(BF130="","",BF130&amp;" "))&amp;(IF(BG130="","",BG130&amp;" "))&amp;(IF(BH130="","",BH130&amp;" "))&amp;BI130</f>
        <v>서울특별시 금천구 서부샛길 528, 815호 (가산동, 가산 미소지움)</v>
      </c>
      <c r="BL130" s="47">
        <v>30</v>
      </c>
      <c r="BM130" s="47">
        <v>30</v>
      </c>
      <c r="BN130" s="48">
        <v>29000000</v>
      </c>
      <c r="BO130" s="48">
        <f>BP130*12</f>
        <v>29000005.200000003</v>
      </c>
      <c r="BP130" s="49">
        <f>SUM(BQ130:BS130)</f>
        <v>2416667.1</v>
      </c>
      <c r="BQ130" s="49">
        <f>ROUNDUP(BN130/12*209/(209+BU130*1.5)/BL130*BM130,-1)-BS130</f>
        <v>1967740</v>
      </c>
      <c r="BR130" s="49">
        <f>ROUNDUP(BN130/12*(BU130*1.5)/(209+BU130*1.5)/BL130*BM130,1)</f>
        <v>248927.1</v>
      </c>
      <c r="BS130" s="49">
        <v>200000</v>
      </c>
      <c r="BT130" s="50">
        <v>209</v>
      </c>
      <c r="BU130" s="49">
        <f>IF($BN130="","",
IFERROR(
    IF($BN130&lt;'[1]시간외시간 기준표'!$B$2,0,
        IF($BN130&gt;LOOKUP(9.9E+307,'[1]시간외시간 기준표'!$B$2:$B$999),
            LOOKUP(9.9E+307,'[1]시간외시간 기준표'!$C$2:$C$999),
            LOOKUP($BN130,'[1]시간외시간 기준표'!$B$2:$B$999,'[1]시간외시간 기준표'!$C$2:$C$999)
        )
    ),0)
)</f>
        <v>16</v>
      </c>
      <c r="BV130" s="50">
        <f>(BQ130+BS130)/209</f>
        <v>10371.961722488039</v>
      </c>
      <c r="BW130" s="51">
        <v>30</v>
      </c>
      <c r="BX130" s="51">
        <v>30</v>
      </c>
      <c r="BY130" s="52">
        <v>29000000</v>
      </c>
      <c r="BZ130" s="52">
        <f>CA130*12</f>
        <v>29000007.599999998</v>
      </c>
      <c r="CA130" s="49">
        <f>SUM(CB130:CD130)</f>
        <v>2416667.2999999998</v>
      </c>
      <c r="CB130" s="49">
        <f>ROUNDUP(BY130/12*209/(209+CF130*1.5)/BW130*BX130,-1)-CD130</f>
        <v>1913320</v>
      </c>
      <c r="CC130" s="49">
        <f>ROUNDUP(BY130/12*(CF130*1.5)/(209+CF130*1.5)/BW130*BX130,1)</f>
        <v>303347.3</v>
      </c>
      <c r="CD130" s="49">
        <v>200000</v>
      </c>
      <c r="CE130" s="50">
        <v>209</v>
      </c>
      <c r="CF130" s="49">
        <f>IF(BY130&lt;26000000,0,IF(BY130&lt;26500000,4,IF(BY130&lt;27000000,7,IF(BY130&lt;27500000,9,IF(BY130&lt;28000000,11,IF(BY130&lt;28500000,15,IF(BY130&lt;29000000,17,IF(BY130&lt;29500000,20,IF(BY130&lt;30000000,23,IF(BY130&lt;30500000,25,IF(BY130&lt;31000000,27,IF(BY130&lt;31500000,29,IF(BY130&lt;32000000,33,IF(BY130&lt;32500000,37,IF(BY130&lt;33000000,39,IF(BY130&lt;33500000,42,IF(BY130&lt;34000000,45,IF(BY130&lt;34500000,48,IF(BY130&lt;35000000,52,52)))))))))))))))))))</f>
        <v>20</v>
      </c>
      <c r="CG130" s="50">
        <f>(CB130+CD130)/209</f>
        <v>10111.578947368422</v>
      </c>
      <c r="CH130" s="51">
        <v>30</v>
      </c>
      <c r="CI130" s="51">
        <v>30</v>
      </c>
      <c r="CJ130" s="52">
        <v>29000000</v>
      </c>
      <c r="CK130" s="52">
        <f>CL130*12</f>
        <v>29000007.599999998</v>
      </c>
      <c r="CL130" s="49">
        <f>SUM(CM130:CO130)</f>
        <v>2416667.2999999998</v>
      </c>
      <c r="CM130" s="49">
        <f>ROUNDUP(CJ130/12*209/(209+CQ130*1.5)/CH130*CI130,-1)-CO130</f>
        <v>1913320</v>
      </c>
      <c r="CN130" s="49">
        <f>ROUNDUP(CJ130/12*(CQ130*1.5)/(209+CQ130*1.5)/CH130*CI130,1)</f>
        <v>303347.3</v>
      </c>
      <c r="CO130" s="50">
        <v>200000</v>
      </c>
      <c r="CP130" s="50">
        <v>209</v>
      </c>
      <c r="CQ130" s="50">
        <f>IF(CJ130&lt;26000000,0,IF(CJ130&lt;26500000,4,IF(CJ130&lt;27000000,7,IF(CJ130&lt;27500000,9,IF(CJ130&lt;28000000,11,IF(CJ130&lt;28500000,15,IF(CJ130&lt;29000000,17,IF(CJ130&lt;29500000,20,IF(CJ130&lt;30000000,23,IF(CJ130&lt;30500000,25,IF(CJ130&lt;31000000,27,IF(CJ130&lt;31500000,29,IF(CJ130&lt;32000000,33,IF(CJ130&lt;32500000,37,IF(CJ130&lt;33000000,39,IF(CJ130&lt;33500000,42,IF(CJ130&lt;34000000,45,IF(CJ130&lt;34500000,48,IF(CJ130&lt;35000000,52,52)))))))))))))))))))</f>
        <v>20</v>
      </c>
      <c r="CR130" s="50">
        <f>(CM130+CO130)/209</f>
        <v>10111.578947368422</v>
      </c>
      <c r="CS130" s="52"/>
      <c r="CT130" s="53"/>
      <c r="CU130" s="53"/>
      <c r="CV130" s="53"/>
      <c r="CW130" s="54"/>
      <c r="CX130" s="54"/>
      <c r="CY130" s="54"/>
      <c r="CZ130" s="55"/>
      <c r="DA130" s="55"/>
      <c r="DB130" s="56"/>
      <c r="DC130" s="57"/>
      <c r="DD130" s="58"/>
      <c r="DE130" s="58"/>
      <c r="DF130" s="57"/>
      <c r="DG130" s="59">
        <f>B130</f>
        <v>241006</v>
      </c>
      <c r="DH130" s="58"/>
      <c r="DI130" s="58"/>
      <c r="DJ130" s="60"/>
      <c r="DK130" s="58"/>
      <c r="DL130" s="61"/>
      <c r="DM130" s="24"/>
    </row>
    <row r="131" spans="1:117" s="63" customFormat="1" ht="15" customHeight="1">
      <c r="A131" s="25">
        <f>ROW()-2</f>
        <v>129</v>
      </c>
      <c r="B131" s="26">
        <v>241007</v>
      </c>
      <c r="C131" s="27" t="s">
        <v>1690</v>
      </c>
      <c r="D131" s="27"/>
      <c r="E131" s="27" t="s">
        <v>239</v>
      </c>
      <c r="F131" s="27" t="s">
        <v>196</v>
      </c>
      <c r="G131" s="27" t="s">
        <v>240</v>
      </c>
      <c r="H131" s="27" t="s">
        <v>260</v>
      </c>
      <c r="I131" s="27" t="s">
        <v>1540</v>
      </c>
      <c r="J131" s="27" t="str">
        <f>+VLOOKUP($I131,[1]프로젝트현황!$I:$N,5,0)</f>
        <v>서울시</v>
      </c>
      <c r="K131" s="27" t="str">
        <f>+VLOOKUP($I131,[1]프로젝트현황!$I:$N,6,0)</f>
        <v>구로구</v>
      </c>
      <c r="L131" s="28">
        <v>45593</v>
      </c>
      <c r="M131" s="28">
        <v>45593</v>
      </c>
      <c r="N131" s="28"/>
      <c r="O131" s="29"/>
      <c r="P131" s="30" t="s">
        <v>1691</v>
      </c>
      <c r="Q131" s="27" t="s">
        <v>1692</v>
      </c>
      <c r="R131" s="31" t="str">
        <f>LEFT(Q131,6)</f>
        <v>960506</v>
      </c>
      <c r="S131" s="31" t="str">
        <f>MID($Q131,3,2)</f>
        <v>05</v>
      </c>
      <c r="T131" s="31" t="str">
        <f>IF(OR(MID($Q131,8,1)="1",MID($Q131,8,1)="3"),"남자",IF(OR(MID($Q131,8,1)="2",MID($Q131,8,1)="4"),"여자",""))</f>
        <v>여자</v>
      </c>
      <c r="U131" s="31">
        <f ca="1">YEAR(TODAY())-IF(OR(MID($Q131,8,1)="1",MID($Q131,8,1)="2"),19&amp;LEFT($Q131,2),IF(OR(MID($Q131,8,1)="3",MID($Q131,8,1)="4"),20&amp;LEFT($Q131,2),""))+1</f>
        <v>31</v>
      </c>
      <c r="V131" s="31" t="s">
        <v>200</v>
      </c>
      <c r="W131" s="31" t="s">
        <v>201</v>
      </c>
      <c r="X131" s="27" t="s">
        <v>1693</v>
      </c>
      <c r="Y131" s="27"/>
      <c r="Z131" s="27"/>
      <c r="AA131" s="32"/>
      <c r="AB131" s="31" t="s">
        <v>203</v>
      </c>
      <c r="AC131" s="27"/>
      <c r="AD131" s="33" t="str">
        <f ca="1">QUOTIENT(SUMPRODUCT(LEFT($AE131:$AF131,FIND("년",$AE131:$AF131)-1)*12+MID($AE131:$AF131,FIND("년",$AE131:$AF131)+1,FIND("개월",$AE131:$AF131)-FIND("년",$AE131:$AF131)-1)),12)&amp;"년"&amp;MOD(SUMPRODUCT(LEFT($AE131:$AF131,FIND("년",$AE131:$AF131)-1)*12+MID($AE131:$AF131,FIND("년",$AE131:$AF131)+1,FIND("개월",$AE131:$AF131)-FIND("년",$AE131:$AF131)-1)),12)&amp;"개월"</f>
        <v>5년1개월</v>
      </c>
      <c r="AE131" s="33" t="s">
        <v>516</v>
      </c>
      <c r="AF131" s="34" t="str">
        <f ca="1">DATEDIF($L131,TODAY(),"y")&amp;"년"&amp;DATEDIF($L131,TODAY(),"ym")&amp;"개월"</f>
        <v>1년3개월</v>
      </c>
      <c r="AG131" s="35" t="s">
        <v>1694</v>
      </c>
      <c r="AH131" s="35" t="s">
        <v>1162</v>
      </c>
      <c r="AI131" s="30" t="s">
        <v>270</v>
      </c>
      <c r="AJ131" s="32">
        <v>44063</v>
      </c>
      <c r="AK131" s="36">
        <f ca="1">VALUE(LEFT($AD131,FIND("년",$AD131)-1))</f>
        <v>5</v>
      </c>
      <c r="AL131" s="31" t="str">
        <f ca="1">IF($AI131="학사",IF($AK131&lt;=5,"초급",IF($AK131&lt;9,"중급",IF($AK131&lt;12,"고급",IF($AK131&gt;=12,"특급")))))</f>
        <v>초급</v>
      </c>
      <c r="AM131" s="31" t="str">
        <f>IF(ISNUMBER(SEARCH("산업기사",$AT131)),IF($AK131&gt;=13,"특급",IF($AK131&gt;=10,"고급",IF($AK131&gt;=7,"중급","초급"))),IF(ISNUMBER(SEARCH("기사",$AR131)),IF($AK131&gt;=10,"특급",IF($AK131&gt;=7,"고급",IF($AK131&gt;=4,"중급","초급"))),"미해당"))</f>
        <v>미해당</v>
      </c>
      <c r="AN131" s="27"/>
      <c r="AO131" s="32"/>
      <c r="AP131" s="27"/>
      <c r="AQ131" s="32"/>
      <c r="AR131" s="27"/>
      <c r="AS131" s="27"/>
      <c r="AT131" s="37"/>
      <c r="AU131" s="27"/>
      <c r="AV131" s="38"/>
      <c r="AW131" s="39"/>
      <c r="AX131" s="39"/>
      <c r="AY131" s="40" t="s">
        <v>251</v>
      </c>
      <c r="AZ131" s="41" t="s">
        <v>252</v>
      </c>
      <c r="BA131" s="30" t="s">
        <v>230</v>
      </c>
      <c r="BB131" s="30" t="s">
        <v>1695</v>
      </c>
      <c r="BC131" s="42"/>
      <c r="BD131" s="42"/>
      <c r="BE131" s="43" t="s">
        <v>1696</v>
      </c>
      <c r="BF131" s="42" t="s">
        <v>234</v>
      </c>
      <c r="BG131" s="42" t="s">
        <v>887</v>
      </c>
      <c r="BH131" s="35" t="s">
        <v>944</v>
      </c>
      <c r="BI131" s="44" t="s">
        <v>1697</v>
      </c>
      <c r="BJ131" s="45" t="str">
        <f>IFERROR(VLOOKUP($BG131,[1]프로젝트현황!Y:Z,2,0),"기타")</f>
        <v>동남권</v>
      </c>
      <c r="BK131" s="46" t="str">
        <f>(IF(BF131="","",BF131&amp;" "))&amp;(IF(BG131="","",BG131&amp;" "))&amp;(IF(BH131="","",BH131&amp;" "))&amp;BI131</f>
        <v>경기도 용인시 기흥구 백남준로 50-12, A동 3층</v>
      </c>
      <c r="BL131" s="47">
        <v>30</v>
      </c>
      <c r="BM131" s="47">
        <v>30</v>
      </c>
      <c r="BN131" s="48">
        <v>33000000</v>
      </c>
      <c r="BO131" s="48">
        <f>BP131*12</f>
        <v>33000069.599999998</v>
      </c>
      <c r="BP131" s="49">
        <f>SUM(BQ131:BS131)</f>
        <v>2750005.8</v>
      </c>
      <c r="BQ131" s="49">
        <f>ROUNDUP(BN131/12*209/(209+BU131*1.5)/BL131*BM131,-1)-BS131</f>
        <v>1960720</v>
      </c>
      <c r="BR131" s="49">
        <f>ROUNDUP(BN131/12*(BU131*1.5)/(209+BU131*1.5)/BL131*BM131,1)</f>
        <v>589285.79999999993</v>
      </c>
      <c r="BS131" s="49">
        <v>200000</v>
      </c>
      <c r="BT131" s="50">
        <v>209</v>
      </c>
      <c r="BU131" s="49">
        <f>IF($BN131="","",
IFERROR(
    IF($BN131&lt;'[1]시간외시간 기준표'!$B$2,0,
        IF($BN131&gt;LOOKUP(9.9E+307,'[1]시간외시간 기준표'!$B$2:$B$999),
            LOOKUP(9.9E+307,'[1]시간외시간 기준표'!$C$2:$C$999),
            LOOKUP($BN131,'[1]시간외시간 기준표'!$B$2:$B$999,'[1]시간외시간 기준표'!$C$2:$C$999)
        )
    ),0)
)</f>
        <v>38</v>
      </c>
      <c r="BV131" s="50">
        <f>(BQ131+BS131)/209</f>
        <v>10338.373205741627</v>
      </c>
      <c r="BW131" s="51">
        <v>30</v>
      </c>
      <c r="BX131" s="51">
        <v>30</v>
      </c>
      <c r="BY131" s="52">
        <v>33000000</v>
      </c>
      <c r="BZ131" s="52">
        <f>CA131*12</f>
        <v>33000103.200000003</v>
      </c>
      <c r="CA131" s="49">
        <f>SUM(CB131:CD131)</f>
        <v>2750008.6</v>
      </c>
      <c r="CB131" s="49">
        <f>ROUNDUP(BY131/12*209/(209+CF131*1.5)/BW131*BX131,-1)-CD131</f>
        <v>1913060</v>
      </c>
      <c r="CC131" s="49">
        <f>ROUNDUP(BY131/12*(CF131*1.5)/(209+CF131*1.5)/BW131*BX131,1)</f>
        <v>636948.6</v>
      </c>
      <c r="CD131" s="49">
        <v>200000</v>
      </c>
      <c r="CE131" s="50">
        <v>209</v>
      </c>
      <c r="CF131" s="49">
        <f>IF(BY131&lt;26000000,0,IF(BY131&lt;26500000,4,IF(BY131&lt;27000000,7,IF(BY131&lt;27500000,9,IF(BY131&lt;28000000,11,IF(BY131&lt;28500000,15,IF(BY131&lt;29000000,17,IF(BY131&lt;29500000,20,IF(BY131&lt;30000000,23,IF(BY131&lt;30500000,25,IF(BY131&lt;31000000,27,IF(BY131&lt;31500000,29,IF(BY131&lt;32000000,33,IF(BY131&lt;32500000,37,IF(BY131&lt;33000000,39,IF(BY131&lt;33500000,42,IF(BY131&lt;34000000,45,IF(BY131&lt;34500000,48,IF(BY131&lt;35000000,52,52)))))))))))))))))))</f>
        <v>42</v>
      </c>
      <c r="CG131" s="50">
        <f>(CB131+CD131)/209</f>
        <v>10110.334928229666</v>
      </c>
      <c r="CH131" s="51">
        <v>30</v>
      </c>
      <c r="CI131" s="51">
        <v>30</v>
      </c>
      <c r="CJ131" s="52">
        <v>33000000</v>
      </c>
      <c r="CK131" s="52">
        <f>CL131*12</f>
        <v>33000103.200000003</v>
      </c>
      <c r="CL131" s="49">
        <f>SUM(CM131:CO131)</f>
        <v>2750008.6</v>
      </c>
      <c r="CM131" s="49">
        <f>ROUNDUP(CJ131/12*209/(209+CQ131*1.5)/CH131*CI131,-1)-CO131</f>
        <v>1913060</v>
      </c>
      <c r="CN131" s="49">
        <f>ROUNDUP(CJ131/12*(CQ131*1.5)/(209+CQ131*1.5)/CH131*CI131,1)</f>
        <v>636948.6</v>
      </c>
      <c r="CO131" s="50">
        <v>200000</v>
      </c>
      <c r="CP131" s="50">
        <v>209</v>
      </c>
      <c r="CQ131" s="50">
        <f>IF(CJ131&lt;26000000,0,IF(CJ131&lt;26500000,4,IF(CJ131&lt;27000000,7,IF(CJ131&lt;27500000,9,IF(CJ131&lt;28000000,11,IF(CJ131&lt;28500000,15,IF(CJ131&lt;29000000,17,IF(CJ131&lt;29500000,20,IF(CJ131&lt;30000000,23,IF(CJ131&lt;30500000,25,IF(CJ131&lt;31000000,27,IF(CJ131&lt;31500000,29,IF(CJ131&lt;32000000,33,IF(CJ131&lt;32500000,37,IF(CJ131&lt;33000000,39,IF(CJ131&lt;33500000,42,IF(CJ131&lt;34000000,45,IF(CJ131&lt;34500000,48,IF(CJ131&lt;35000000,52,52)))))))))))))))))))</f>
        <v>42</v>
      </c>
      <c r="CR131" s="50">
        <f>(CM131+CO131)/209</f>
        <v>10110.334928229666</v>
      </c>
      <c r="CS131" s="52"/>
      <c r="CT131" s="53"/>
      <c r="CU131" s="53"/>
      <c r="CV131" s="53"/>
      <c r="CW131" s="54"/>
      <c r="CX131" s="54"/>
      <c r="CY131" s="54"/>
      <c r="CZ131" s="55"/>
      <c r="DA131" s="55"/>
      <c r="DB131" s="56"/>
      <c r="DC131" s="57"/>
      <c r="DD131" s="58"/>
      <c r="DE131" s="58"/>
      <c r="DF131" s="57"/>
      <c r="DG131" s="59">
        <f>B131</f>
        <v>241007</v>
      </c>
      <c r="DH131" s="58"/>
      <c r="DI131" s="58"/>
      <c r="DJ131" s="60"/>
      <c r="DK131" s="58"/>
      <c r="DL131" s="61"/>
      <c r="DM131" s="24"/>
    </row>
    <row r="132" spans="1:117" s="63" customFormat="1" ht="15" customHeight="1">
      <c r="A132" s="25">
        <f>ROW()-2</f>
        <v>130</v>
      </c>
      <c r="B132" s="26">
        <v>241101</v>
      </c>
      <c r="C132" s="27" t="s">
        <v>1698</v>
      </c>
      <c r="D132" s="27"/>
      <c r="E132" s="27" t="s">
        <v>613</v>
      </c>
      <c r="F132" s="27" t="s">
        <v>196</v>
      </c>
      <c r="G132" s="27" t="s">
        <v>240</v>
      </c>
      <c r="H132" s="27" t="s">
        <v>217</v>
      </c>
      <c r="I132" s="27" t="s">
        <v>1052</v>
      </c>
      <c r="J132" s="27" t="str">
        <f>+VLOOKUP($I132,[1]프로젝트현황!$I:$N,5,0)</f>
        <v>서울시</v>
      </c>
      <c r="K132" s="27" t="str">
        <f>+VLOOKUP($I132,[1]프로젝트현황!$I:$N,6,0)</f>
        <v>서초구</v>
      </c>
      <c r="L132" s="28">
        <v>45600</v>
      </c>
      <c r="M132" s="28">
        <v>45600</v>
      </c>
      <c r="N132" s="28"/>
      <c r="O132" s="29"/>
      <c r="P132" s="30" t="s">
        <v>1699</v>
      </c>
      <c r="Q132" s="27" t="s">
        <v>1700</v>
      </c>
      <c r="R132" s="31" t="str">
        <f>LEFT(Q132,6)</f>
        <v>910610</v>
      </c>
      <c r="S132" s="31" t="str">
        <f>MID($Q132,3,2)</f>
        <v>06</v>
      </c>
      <c r="T132" s="31" t="str">
        <f>IF(OR(MID($Q132,8,1)="1",MID($Q132,8,1)="3"),"남자",IF(OR(MID($Q132,8,1)="2",MID($Q132,8,1)="4"),"여자",""))</f>
        <v>남자</v>
      </c>
      <c r="U132" s="31">
        <f ca="1">YEAR(TODAY())-IF(OR(MID($Q132,8,1)="1",MID($Q132,8,1)="2"),19&amp;LEFT($Q132,2),IF(OR(MID($Q132,8,1)="3",MID($Q132,8,1)="4"),20&amp;LEFT($Q132,2),""))+1</f>
        <v>36</v>
      </c>
      <c r="V132" s="31" t="s">
        <v>200</v>
      </c>
      <c r="W132" s="31" t="s">
        <v>201</v>
      </c>
      <c r="X132" s="27" t="s">
        <v>1701</v>
      </c>
      <c r="Y132" s="27"/>
      <c r="Z132" s="27"/>
      <c r="AA132" s="32"/>
      <c r="AB132" s="31" t="s">
        <v>203</v>
      </c>
      <c r="AC132" s="27"/>
      <c r="AD132" s="33" t="str">
        <f ca="1">QUOTIENT(SUMPRODUCT(LEFT($AE132:$AF132,FIND("년",$AE132:$AF132)-1)*12+MID($AE132:$AF132,FIND("년",$AE132:$AF132)+1,FIND("개월",$AE132:$AF132)-FIND("년",$AE132:$AF132)-1)),12)&amp;"년"&amp;MOD(SUMPRODUCT(LEFT($AE132:$AF132,FIND("년",$AE132:$AF132)-1)*12+MID($AE132:$AF132,FIND("년",$AE132:$AF132)+1,FIND("개월",$AE132:$AF132)-FIND("년",$AE132:$AF132)-1)),12)&amp;"개월"</f>
        <v>3년4개월</v>
      </c>
      <c r="AE132" s="33" t="s">
        <v>1495</v>
      </c>
      <c r="AF132" s="34" t="str">
        <f ca="1">DATEDIF($L132,TODAY(),"y")&amp;"년"&amp;DATEDIF($L132,TODAY(),"ym")&amp;"개월"</f>
        <v>1년3개월</v>
      </c>
      <c r="AG132" s="35" t="s">
        <v>500</v>
      </c>
      <c r="AH132" s="35" t="s">
        <v>379</v>
      </c>
      <c r="AI132" s="30" t="s">
        <v>270</v>
      </c>
      <c r="AJ132" s="32">
        <v>43701</v>
      </c>
      <c r="AK132" s="36">
        <f ca="1">VALUE(LEFT($AD132,FIND("년",$AD132)-1))</f>
        <v>3</v>
      </c>
      <c r="AL132" s="31" t="str">
        <f ca="1">IF($AI132="학사",IF($AK132&lt;=5,"초급",IF($AK132&lt;9,"중급",IF($AK132&lt;12,"고급",IF($AK132&gt;=12,"특급")))))</f>
        <v>초급</v>
      </c>
      <c r="AM132" s="31" t="str">
        <f>IF(ISNUMBER(SEARCH("산업기사",$AT132)),IF($AK132&gt;=13,"특급",IF($AK132&gt;=10,"고급",IF($AK132&gt;=7,"중급","초급"))),IF(ISNUMBER(SEARCH("기사",$AR132)),IF($AK132&gt;=10,"특급",IF($AK132&gt;=7,"고급",IF($AK132&gt;=4,"중급","초급"))),"미해당"))</f>
        <v>미해당</v>
      </c>
      <c r="AN132" s="27" t="s">
        <v>135</v>
      </c>
      <c r="AO132" s="32">
        <v>44288</v>
      </c>
      <c r="AP132" s="27"/>
      <c r="AQ132" s="32"/>
      <c r="AR132" s="27"/>
      <c r="AS132" s="27"/>
      <c r="AT132" s="37"/>
      <c r="AU132" s="27"/>
      <c r="AV132" s="38"/>
      <c r="AW132" s="39"/>
      <c r="AX132" s="39"/>
      <c r="AY132" s="40" t="s">
        <v>251</v>
      </c>
      <c r="AZ132" s="41" t="s">
        <v>252</v>
      </c>
      <c r="BA132" s="30" t="s">
        <v>230</v>
      </c>
      <c r="BB132" s="30" t="s">
        <v>1702</v>
      </c>
      <c r="BC132" s="42"/>
      <c r="BD132" s="42"/>
      <c r="BE132" s="43" t="s">
        <v>1703</v>
      </c>
      <c r="BF132" s="42" t="s">
        <v>578</v>
      </c>
      <c r="BG132" s="42" t="s">
        <v>763</v>
      </c>
      <c r="BH132" s="35" t="s">
        <v>1704</v>
      </c>
      <c r="BI132" s="44" t="s">
        <v>1705</v>
      </c>
      <c r="BJ132" s="45" t="str">
        <f>IFERROR(VLOOKUP($BG132,[1]프로젝트현황!Y:Z,2,0),"기타")</f>
        <v>서남권</v>
      </c>
      <c r="BK132" s="46" t="str">
        <f>(IF(BF132="","",BF132&amp;" "))&amp;(IF(BG132="","",BG132&amp;" "))&amp;(IF(BH132="","",BH132&amp;" "))&amp;BI132</f>
        <v>인천시 서구 장고개로337번길 32, 5동 1408호</v>
      </c>
      <c r="BL132" s="47">
        <v>30</v>
      </c>
      <c r="BM132" s="47">
        <v>30</v>
      </c>
      <c r="BN132" s="48">
        <v>30000000</v>
      </c>
      <c r="BO132" s="48">
        <f>BP132*12</f>
        <v>30000109.200000003</v>
      </c>
      <c r="BP132" s="49">
        <f>SUM(BQ132:BS132)</f>
        <v>2500009.1</v>
      </c>
      <c r="BQ132" s="49">
        <f>ROUNDUP(BN132/12*209/(209+BU132*1.5)/BL132*BM132,-1)-BS132</f>
        <v>1959100</v>
      </c>
      <c r="BR132" s="49">
        <f>ROUNDUP(BN132/12*(BU132*1.5)/(209+BU132*1.5)/BL132*BM132,1)</f>
        <v>340909.1</v>
      </c>
      <c r="BS132" s="49">
        <v>200000</v>
      </c>
      <c r="BT132" s="50">
        <v>209</v>
      </c>
      <c r="BU132" s="49">
        <f>IF($BN132="","",
IFERROR(
    IF($BN132&lt;'[1]시간외시간 기준표'!$B$2,0,
        IF($BN132&gt;LOOKUP(9.9E+307,'[1]시간외시간 기준표'!$B$2:$B$999),
            LOOKUP(9.9E+307,'[1]시간외시간 기준표'!$C$2:$C$999),
            LOOKUP($BN132,'[1]시간외시간 기준표'!$B$2:$B$999,'[1]시간외시간 기준표'!$C$2:$C$999)
        )
    ),0)
)</f>
        <v>22</v>
      </c>
      <c r="BV132" s="50">
        <f>(BQ132+BS132)/209</f>
        <v>10330.622009569379</v>
      </c>
      <c r="BW132" s="51">
        <v>30</v>
      </c>
      <c r="BX132" s="51">
        <v>30</v>
      </c>
      <c r="BY132" s="52">
        <v>30000000</v>
      </c>
      <c r="BZ132" s="52">
        <f>CA132*12</f>
        <v>30000055.200000003</v>
      </c>
      <c r="CA132" s="49">
        <f>SUM(CB132:CD132)</f>
        <v>2500004.6</v>
      </c>
      <c r="CB132" s="49">
        <f>ROUNDUP(BY132/12*209/(209+CF132*1.5)/BW132*BX132,-1)-CD132</f>
        <v>1919680</v>
      </c>
      <c r="CC132" s="49">
        <f>ROUNDUP(BY132/12*(CF132*1.5)/(209+CF132*1.5)/BW132*BX132,1)</f>
        <v>380324.6</v>
      </c>
      <c r="CD132" s="49">
        <v>200000</v>
      </c>
      <c r="CE132" s="50">
        <v>209</v>
      </c>
      <c r="CF132" s="49">
        <f>IF(BY132&lt;26000000,0,IF(BY132&lt;26500000,4,IF(BY132&lt;27000000,7,IF(BY132&lt;27500000,9,IF(BY132&lt;28000000,11,IF(BY132&lt;28500000,15,IF(BY132&lt;29000000,17,IF(BY132&lt;29500000,20,IF(BY132&lt;30000000,23,IF(BY132&lt;30500000,25,IF(BY132&lt;31000000,27,IF(BY132&lt;31500000,29,IF(BY132&lt;32000000,33,IF(BY132&lt;32500000,37,IF(BY132&lt;33000000,39,IF(BY132&lt;33500000,42,IF(BY132&lt;34000000,45,IF(BY132&lt;34500000,48,IF(BY132&lt;35000000,52,52)))))))))))))))))))</f>
        <v>25</v>
      </c>
      <c r="CG132" s="50">
        <f>(CB132+CD132)/209</f>
        <v>10142.009569377991</v>
      </c>
      <c r="CH132" s="51">
        <v>30</v>
      </c>
      <c r="CI132" s="51">
        <v>30</v>
      </c>
      <c r="CJ132" s="52">
        <v>30000000</v>
      </c>
      <c r="CK132" s="52">
        <f>CL132*12</f>
        <v>30000055.200000003</v>
      </c>
      <c r="CL132" s="49">
        <f>SUM(CM132:CO132)</f>
        <v>2500004.6</v>
      </c>
      <c r="CM132" s="49">
        <f>ROUNDUP(CJ132/12*209/(209+CQ132*1.5)/CH132*CI132,-1)-CO132</f>
        <v>1919680</v>
      </c>
      <c r="CN132" s="49">
        <f>ROUNDUP(CJ132/12*(CQ132*1.5)/(209+CQ132*1.5)/CH132*CI132,1)</f>
        <v>380324.6</v>
      </c>
      <c r="CO132" s="50">
        <v>200000</v>
      </c>
      <c r="CP132" s="50">
        <v>209</v>
      </c>
      <c r="CQ132" s="50">
        <f>IF(CJ132&lt;26000000,0,IF(CJ132&lt;26500000,4,IF(CJ132&lt;27000000,7,IF(CJ132&lt;27500000,9,IF(CJ132&lt;28000000,11,IF(CJ132&lt;28500000,15,IF(CJ132&lt;29000000,17,IF(CJ132&lt;29500000,20,IF(CJ132&lt;30000000,23,IF(CJ132&lt;30500000,25,IF(CJ132&lt;31000000,27,IF(CJ132&lt;31500000,29,IF(CJ132&lt;32000000,33,IF(CJ132&lt;32500000,37,IF(CJ132&lt;33000000,39,IF(CJ132&lt;33500000,42,IF(CJ132&lt;34000000,45,IF(CJ132&lt;34500000,48,IF(CJ132&lt;35000000,52,52)))))))))))))))))))</f>
        <v>25</v>
      </c>
      <c r="CR132" s="50">
        <f>(CM132+CO132)/209</f>
        <v>10142.009569377991</v>
      </c>
      <c r="CS132" s="52"/>
      <c r="CT132" s="53"/>
      <c r="CU132" s="53"/>
      <c r="CV132" s="53"/>
      <c r="CW132" s="54"/>
      <c r="CX132" s="54"/>
      <c r="CY132" s="54"/>
      <c r="CZ132" s="55"/>
      <c r="DA132" s="55"/>
      <c r="DB132" s="56"/>
      <c r="DC132" s="57"/>
      <c r="DD132" s="58"/>
      <c r="DE132" s="58"/>
      <c r="DF132" s="57"/>
      <c r="DG132" s="59">
        <f>B132</f>
        <v>241101</v>
      </c>
      <c r="DH132" s="58"/>
      <c r="DI132" s="58"/>
      <c r="DJ132" s="60"/>
      <c r="DK132" s="58"/>
      <c r="DL132" s="61"/>
      <c r="DM132" s="24"/>
    </row>
    <row r="133" spans="1:117" s="63" customFormat="1" ht="15" customHeight="1">
      <c r="A133" s="25">
        <f>ROW()-2</f>
        <v>131</v>
      </c>
      <c r="B133" s="26">
        <v>241102</v>
      </c>
      <c r="C133" s="27" t="s">
        <v>1706</v>
      </c>
      <c r="D133" s="27"/>
      <c r="E133" s="27" t="s">
        <v>239</v>
      </c>
      <c r="F133" s="27" t="s">
        <v>196</v>
      </c>
      <c r="G133" s="27" t="s">
        <v>240</v>
      </c>
      <c r="H133" s="27" t="s">
        <v>217</v>
      </c>
      <c r="I133" s="27" t="s">
        <v>1231</v>
      </c>
      <c r="J133" s="27" t="str">
        <f>+VLOOKUP($I133,[1]프로젝트현황!$I:$N,5,0)</f>
        <v>서울시</v>
      </c>
      <c r="K133" s="27" t="str">
        <f>+VLOOKUP($I133,[1]프로젝트현황!$I:$N,6,0)</f>
        <v>강동구</v>
      </c>
      <c r="L133" s="28">
        <v>45611</v>
      </c>
      <c r="M133" s="28">
        <v>45611</v>
      </c>
      <c r="N133" s="28"/>
      <c r="O133" s="29"/>
      <c r="P133" s="30" t="s">
        <v>1707</v>
      </c>
      <c r="Q133" s="27" t="s">
        <v>1708</v>
      </c>
      <c r="R133" s="31" t="str">
        <f>LEFT(Q133,6)</f>
        <v>881125</v>
      </c>
      <c r="S133" s="31" t="str">
        <f>MID($Q133,3,2)</f>
        <v>11</v>
      </c>
      <c r="T133" s="31" t="str">
        <f>IF(OR(MID($Q133,8,1)="1",MID($Q133,8,1)="3"),"남자",IF(OR(MID($Q133,8,1)="2",MID($Q133,8,1)="4"),"여자",""))</f>
        <v>남자</v>
      </c>
      <c r="U133" s="31">
        <f ca="1">YEAR(TODAY())-IF(OR(MID($Q133,8,1)="1",MID($Q133,8,1)="2"),19&amp;LEFT($Q133,2),IF(OR(MID($Q133,8,1)="3",MID($Q133,8,1)="4"),20&amp;LEFT($Q133,2),""))+1</f>
        <v>39</v>
      </c>
      <c r="V133" s="31" t="s">
        <v>200</v>
      </c>
      <c r="W133" s="31" t="s">
        <v>201</v>
      </c>
      <c r="X133" s="27" t="s">
        <v>1709</v>
      </c>
      <c r="Y133" s="27"/>
      <c r="Z133" s="27"/>
      <c r="AA133" s="32"/>
      <c r="AB133" s="31" t="s">
        <v>203</v>
      </c>
      <c r="AC133" s="27"/>
      <c r="AD133" s="33" t="str">
        <f ca="1">QUOTIENT(SUMPRODUCT(LEFT($AE133:$AF133,FIND("년",$AE133:$AF133)-1)*12+MID($AE133:$AF133,FIND("년",$AE133:$AF133)+1,FIND("개월",$AE133:$AF133)-FIND("년",$AE133:$AF133)-1)),12)&amp;"년"&amp;MOD(SUMPRODUCT(LEFT($AE133:$AF133,FIND("년",$AE133:$AF133)-1)*12+MID($AE133:$AF133,FIND("년",$AE133:$AF133)+1,FIND("개월",$AE133:$AF133)-FIND("년",$AE133:$AF133)-1)),12)&amp;"개월"</f>
        <v>7년4개월</v>
      </c>
      <c r="AE133" s="33" t="s">
        <v>1710</v>
      </c>
      <c r="AF133" s="34" t="str">
        <f ca="1">DATEDIF($L133,TODAY(),"y")&amp;"년"&amp;DATEDIF($L133,TODAY(),"ym")&amp;"개월"</f>
        <v>1년2개월</v>
      </c>
      <c r="AG133" s="35" t="s">
        <v>485</v>
      </c>
      <c r="AH133" s="35" t="s">
        <v>1467</v>
      </c>
      <c r="AI133" s="30" t="s">
        <v>270</v>
      </c>
      <c r="AJ133" s="32">
        <v>41319</v>
      </c>
      <c r="AK133" s="36">
        <f ca="1">VALUE(LEFT($AD133,FIND("년",$AD133)-1))</f>
        <v>7</v>
      </c>
      <c r="AL133" s="31" t="str">
        <f ca="1">IF($AI133="학사",IF($AK133&lt;=5,"초급",IF($AK133&lt;9,"중급",IF($AK133&lt;12,"고급",IF($AK133&gt;=12,"특급")))))</f>
        <v>중급</v>
      </c>
      <c r="AM133" s="31" t="str">
        <f>IF(ISNUMBER(SEARCH("산업기사",$AT133)),IF($AK133&gt;=13,"특급",IF($AK133&gt;=10,"고급",IF($AK133&gt;=7,"중급","초급"))),IF(ISNUMBER(SEARCH("기사",$AR133)),IF($AK133&gt;=10,"특급",IF($AK133&gt;=7,"고급",IF($AK133&gt;=4,"중급","초급"))),"미해당"))</f>
        <v>미해당</v>
      </c>
      <c r="AN133" s="27"/>
      <c r="AO133" s="32"/>
      <c r="AP133" s="27"/>
      <c r="AQ133" s="32"/>
      <c r="AR133" s="27"/>
      <c r="AS133" s="27"/>
      <c r="AT133" s="37"/>
      <c r="AU133" s="27"/>
      <c r="AV133" s="38"/>
      <c r="AW133" s="39"/>
      <c r="AX133" s="39"/>
      <c r="AY133" s="40" t="s">
        <v>251</v>
      </c>
      <c r="AZ133" s="41" t="s">
        <v>252</v>
      </c>
      <c r="BA133" s="30" t="s">
        <v>230</v>
      </c>
      <c r="BB133" s="30" t="s">
        <v>1711</v>
      </c>
      <c r="BC133" s="42" t="s">
        <v>275</v>
      </c>
      <c r="BD133" s="42" t="s">
        <v>1712</v>
      </c>
      <c r="BE133" s="43" t="s">
        <v>1713</v>
      </c>
      <c r="BF133" s="42" t="s">
        <v>234</v>
      </c>
      <c r="BG133" s="42" t="s">
        <v>594</v>
      </c>
      <c r="BH133" s="35"/>
      <c r="BI133" s="44" t="s">
        <v>1714</v>
      </c>
      <c r="BJ133" s="45" t="str">
        <f>IFERROR(VLOOKUP($BG133,[1]프로젝트현황!Y:Z,2,0),"기타")</f>
        <v>서남권</v>
      </c>
      <c r="BK133" s="46" t="str">
        <f>(IF(BF133="","",BF133&amp;" "))&amp;(IF(BG133="","",BG133&amp;" "))&amp;(IF(BH133="","",BH133&amp;" "))&amp;BI133</f>
        <v>경기도 화성시 동탄공원로 21-12, 910동 2002호 (능동, 동탄푸른마을 포스코더샾 아파트)</v>
      </c>
      <c r="BL133" s="47">
        <v>30</v>
      </c>
      <c r="BM133" s="47">
        <v>30</v>
      </c>
      <c r="BN133" s="48">
        <v>37000000</v>
      </c>
      <c r="BO133" s="48">
        <f>BP133*12</f>
        <v>37000069.200000003</v>
      </c>
      <c r="BP133" s="49">
        <f>SUM(BQ133:BS133)</f>
        <v>3083339.1</v>
      </c>
      <c r="BQ133" s="49">
        <f>ROUNDUP(BN133/12*209/(209+BU133*1.5)/BL133*BM133,-1)-BS133</f>
        <v>2045360</v>
      </c>
      <c r="BR133" s="49">
        <f>ROUNDUP(BN133/12*(BU133*1.5)/(209+BU133*1.5)/BL133*BM133,1)</f>
        <v>837979.1</v>
      </c>
      <c r="BS133" s="49">
        <v>200000</v>
      </c>
      <c r="BT133" s="50">
        <v>209</v>
      </c>
      <c r="BU133" s="49">
        <f>IF($BN133="","",
IFERROR(
    IF($BN133&lt;'[1]시간외시간 기준표'!$B$2,0,
        IF($BN133&gt;LOOKUP(9.9E+307,'[1]시간외시간 기준표'!$B$2:$B$999),
            LOOKUP(9.9E+307,'[1]시간외시간 기준표'!$C$2:$C$999),
            LOOKUP($BN133,'[1]시간외시간 기준표'!$B$2:$B$999,'[1]시간외시간 기준표'!$C$2:$C$999)
        )
    ),0)
)</f>
        <v>52</v>
      </c>
      <c r="BV133" s="50">
        <f>(BQ133+BS133)/209</f>
        <v>10743.349282296651</v>
      </c>
      <c r="BW133" s="51">
        <v>30</v>
      </c>
      <c r="BX133" s="51">
        <v>30</v>
      </c>
      <c r="BY133" s="52">
        <v>37000000</v>
      </c>
      <c r="BZ133" s="52">
        <f>CA133*12</f>
        <v>37000069.200000003</v>
      </c>
      <c r="CA133" s="49">
        <f>SUM(CB133:CD133)</f>
        <v>3083339.1</v>
      </c>
      <c r="CB133" s="49">
        <f>ROUNDUP(BY133/12*209/(209+CF133*1.5)/BW133*BX133,-1)-CD133</f>
        <v>2045360</v>
      </c>
      <c r="CC133" s="49">
        <f>ROUNDUP(BY133/12*(CF133*1.5)/(209+CF133*1.5)/BW133*BX133,1)</f>
        <v>837979.1</v>
      </c>
      <c r="CD133" s="49">
        <v>200000</v>
      </c>
      <c r="CE133" s="50">
        <v>209</v>
      </c>
      <c r="CF133" s="49">
        <f>IF(BY133&lt;26000000,0,IF(BY133&lt;26500000,4,IF(BY133&lt;27000000,7,IF(BY133&lt;27500000,9,IF(BY133&lt;28000000,11,IF(BY133&lt;28500000,15,IF(BY133&lt;29000000,17,IF(BY133&lt;29500000,20,IF(BY133&lt;30000000,23,IF(BY133&lt;30500000,25,IF(BY133&lt;31000000,27,IF(BY133&lt;31500000,29,IF(BY133&lt;32000000,33,IF(BY133&lt;32500000,37,IF(BY133&lt;33000000,39,IF(BY133&lt;33500000,42,IF(BY133&lt;34000000,45,IF(BY133&lt;34500000,48,IF(BY133&lt;35000000,52,52)))))))))))))))))))</f>
        <v>52</v>
      </c>
      <c r="CG133" s="50">
        <f>(CB133+CD133)/209</f>
        <v>10743.349282296651</v>
      </c>
      <c r="CH133" s="51">
        <v>30</v>
      </c>
      <c r="CI133" s="51">
        <v>30</v>
      </c>
      <c r="CJ133" s="52">
        <v>37000000</v>
      </c>
      <c r="CK133" s="52">
        <f>CL133*12</f>
        <v>37000069.200000003</v>
      </c>
      <c r="CL133" s="49">
        <f>SUM(CM133:CO133)</f>
        <v>3083339.1</v>
      </c>
      <c r="CM133" s="49">
        <f>ROUNDUP(CJ133/12*209/(209+CQ133*1.5)/CH133*CI133,-1)-CO133</f>
        <v>2045360</v>
      </c>
      <c r="CN133" s="49">
        <f>ROUNDUP(CJ133/12*(CQ133*1.5)/(209+CQ133*1.5)/CH133*CI133,1)</f>
        <v>837979.1</v>
      </c>
      <c r="CO133" s="50">
        <v>200000</v>
      </c>
      <c r="CP133" s="50">
        <v>209</v>
      </c>
      <c r="CQ133" s="50">
        <f>IF(CJ133&lt;26000000,0,IF(CJ133&lt;26500000,4,IF(CJ133&lt;27000000,7,IF(CJ133&lt;27500000,9,IF(CJ133&lt;28000000,11,IF(CJ133&lt;28500000,15,IF(CJ133&lt;29000000,17,IF(CJ133&lt;29500000,20,IF(CJ133&lt;30000000,23,IF(CJ133&lt;30500000,25,IF(CJ133&lt;31000000,27,IF(CJ133&lt;31500000,29,IF(CJ133&lt;32000000,33,IF(CJ133&lt;32500000,37,IF(CJ133&lt;33000000,39,IF(CJ133&lt;33500000,42,IF(CJ133&lt;34000000,45,IF(CJ133&lt;34500000,48,IF(CJ133&lt;35000000,52,52)))))))))))))))))))</f>
        <v>52</v>
      </c>
      <c r="CR133" s="50">
        <f>(CM133+CO133)/209</f>
        <v>10743.349282296651</v>
      </c>
      <c r="CS133" s="52"/>
      <c r="CT133" s="53"/>
      <c r="CU133" s="53"/>
      <c r="CV133" s="53"/>
      <c r="CW133" s="54"/>
      <c r="CX133" s="54"/>
      <c r="CY133" s="54"/>
      <c r="CZ133" s="55"/>
      <c r="DA133" s="55"/>
      <c r="DB133" s="56"/>
      <c r="DC133" s="57"/>
      <c r="DD133" s="58"/>
      <c r="DE133" s="58"/>
      <c r="DF133" s="57"/>
      <c r="DG133" s="59">
        <f>B133</f>
        <v>241102</v>
      </c>
      <c r="DH133" s="58"/>
      <c r="DI133" s="58"/>
      <c r="DJ133" s="60"/>
      <c r="DK133" s="58"/>
      <c r="DL133" s="61"/>
      <c r="DM133" s="24"/>
    </row>
    <row r="134" spans="1:117" ht="15" customHeight="1">
      <c r="A134" s="25">
        <f>ROW()-2</f>
        <v>132</v>
      </c>
      <c r="B134" s="26">
        <v>241103</v>
      </c>
      <c r="C134" s="27" t="s">
        <v>1715</v>
      </c>
      <c r="D134" s="27"/>
      <c r="E134" s="27" t="s">
        <v>613</v>
      </c>
      <c r="F134" s="27" t="s">
        <v>196</v>
      </c>
      <c r="G134" s="27" t="s">
        <v>240</v>
      </c>
      <c r="H134" s="27" t="s">
        <v>260</v>
      </c>
      <c r="I134" s="27" t="s">
        <v>778</v>
      </c>
      <c r="J134" s="27" t="str">
        <f>+VLOOKUP($I134,[1]프로젝트현황!$I:$N,5,0)</f>
        <v>서울시</v>
      </c>
      <c r="K134" s="27" t="str">
        <f>+VLOOKUP($I134,[1]프로젝트현황!$I:$N,6,0)</f>
        <v>구로구</v>
      </c>
      <c r="L134" s="28">
        <v>45611</v>
      </c>
      <c r="M134" s="28">
        <v>45611</v>
      </c>
      <c r="N134" s="28"/>
      <c r="O134" s="29"/>
      <c r="P134" s="30" t="s">
        <v>1716</v>
      </c>
      <c r="Q134" s="27" t="s">
        <v>1717</v>
      </c>
      <c r="R134" s="31" t="str">
        <f>LEFT(Q134,6)</f>
        <v>930924</v>
      </c>
      <c r="S134" s="31" t="str">
        <f>MID($Q134,3,2)</f>
        <v>09</v>
      </c>
      <c r="T134" s="31" t="str">
        <f>IF(OR(MID($Q134,8,1)="1",MID($Q134,8,1)="3"),"남자",IF(OR(MID($Q134,8,1)="2",MID($Q134,8,1)="4"),"여자",""))</f>
        <v>남자</v>
      </c>
      <c r="U134" s="31">
        <f ca="1">YEAR(TODAY())-IF(OR(MID($Q134,8,1)="1",MID($Q134,8,1)="2"),19&amp;LEFT($Q134,2),IF(OR(MID($Q134,8,1)="3",MID($Q134,8,1)="4"),20&amp;LEFT($Q134,2),""))+1</f>
        <v>34</v>
      </c>
      <c r="V134" s="31" t="s">
        <v>200</v>
      </c>
      <c r="W134" s="31" t="s">
        <v>201</v>
      </c>
      <c r="X134" s="27" t="s">
        <v>1718</v>
      </c>
      <c r="Y134" s="27"/>
      <c r="Z134" s="27"/>
      <c r="AA134" s="32"/>
      <c r="AB134" s="31" t="s">
        <v>203</v>
      </c>
      <c r="AC134" s="27"/>
      <c r="AD134" s="33" t="str">
        <f ca="1">QUOTIENT(SUMPRODUCT(LEFT($AE134:$AF134,FIND("년",$AE134:$AF134)-1)*12+MID($AE134:$AF134,FIND("년",$AE134:$AF134)+1,FIND("개월",$AE134:$AF134)-FIND("년",$AE134:$AF134)-1)),12)&amp;"년"&amp;MOD(SUMPRODUCT(LEFT($AE134:$AF134,FIND("년",$AE134:$AF134)-1)*12+MID($AE134:$AF134,FIND("년",$AE134:$AF134)+1,FIND("개월",$AE134:$AF134)-FIND("년",$AE134:$AF134)-1)),12)&amp;"개월"</f>
        <v>4년9개월</v>
      </c>
      <c r="AE134" s="33" t="s">
        <v>1719</v>
      </c>
      <c r="AF134" s="34" t="str">
        <f ca="1">DATEDIF($L134,TODAY(),"y")&amp;"년"&amp;DATEDIF($L134,TODAY(),"ym")&amp;"개월"</f>
        <v>1년2개월</v>
      </c>
      <c r="AG134" s="35" t="s">
        <v>953</v>
      </c>
      <c r="AH134" s="35" t="s">
        <v>1592</v>
      </c>
      <c r="AI134" s="30" t="s">
        <v>205</v>
      </c>
      <c r="AJ134" s="32">
        <v>42782</v>
      </c>
      <c r="AK134" s="36">
        <f ca="1">VALUE(LEFT($AD134,FIND("년",$AD134)-1))</f>
        <v>4</v>
      </c>
      <c r="AL134" s="31" t="str">
        <f ca="1">IF($AI134="전문학사",IF($AK134&lt;=8,"초급",IF($AK134&lt;12,"중급",IF($AK134&lt;15,"고급",IF($AK134&gt;=15,"특급")))))</f>
        <v>초급</v>
      </c>
      <c r="AM134" s="31" t="str">
        <f>IF(ISNUMBER(SEARCH("산업기사",$AT134)),IF($AK134&gt;=13,"특급",IF($AK134&gt;=10,"고급",IF($AK134&gt;=7,"중급","초급"))),IF(ISNUMBER(SEARCH("기사",$AR134)),IF($AK134&gt;=10,"특급",IF($AK134&gt;=7,"고급",IF($AK134&gt;=4,"중급","초급"))),"미해당"))</f>
        <v>미해당</v>
      </c>
      <c r="AN134" s="27"/>
      <c r="AO134" s="32"/>
      <c r="AP134" s="27" t="s">
        <v>137</v>
      </c>
      <c r="AQ134" s="32">
        <v>43930</v>
      </c>
      <c r="AR134" s="27"/>
      <c r="AS134" s="27"/>
      <c r="AT134" s="37"/>
      <c r="AU134" s="27"/>
      <c r="AV134" s="38"/>
      <c r="AW134" s="39"/>
      <c r="AX134" s="39"/>
      <c r="AY134" s="40" t="s">
        <v>251</v>
      </c>
      <c r="AZ134" s="41" t="s">
        <v>252</v>
      </c>
      <c r="BA134" s="30" t="s">
        <v>230</v>
      </c>
      <c r="BB134" s="30" t="s">
        <v>1720</v>
      </c>
      <c r="BC134" s="42" t="s">
        <v>275</v>
      </c>
      <c r="BD134" s="42" t="s">
        <v>1721</v>
      </c>
      <c r="BE134" s="43" t="s">
        <v>1722</v>
      </c>
      <c r="BF134" s="42" t="s">
        <v>1688</v>
      </c>
      <c r="BG134" s="42" t="s">
        <v>899</v>
      </c>
      <c r="BH134" s="35"/>
      <c r="BI134" s="44" t="s">
        <v>1723</v>
      </c>
      <c r="BJ134" s="45" t="str">
        <f>IFERROR(VLOOKUP($BG134,[1]프로젝트현황!Y:Z,2,0),"기타")</f>
        <v>서남권</v>
      </c>
      <c r="BK134" s="46" t="str">
        <f>(IF(BF134="","",BF134&amp;" "))&amp;(IF(BG134="","",BG134&amp;" "))&amp;(IF(BH134="","",BH134&amp;" "))&amp;BI134</f>
        <v>서울특별시 동작구 성대로3길 16 (상도동)</v>
      </c>
      <c r="BL134" s="47">
        <v>30</v>
      </c>
      <c r="BM134" s="47">
        <v>30</v>
      </c>
      <c r="BN134" s="48">
        <v>31000000</v>
      </c>
      <c r="BO134" s="48">
        <f>BP134*12</f>
        <v>31000064.400000002</v>
      </c>
      <c r="BP134" s="49">
        <f>SUM(BQ134:BS134)</f>
        <v>2583338.7000000002</v>
      </c>
      <c r="BQ134" s="49">
        <f>ROUNDUP(BN134/12*209/(209+BU134*1.5)/BL134*BM134,-1)-BS134</f>
        <v>1964000</v>
      </c>
      <c r="BR134" s="49">
        <f>ROUNDUP(BN134/12*(BU134*1.5)/(209+BU134*1.5)/BL134*BM134,1)</f>
        <v>419338.69999999995</v>
      </c>
      <c r="BS134" s="49">
        <v>200000</v>
      </c>
      <c r="BT134" s="50">
        <v>209</v>
      </c>
      <c r="BU134" s="49">
        <f>IF($BN134="","",
IFERROR(
    IF($BN134&lt;'[1]시간외시간 기준표'!$B$2,0,
        IF($BN134&gt;LOOKUP(9.9E+307,'[1]시간외시간 기준표'!$B$2:$B$999),
            LOOKUP(9.9E+307,'[1]시간외시간 기준표'!$C$2:$C$999),
            LOOKUP($BN134,'[1]시간외시간 기준표'!$B$2:$B$999,'[1]시간외시간 기준표'!$C$2:$C$999)
        )
    ),0)
)</f>
        <v>27</v>
      </c>
      <c r="BV134" s="50">
        <f>(BQ134+BS134)/209</f>
        <v>10354.066985645934</v>
      </c>
      <c r="BW134" s="51">
        <v>30</v>
      </c>
      <c r="BX134" s="51">
        <v>30</v>
      </c>
      <c r="BY134" s="52">
        <v>31000000</v>
      </c>
      <c r="BZ134" s="52">
        <f>CA134*12</f>
        <v>31000075.200000003</v>
      </c>
      <c r="CA134" s="49">
        <f>SUM(CB134:CD134)</f>
        <v>2583339.6</v>
      </c>
      <c r="CB134" s="49">
        <f>ROUNDUP(BY134/12*209/(209+CF134*1.5)/BW134*BX134,-1)-CD134</f>
        <v>1938290</v>
      </c>
      <c r="CC134" s="49">
        <f>ROUNDUP(BY134/12*(CF134*1.5)/(209+CF134*1.5)/BW134*BX134,1)</f>
        <v>445049.59999999998</v>
      </c>
      <c r="CD134" s="49">
        <v>200000</v>
      </c>
      <c r="CE134" s="50">
        <v>209</v>
      </c>
      <c r="CF134" s="49">
        <f>IF(BY134&lt;26000000,0,IF(BY134&lt;26500000,4,IF(BY134&lt;27000000,7,IF(BY134&lt;27500000,9,IF(BY134&lt;28000000,11,IF(BY134&lt;28500000,15,IF(BY134&lt;29000000,17,IF(BY134&lt;29500000,20,IF(BY134&lt;30000000,23,IF(BY134&lt;30500000,25,IF(BY134&lt;31000000,27,IF(BY134&lt;31500000,29,IF(BY134&lt;32000000,33,IF(BY134&lt;32500000,37,IF(BY134&lt;33000000,39,IF(BY134&lt;33500000,42,IF(BY134&lt;34000000,45,IF(BY134&lt;34500000,48,IF(BY134&lt;35000000,52,52)))))))))))))))))))</f>
        <v>29</v>
      </c>
      <c r="CG134" s="50">
        <f>(CB134+CD134)/209</f>
        <v>10231.052631578947</v>
      </c>
      <c r="CH134" s="51">
        <v>30</v>
      </c>
      <c r="CI134" s="51">
        <v>30</v>
      </c>
      <c r="CJ134" s="52">
        <v>31000000</v>
      </c>
      <c r="CK134" s="52">
        <f>CL134*12</f>
        <v>31000075.200000003</v>
      </c>
      <c r="CL134" s="49">
        <f>SUM(CM134:CO134)</f>
        <v>2583339.6</v>
      </c>
      <c r="CM134" s="49">
        <f>ROUNDUP(CJ134/12*209/(209+CQ134*1.5)/CH134*CI134,-1)-CO134</f>
        <v>1938290</v>
      </c>
      <c r="CN134" s="49">
        <f>ROUNDUP(CJ134/12*(CQ134*1.5)/(209+CQ134*1.5)/CH134*CI134,1)</f>
        <v>445049.59999999998</v>
      </c>
      <c r="CO134" s="50">
        <v>200000</v>
      </c>
      <c r="CP134" s="50">
        <v>209</v>
      </c>
      <c r="CQ134" s="50">
        <f>IF(CJ134&lt;26000000,0,IF(CJ134&lt;26500000,4,IF(CJ134&lt;27000000,7,IF(CJ134&lt;27500000,9,IF(CJ134&lt;28000000,11,IF(CJ134&lt;28500000,15,IF(CJ134&lt;29000000,17,IF(CJ134&lt;29500000,20,IF(CJ134&lt;30000000,23,IF(CJ134&lt;30500000,25,IF(CJ134&lt;31000000,27,IF(CJ134&lt;31500000,29,IF(CJ134&lt;32000000,33,IF(CJ134&lt;32500000,37,IF(CJ134&lt;33000000,39,IF(CJ134&lt;33500000,42,IF(CJ134&lt;34000000,45,IF(CJ134&lt;34500000,48,IF(CJ134&lt;35000000,52,52)))))))))))))))))))</f>
        <v>29</v>
      </c>
      <c r="CR134" s="50">
        <f>(CM134+CO134)/209</f>
        <v>10231.052631578947</v>
      </c>
      <c r="CS134" s="52"/>
      <c r="CT134" s="53"/>
      <c r="CU134" s="53"/>
      <c r="CV134" s="53"/>
      <c r="CW134" s="54"/>
      <c r="CX134" s="54"/>
      <c r="CY134" s="54"/>
      <c r="CZ134" s="55"/>
      <c r="DA134" s="55"/>
      <c r="DB134" s="56"/>
      <c r="DC134" s="57"/>
      <c r="DD134" s="58"/>
      <c r="DE134" s="58"/>
      <c r="DF134" s="57"/>
      <c r="DG134" s="59">
        <f>B134</f>
        <v>241103</v>
      </c>
      <c r="DH134" s="58"/>
      <c r="DI134" s="58"/>
      <c r="DJ134" s="60"/>
      <c r="DK134" s="58"/>
      <c r="DL134" s="61"/>
      <c r="DM134" s="24"/>
    </row>
    <row r="135" spans="1:117" ht="15" customHeight="1">
      <c r="A135" s="25">
        <f>ROW()-2</f>
        <v>133</v>
      </c>
      <c r="B135" s="26">
        <v>241104</v>
      </c>
      <c r="C135" s="27" t="s">
        <v>1724</v>
      </c>
      <c r="D135" s="27"/>
      <c r="E135" s="27" t="s">
        <v>613</v>
      </c>
      <c r="F135" s="27" t="s">
        <v>196</v>
      </c>
      <c r="G135" s="27" t="s">
        <v>493</v>
      </c>
      <c r="H135" s="27" t="s">
        <v>494</v>
      </c>
      <c r="I135" s="27" t="s">
        <v>494</v>
      </c>
      <c r="J135" s="27" t="str">
        <f>+VLOOKUP($I135,[1]프로젝트현황!$I:$N,5,0)</f>
        <v>서울시</v>
      </c>
      <c r="K135" s="27" t="str">
        <f>+VLOOKUP($I135,[1]프로젝트현황!$I:$N,6,0)</f>
        <v>강남구</v>
      </c>
      <c r="L135" s="28">
        <v>45614</v>
      </c>
      <c r="M135" s="28">
        <v>45614</v>
      </c>
      <c r="N135" s="28"/>
      <c r="O135" s="29"/>
      <c r="P135" s="30" t="s">
        <v>1725</v>
      </c>
      <c r="Q135" s="27" t="s">
        <v>1726</v>
      </c>
      <c r="R135" s="31" t="str">
        <f>LEFT(Q135,6)</f>
        <v>000226</v>
      </c>
      <c r="S135" s="31" t="str">
        <f>MID($Q135,3,2)</f>
        <v>02</v>
      </c>
      <c r="T135" s="31" t="str">
        <f>IF(OR(MID($Q135,8,1)="1",MID($Q135,8,1)="3"),"남자",IF(OR(MID($Q135,8,1)="2",MID($Q135,8,1)="4"),"여자",""))</f>
        <v>남자</v>
      </c>
      <c r="U135" s="31">
        <f ca="1">YEAR(TODAY())-IF(OR(MID($Q135,8,1)="1",MID($Q135,8,1)="2"),19&amp;LEFT($Q135,2),IF(OR(MID($Q135,8,1)="3",MID($Q135,8,1)="4"),20&amp;LEFT($Q135,2),""))+1</f>
        <v>27</v>
      </c>
      <c r="V135" s="31" t="s">
        <v>200</v>
      </c>
      <c r="W135" s="31" t="s">
        <v>201</v>
      </c>
      <c r="X135" s="27" t="s">
        <v>1727</v>
      </c>
      <c r="Y135" s="27"/>
      <c r="Z135" s="27"/>
      <c r="AA135" s="32"/>
      <c r="AB135" s="31" t="s">
        <v>203</v>
      </c>
      <c r="AC135" s="27"/>
      <c r="AD135" s="33" t="str">
        <f ca="1">QUOTIENT(SUMPRODUCT(LEFT($AE135:$AF135,FIND("년",$AE135:$AF135)-1)*12+MID($AE135:$AF135,FIND("년",$AE135:$AF135)+1,FIND("개월",$AE135:$AF135)-FIND("년",$AE135:$AF135)-1)),12)&amp;"년"&amp;MOD(SUMPRODUCT(LEFT($AE135:$AF135,FIND("년",$AE135:$AF135)-1)*12+MID($AE135:$AF135,FIND("년",$AE135:$AF135)+1,FIND("개월",$AE135:$AF135)-FIND("년",$AE135:$AF135)-1)),12)&amp;"개월"</f>
        <v>1년2개월</v>
      </c>
      <c r="AE135" s="33" t="s">
        <v>543</v>
      </c>
      <c r="AF135" s="34" t="str">
        <f ca="1">DATEDIF($L135,TODAY(),"y")&amp;"년"&amp;DATEDIF($L135,TODAY(),"ym")&amp;"개월"</f>
        <v>1년2개월</v>
      </c>
      <c r="AG135" s="35" t="s">
        <v>1694</v>
      </c>
      <c r="AH135" s="35" t="s">
        <v>1136</v>
      </c>
      <c r="AI135" s="30" t="s">
        <v>270</v>
      </c>
      <c r="AJ135" s="32">
        <v>45337</v>
      </c>
      <c r="AK135" s="36">
        <f ca="1">VALUE(LEFT($AD135,FIND("년",$AD135)-1))</f>
        <v>1</v>
      </c>
      <c r="AL135" s="31" t="str">
        <f ca="1">IF($AI135="학사",IF($AK135&lt;=8,"초급",IF($AK135&lt;12,"중급",IF($AK135&lt;15,"고급",IF($AK135&gt;=15,"특급")))))</f>
        <v>초급</v>
      </c>
      <c r="AM135" s="31" t="str">
        <f>IF(ISNUMBER(SEARCH("산업기사",$AT135)),IF($AK135&gt;=13,"특급",IF($AK135&gt;=10,"고급",IF($AK135&gt;=7,"중급","초급"))),IF(ISNUMBER(SEARCH("기사",$AR135)),IF($AK135&gt;=10,"특급",IF($AK135&gt;=7,"고급",IF($AK135&gt;=4,"중급","초급"))),"미해당"))</f>
        <v>미해당</v>
      </c>
      <c r="AN135" s="27"/>
      <c r="AO135" s="32"/>
      <c r="AP135" s="27"/>
      <c r="AQ135" s="32"/>
      <c r="AR135" s="27"/>
      <c r="AS135" s="32"/>
      <c r="AT135" s="37"/>
      <c r="AU135" s="27"/>
      <c r="AV135" s="38"/>
      <c r="AW135" s="39"/>
      <c r="AX135" s="39"/>
      <c r="AY135" s="40" t="s">
        <v>251</v>
      </c>
      <c r="AZ135" s="41" t="s">
        <v>252</v>
      </c>
      <c r="BA135" s="30" t="s">
        <v>230</v>
      </c>
      <c r="BB135" s="30" t="s">
        <v>1728</v>
      </c>
      <c r="BC135" s="42" t="s">
        <v>254</v>
      </c>
      <c r="BD135" s="42" t="s">
        <v>1729</v>
      </c>
      <c r="BE135" s="43" t="s">
        <v>1730</v>
      </c>
      <c r="BF135" s="42" t="s">
        <v>1688</v>
      </c>
      <c r="BG135" s="42" t="s">
        <v>775</v>
      </c>
      <c r="BH135" s="35"/>
      <c r="BI135" s="44" t="s">
        <v>1731</v>
      </c>
      <c r="BJ135" s="45" t="str">
        <f>IFERROR(VLOOKUP($BG135,[1]프로젝트현황!Y:Z,2,0),"기타")</f>
        <v>서북권</v>
      </c>
      <c r="BK135" s="46" t="str">
        <f>(IF(BF135="","",BF135&amp;" "))&amp;(IF(BG135="","",BG135&amp;" "))&amp;(IF(BH135="","",BH135&amp;" "))&amp;BI135</f>
        <v>서울특별시 마포구 광성로 17, 101동 2102호</v>
      </c>
      <c r="BL135" s="47">
        <v>30</v>
      </c>
      <c r="BM135" s="47">
        <v>30</v>
      </c>
      <c r="BN135" s="48">
        <v>28000000</v>
      </c>
      <c r="BO135" s="48">
        <f>BP135*12</f>
        <v>28000101.599999998</v>
      </c>
      <c r="BP135" s="49">
        <f>SUM(BQ135:BS135)</f>
        <v>2333341.7999999998</v>
      </c>
      <c r="BQ135" s="49">
        <f>ROUNDUP(BN135/12*209/(209+BU135*1.5)/BL135*BM135,-1)-BS135</f>
        <v>1962610</v>
      </c>
      <c r="BR135" s="49">
        <f>ROUNDUP(BN135/12*(BU135*1.5)/(209+BU135*1.5)/BL135*BM135,1)</f>
        <v>170731.80000000002</v>
      </c>
      <c r="BS135" s="49">
        <v>200000</v>
      </c>
      <c r="BT135" s="50">
        <v>209</v>
      </c>
      <c r="BU135" s="49">
        <f>IF($BN135="","",
IFERROR(
    IF($BN135&lt;'[1]시간외시간 기준표'!$B$2,0,
        IF($BN135&gt;LOOKUP(9.9E+307,'[1]시간외시간 기준표'!$B$2:$B$999),
            LOOKUP(9.9E+307,'[1]시간외시간 기준표'!$C$2:$C$999),
            LOOKUP($BN135,'[1]시간외시간 기준표'!$B$2:$B$999,'[1]시간외시간 기준표'!$C$2:$C$999)
        )
    ),0)
)</f>
        <v>11</v>
      </c>
      <c r="BV135" s="50">
        <f>(BQ135+BS135)/209</f>
        <v>10347.416267942584</v>
      </c>
      <c r="BW135" s="51">
        <v>30</v>
      </c>
      <c r="BX135" s="51">
        <v>30</v>
      </c>
      <c r="BY135" s="52">
        <v>28000000</v>
      </c>
      <c r="BZ135" s="52">
        <f>CA135*12</f>
        <v>28000102.799999997</v>
      </c>
      <c r="CA135" s="49">
        <f>SUM(CB135:CD135)</f>
        <v>2333341.9</v>
      </c>
      <c r="CB135" s="49">
        <f>ROUNDUP(BY135/12*209/(209+CF135*1.5)/BW135*BX135,-1)-CD135</f>
        <v>1906560</v>
      </c>
      <c r="CC135" s="49">
        <f>ROUNDUP(BY135/12*(CF135*1.5)/(209+CF135*1.5)/BW135*BX135,1)</f>
        <v>226781.9</v>
      </c>
      <c r="CD135" s="49">
        <v>200000</v>
      </c>
      <c r="CE135" s="50">
        <v>209</v>
      </c>
      <c r="CF135" s="49">
        <f>IF(BY135&lt;26000000,0,IF(BY135&lt;26500000,4,IF(BY135&lt;27000000,7,IF(BY135&lt;27500000,9,IF(BY135&lt;28000000,11,IF(BY135&lt;28500000,15,IF(BY135&lt;29000000,17,IF(BY135&lt;29500000,20,IF(BY135&lt;30000000,23,IF(BY135&lt;30500000,25,IF(BY135&lt;31000000,27,IF(BY135&lt;31500000,29,IF(BY135&lt;32000000,33,IF(BY135&lt;32500000,37,IF(BY135&lt;33000000,39,IF(BY135&lt;33500000,42,IF(BY135&lt;34000000,45,IF(BY135&lt;34500000,48,IF(BY135&lt;35000000,52,52)))))))))))))))))))</f>
        <v>15</v>
      </c>
      <c r="CG135" s="50">
        <f>(CB135+CD135)/209</f>
        <v>10079.234449760766</v>
      </c>
      <c r="CH135" s="51">
        <v>30</v>
      </c>
      <c r="CI135" s="51">
        <v>30</v>
      </c>
      <c r="CJ135" s="52">
        <v>28000000</v>
      </c>
      <c r="CK135" s="52">
        <f>CL135*12</f>
        <v>28000102.799999997</v>
      </c>
      <c r="CL135" s="49">
        <f>SUM(CM135:CO135)</f>
        <v>2333341.9</v>
      </c>
      <c r="CM135" s="49">
        <f>ROUNDUP(CJ135/12*209/(209+CQ135*1.5)/CH135*CI135,-1)-CO135</f>
        <v>1906560</v>
      </c>
      <c r="CN135" s="49">
        <f>ROUNDUP(CJ135/12*(CQ135*1.5)/(209+CQ135*1.5)/CH135*CI135,1)</f>
        <v>226781.9</v>
      </c>
      <c r="CO135" s="50">
        <v>200000</v>
      </c>
      <c r="CP135" s="50">
        <v>209</v>
      </c>
      <c r="CQ135" s="50">
        <f>IF(CJ135&lt;26000000,0,IF(CJ135&lt;26500000,4,IF(CJ135&lt;27000000,7,IF(CJ135&lt;27500000,9,IF(CJ135&lt;28000000,11,IF(CJ135&lt;28500000,15,IF(CJ135&lt;29000000,17,IF(CJ135&lt;29500000,20,IF(CJ135&lt;30000000,23,IF(CJ135&lt;30500000,25,IF(CJ135&lt;31000000,27,IF(CJ135&lt;31500000,29,IF(CJ135&lt;32000000,33,IF(CJ135&lt;32500000,37,IF(CJ135&lt;33000000,39,IF(CJ135&lt;33500000,42,IF(CJ135&lt;34000000,45,IF(CJ135&lt;34500000,48,IF(CJ135&lt;35000000,52,52)))))))))))))))))))</f>
        <v>15</v>
      </c>
      <c r="CR135" s="50">
        <f>(CM135+CO135)/209</f>
        <v>10079.234449760766</v>
      </c>
      <c r="CS135" s="52"/>
      <c r="CT135" s="53"/>
      <c r="CU135" s="53"/>
      <c r="CV135" s="53"/>
      <c r="CW135" s="54"/>
      <c r="CX135" s="54"/>
      <c r="CY135" s="54"/>
      <c r="CZ135" s="55"/>
      <c r="DA135" s="55"/>
      <c r="DB135" s="56"/>
      <c r="DC135" s="57"/>
      <c r="DD135" s="58"/>
      <c r="DE135" s="58"/>
      <c r="DF135" s="57"/>
      <c r="DG135" s="59">
        <f>B135</f>
        <v>241104</v>
      </c>
      <c r="DH135" s="58"/>
      <c r="DI135" s="58"/>
      <c r="DJ135" s="60"/>
      <c r="DK135" s="58"/>
      <c r="DL135" s="61"/>
      <c r="DM135" s="24"/>
    </row>
    <row r="136" spans="1:117" ht="15" customHeight="1">
      <c r="A136" s="25">
        <f>ROW()-2</f>
        <v>134</v>
      </c>
      <c r="B136" s="26">
        <v>241201</v>
      </c>
      <c r="C136" s="27" t="s">
        <v>1732</v>
      </c>
      <c r="D136" s="27"/>
      <c r="E136" s="27" t="s">
        <v>239</v>
      </c>
      <c r="F136" s="27" t="s">
        <v>196</v>
      </c>
      <c r="G136" s="27" t="s">
        <v>240</v>
      </c>
      <c r="H136" s="27" t="s">
        <v>241</v>
      </c>
      <c r="I136" s="27" t="s">
        <v>1192</v>
      </c>
      <c r="J136" s="27" t="str">
        <f>+VLOOKUP($I136,[1]프로젝트현황!$I:$N,5,0)</f>
        <v>서울시</v>
      </c>
      <c r="K136" s="27" t="str">
        <f>+VLOOKUP($I136,[1]프로젝트현황!$I:$N,6,0)</f>
        <v>중구</v>
      </c>
      <c r="L136" s="28">
        <v>45642</v>
      </c>
      <c r="M136" s="28">
        <v>45642</v>
      </c>
      <c r="N136" s="28"/>
      <c r="O136" s="29"/>
      <c r="P136" s="30" t="s">
        <v>1733</v>
      </c>
      <c r="Q136" s="27" t="s">
        <v>1734</v>
      </c>
      <c r="R136" s="31" t="str">
        <f>LEFT(Q136,6)</f>
        <v>950615</v>
      </c>
      <c r="S136" s="31" t="str">
        <f>MID($Q136,3,2)</f>
        <v>06</v>
      </c>
      <c r="T136" s="31" t="str">
        <f>IF(OR(MID($Q136,8,1)="1",MID($Q136,8,1)="3"),"남자",IF(OR(MID($Q136,8,1)="2",MID($Q136,8,1)="4"),"여자",""))</f>
        <v>남자</v>
      </c>
      <c r="U136" s="31">
        <f ca="1">YEAR(TODAY())-IF(OR(MID($Q136,8,1)="1",MID($Q136,8,1)="2"),19&amp;LEFT($Q136,2),IF(OR(MID($Q136,8,1)="3",MID($Q136,8,1)="4"),20&amp;LEFT($Q136,2),""))+1</f>
        <v>32</v>
      </c>
      <c r="V136" s="31" t="s">
        <v>200</v>
      </c>
      <c r="W136" s="31" t="s">
        <v>201</v>
      </c>
      <c r="X136" s="27" t="s">
        <v>1735</v>
      </c>
      <c r="Y136" s="27"/>
      <c r="Z136" s="27"/>
      <c r="AA136" s="32"/>
      <c r="AB136" s="31" t="s">
        <v>203</v>
      </c>
      <c r="AC136" s="27"/>
      <c r="AD136" s="33" t="str">
        <f ca="1">QUOTIENT(SUMPRODUCT(LEFT($AE136:$AF136,FIND("년",$AE136:$AF136)-1)*12+MID($AE136:$AF136,FIND("년",$AE136:$AF136)+1,FIND("개월",$AE136:$AF136)-FIND("년",$AE136:$AF136)-1)),12)&amp;"년"&amp;MOD(SUMPRODUCT(LEFT($AE136:$AF136,FIND("년",$AE136:$AF136)-1)*12+MID($AE136:$AF136,FIND("년",$AE136:$AF136)+1,FIND("개월",$AE136:$AF136)-FIND("년",$AE136:$AF136)-1)),12)&amp;"개월"</f>
        <v>8년2개월</v>
      </c>
      <c r="AE136" s="33" t="s">
        <v>1736</v>
      </c>
      <c r="AF136" s="34" t="str">
        <f ca="1">DATEDIF($L136,TODAY(),"y")&amp;"년"&amp;DATEDIF($L136,TODAY(),"ym")&amp;"개월"</f>
        <v>1년1개월</v>
      </c>
      <c r="AG136" s="35" t="s">
        <v>349</v>
      </c>
      <c r="AH136" s="35" t="s">
        <v>1737</v>
      </c>
      <c r="AI136" s="30" t="s">
        <v>205</v>
      </c>
      <c r="AJ136" s="32" t="s">
        <v>1738</v>
      </c>
      <c r="AK136" s="36">
        <f ca="1">VALUE(LEFT($AD136,FIND("년",$AD136)-1))</f>
        <v>8</v>
      </c>
      <c r="AL136" s="31" t="str">
        <f ca="1">IF($AI136="전문학사",IF($AK136&lt;=8,"초급",IF($AK136&lt;12,"중급",IF($AK136&lt;15,"고급",IF($AK136&gt;=15,"특급")))))</f>
        <v>초급</v>
      </c>
      <c r="AM136" s="31" t="str">
        <f>IF(ISNUMBER(SEARCH("산업기사",$AT136)),IF($AK136&gt;=13,"특급",IF($AK136&gt;=10,"고급",IF($AK136&gt;=7,"중급","초급"))),IF(ISNUMBER(SEARCH("기사",$AR136)),IF($AK136&gt;=10,"특급",IF($AK136&gt;=7,"고급",IF($AK136&gt;=4,"중급","초급"))),"미해당"))</f>
        <v>미해당</v>
      </c>
      <c r="AN136" s="27"/>
      <c r="AO136" s="32"/>
      <c r="AP136" s="27"/>
      <c r="AQ136" s="32"/>
      <c r="AR136" s="27"/>
      <c r="AS136" s="27"/>
      <c r="AT136" s="37"/>
      <c r="AU136" s="27"/>
      <c r="AV136" s="38"/>
      <c r="AW136" s="39"/>
      <c r="AX136" s="39"/>
      <c r="AY136" s="40" t="s">
        <v>251</v>
      </c>
      <c r="AZ136" s="41" t="s">
        <v>252</v>
      </c>
      <c r="BA136" s="30" t="s">
        <v>230</v>
      </c>
      <c r="BB136" s="30" t="s">
        <v>1739</v>
      </c>
      <c r="BC136" s="42" t="s">
        <v>254</v>
      </c>
      <c r="BD136" s="42" t="s">
        <v>1740</v>
      </c>
      <c r="BE136" s="43" t="s">
        <v>1741</v>
      </c>
      <c r="BF136" s="42" t="s">
        <v>1688</v>
      </c>
      <c r="BG136" s="42" t="s">
        <v>1550</v>
      </c>
      <c r="BH136" s="35"/>
      <c r="BI136" s="44" t="s">
        <v>1742</v>
      </c>
      <c r="BJ136" s="45" t="str">
        <f>IFERROR(VLOOKUP($BG136,[1]프로젝트현황!Y:Z,2,0),"기타")</f>
        <v>동남권</v>
      </c>
      <c r="BK136" s="46" t="str">
        <f>(IF(BF136="","",BF136&amp;" "))&amp;(IF(BG136="","",BG136&amp;" "))&amp;(IF(BH136="","",BH136&amp;" "))&amp;BI136</f>
        <v>서울특별시 강동구 상일동 고덕리엔파크, 301-1001호</v>
      </c>
      <c r="BL136" s="47">
        <v>30</v>
      </c>
      <c r="BM136" s="47">
        <v>30</v>
      </c>
      <c r="BN136" s="48">
        <v>40000000</v>
      </c>
      <c r="BO136" s="48">
        <f>BP136*12</f>
        <v>40000000.799999997</v>
      </c>
      <c r="BP136" s="49">
        <f>SUM(BQ136:BS136)</f>
        <v>3333333.4</v>
      </c>
      <c r="BQ136" s="49">
        <f>ROUNDUP(BN136/12*209/(209+BU136*1.5)/BL136*BM136,-1)-BS136</f>
        <v>2227410</v>
      </c>
      <c r="BR136" s="49">
        <f>ROUNDUP(BN136/12*(BU136*1.5)/(209+BU136*1.5)/BL136*BM136,1)</f>
        <v>905923.4</v>
      </c>
      <c r="BS136" s="49">
        <v>200000</v>
      </c>
      <c r="BT136" s="50">
        <v>209</v>
      </c>
      <c r="BU136" s="49">
        <f>IF($BN136="","",
IFERROR(
    IF($BN136&lt;'[1]시간외시간 기준표'!$B$2,0,
        IF($BN136&gt;LOOKUP(9.9E+307,'[1]시간외시간 기준표'!$B$2:$B$999),
            LOOKUP(9.9E+307,'[1]시간외시간 기준표'!$C$2:$C$999),
            LOOKUP($BN136,'[1]시간외시간 기준표'!$B$2:$B$999,'[1]시간외시간 기준표'!$C$2:$C$999)
        )
    ),0)
)</f>
        <v>52</v>
      </c>
      <c r="BV136" s="50">
        <f>(BQ136+BS136)/209</f>
        <v>11614.401913875598</v>
      </c>
      <c r="BW136" s="51">
        <v>30</v>
      </c>
      <c r="BX136" s="51">
        <v>30</v>
      </c>
      <c r="BY136" s="52">
        <v>40000000</v>
      </c>
      <c r="BZ136" s="52">
        <f>CA136*12</f>
        <v>40000000.799999997</v>
      </c>
      <c r="CA136" s="49">
        <f>SUM(CB136:CD136)</f>
        <v>3333333.4</v>
      </c>
      <c r="CB136" s="49">
        <f>ROUNDUP(BY136/12*209/(209+CF136*1.5)/BW136*BX136,-1)-CD136</f>
        <v>2227410</v>
      </c>
      <c r="CC136" s="49">
        <f>ROUNDUP(BY136/12*(CF136*1.5)/(209+CF136*1.5)/BW136*BX136,1)</f>
        <v>905923.4</v>
      </c>
      <c r="CD136" s="49">
        <v>200000</v>
      </c>
      <c r="CE136" s="50">
        <v>209</v>
      </c>
      <c r="CF136" s="49">
        <f>IF(BY136&lt;26000000,0,IF(BY136&lt;26500000,4,IF(BY136&lt;27000000,7,IF(BY136&lt;27500000,9,IF(BY136&lt;28000000,11,IF(BY136&lt;28500000,15,IF(BY136&lt;29000000,17,IF(BY136&lt;29500000,20,IF(BY136&lt;30000000,23,IF(BY136&lt;30500000,25,IF(BY136&lt;31000000,27,IF(BY136&lt;31500000,29,IF(BY136&lt;32000000,33,IF(BY136&lt;32500000,37,IF(BY136&lt;33000000,39,IF(BY136&lt;33500000,42,IF(BY136&lt;34000000,45,IF(BY136&lt;34500000,48,IF(BY136&lt;35000000,52,52)))))))))))))))))))</f>
        <v>52</v>
      </c>
      <c r="CG136" s="50">
        <f>(CB136+CD136)/209</f>
        <v>11614.401913875598</v>
      </c>
      <c r="CH136" s="51">
        <v>30</v>
      </c>
      <c r="CI136" s="51">
        <v>30</v>
      </c>
      <c r="CJ136" s="52">
        <v>40000000</v>
      </c>
      <c r="CK136" s="52">
        <f>CL136*12</f>
        <v>40000000.799999997</v>
      </c>
      <c r="CL136" s="49">
        <f>SUM(CM136:CO136)</f>
        <v>3333333.4</v>
      </c>
      <c r="CM136" s="49">
        <f>ROUNDUP(CJ136/12*209/(209+CQ136*1.5)/CH136*CI136,-1)-CO136</f>
        <v>2227410</v>
      </c>
      <c r="CN136" s="49">
        <f>ROUNDUP(CJ136/12*(CQ136*1.5)/(209+CQ136*1.5)/CH136*CI136,1)</f>
        <v>905923.4</v>
      </c>
      <c r="CO136" s="50">
        <v>200000</v>
      </c>
      <c r="CP136" s="50">
        <v>209</v>
      </c>
      <c r="CQ136" s="50">
        <f>IF(CJ136&lt;26000000,0,IF(CJ136&lt;26500000,4,IF(CJ136&lt;27000000,7,IF(CJ136&lt;27500000,9,IF(CJ136&lt;28000000,11,IF(CJ136&lt;28500000,15,IF(CJ136&lt;29000000,17,IF(CJ136&lt;29500000,20,IF(CJ136&lt;30000000,23,IF(CJ136&lt;30500000,25,IF(CJ136&lt;31000000,27,IF(CJ136&lt;31500000,29,IF(CJ136&lt;32000000,33,IF(CJ136&lt;32500000,37,IF(CJ136&lt;33000000,39,IF(CJ136&lt;33500000,42,IF(CJ136&lt;34000000,45,IF(CJ136&lt;34500000,48,IF(CJ136&lt;35000000,52,52)))))))))))))))))))</f>
        <v>52</v>
      </c>
      <c r="CR136" s="50">
        <f>(CM136+CO136)/209</f>
        <v>11614.401913875598</v>
      </c>
      <c r="CS136" s="52"/>
      <c r="CT136" s="53"/>
      <c r="CU136" s="53"/>
      <c r="CV136" s="53"/>
      <c r="CW136" s="54"/>
      <c r="CX136" s="54"/>
      <c r="CY136" s="54"/>
      <c r="CZ136" s="55"/>
      <c r="DA136" s="55"/>
      <c r="DB136" s="56"/>
      <c r="DC136" s="57"/>
      <c r="DD136" s="58"/>
      <c r="DE136" s="58"/>
      <c r="DF136" s="57"/>
      <c r="DG136" s="59">
        <f>B136</f>
        <v>241201</v>
      </c>
      <c r="DH136" s="58"/>
      <c r="DI136" s="58"/>
      <c r="DJ136" s="60"/>
      <c r="DK136" s="58"/>
      <c r="DL136" s="61"/>
      <c r="DM136" s="24"/>
    </row>
    <row r="137" spans="1:117" ht="15" customHeight="1">
      <c r="A137" s="25">
        <f>ROW()-2</f>
        <v>135</v>
      </c>
      <c r="B137" s="26">
        <v>250101</v>
      </c>
      <c r="C137" s="27" t="s">
        <v>1743</v>
      </c>
      <c r="D137" s="27"/>
      <c r="E137" s="27" t="s">
        <v>613</v>
      </c>
      <c r="F137" s="27" t="s">
        <v>196</v>
      </c>
      <c r="G137" s="27" t="s">
        <v>240</v>
      </c>
      <c r="H137" s="27" t="s">
        <v>1331</v>
      </c>
      <c r="I137" s="27" t="s">
        <v>1332</v>
      </c>
      <c r="J137" s="27" t="str">
        <f>+VLOOKUP($I137,[1]프로젝트현황!$I:$N,5,0)</f>
        <v>서울시</v>
      </c>
      <c r="K137" s="27" t="str">
        <f>+VLOOKUP($I137,[1]프로젝트현황!$I:$N,6,0)</f>
        <v>강남구</v>
      </c>
      <c r="L137" s="28">
        <v>45659</v>
      </c>
      <c r="M137" s="28">
        <v>45659</v>
      </c>
      <c r="N137" s="28"/>
      <c r="O137" s="29"/>
      <c r="P137" s="30" t="s">
        <v>1744</v>
      </c>
      <c r="Q137" s="27" t="s">
        <v>1745</v>
      </c>
      <c r="R137" s="31" t="str">
        <f>LEFT(Q137,6)</f>
        <v>941115</v>
      </c>
      <c r="S137" s="31" t="str">
        <f>MID($Q137,3,2)</f>
        <v>11</v>
      </c>
      <c r="T137" s="31" t="str">
        <f>IF(OR(MID($Q137,8,1)="1",MID($Q137,8,1)="3"),"남자",IF(OR(MID($Q137,8,1)="2",MID($Q137,8,1)="4"),"여자",""))</f>
        <v>남자</v>
      </c>
      <c r="U137" s="31">
        <f ca="1">YEAR(TODAY())-IF(OR(MID($Q137,8,1)="1",MID($Q137,8,1)="2"),19&amp;LEFT($Q137,2),IF(OR(MID($Q137,8,1)="3",MID($Q137,8,1)="4"),20&amp;LEFT($Q137,2),""))+1</f>
        <v>33</v>
      </c>
      <c r="V137" s="31" t="s">
        <v>200</v>
      </c>
      <c r="W137" s="31" t="s">
        <v>201</v>
      </c>
      <c r="X137" s="27" t="s">
        <v>1746</v>
      </c>
      <c r="Y137" s="27"/>
      <c r="Z137" s="27"/>
      <c r="AA137" s="32"/>
      <c r="AB137" s="31" t="s">
        <v>203</v>
      </c>
      <c r="AC137" s="27"/>
      <c r="AD137" s="33" t="str">
        <f ca="1">QUOTIENT(SUMPRODUCT(LEFT($AE137:$AF137,FIND("년",$AE137:$AF137)-1)*12+MID($AE137:$AF137,FIND("년",$AE137:$AF137)+1,FIND("개월",$AE137:$AF137)-FIND("년",$AE137:$AF137)-1)),12)&amp;"년"&amp;MOD(SUMPRODUCT(LEFT($AE137:$AF137,FIND("년",$AE137:$AF137)-1)*12+MID($AE137:$AF137,FIND("년",$AE137:$AF137)+1,FIND("개월",$AE137:$AF137)-FIND("년",$AE137:$AF137)-1)),12)&amp;"개월"</f>
        <v>1년1개월</v>
      </c>
      <c r="AE137" s="33" t="s">
        <v>543</v>
      </c>
      <c r="AF137" s="34" t="str">
        <f ca="1">DATEDIF($L137,TODAY(),"y")&amp;"년"&amp;DATEDIF($L137,TODAY(),"ym")&amp;"개월"</f>
        <v>1년1개월</v>
      </c>
      <c r="AG137" s="35" t="s">
        <v>794</v>
      </c>
      <c r="AH137" s="35" t="s">
        <v>1747</v>
      </c>
      <c r="AI137" s="30" t="s">
        <v>270</v>
      </c>
      <c r="AJ137" s="32">
        <v>45527</v>
      </c>
      <c r="AK137" s="36">
        <f ca="1">VALUE(LEFT($AD137,FIND("년",$AD137)-1))</f>
        <v>1</v>
      </c>
      <c r="AL137" s="31" t="str">
        <f ca="1">IF($AI137="학사",IF($AK137&lt;=8,"초급",IF($AK137&lt;12,"중급",IF($AK137&lt;15,"고급",IF($AK137&gt;=15,"특급")))))</f>
        <v>초급</v>
      </c>
      <c r="AM137" s="31" t="str">
        <f>IF(ISNUMBER(SEARCH("산업기사",$AT137)),IF($AK137&gt;=13,"특급",IF($AK137&gt;=10,"고급",IF($AK137&gt;=7,"중급","초급"))),IF(ISNUMBER(SEARCH("기사",$AR137)),IF($AK137&gt;=10,"특급",IF($AK137&gt;=7,"고급",IF($AK137&gt;=4,"중급","초급"))),"미해당"))</f>
        <v>미해당</v>
      </c>
      <c r="AN137" s="27"/>
      <c r="AO137" s="32"/>
      <c r="AP137" s="27"/>
      <c r="AQ137" s="32"/>
      <c r="AR137" s="27"/>
      <c r="AS137" s="27"/>
      <c r="AT137" s="37"/>
      <c r="AU137" s="27"/>
      <c r="AV137" s="38"/>
      <c r="AW137" s="39"/>
      <c r="AX137" s="39"/>
      <c r="AY137" s="40" t="s">
        <v>251</v>
      </c>
      <c r="AZ137" s="41" t="s">
        <v>252</v>
      </c>
      <c r="BA137" s="30" t="s">
        <v>230</v>
      </c>
      <c r="BB137" s="30" t="s">
        <v>1748</v>
      </c>
      <c r="BC137" s="42"/>
      <c r="BD137" s="42"/>
      <c r="BE137" s="43" t="s">
        <v>1749</v>
      </c>
      <c r="BF137" s="42" t="s">
        <v>234</v>
      </c>
      <c r="BG137" s="42" t="s">
        <v>235</v>
      </c>
      <c r="BH137" s="35" t="s">
        <v>1750</v>
      </c>
      <c r="BI137" s="44" t="s">
        <v>1751</v>
      </c>
      <c r="BJ137" s="45" t="str">
        <f>IFERROR(VLOOKUP($BG137,[1]프로젝트현황!Y:Z,2,0),"기타")</f>
        <v>서북권</v>
      </c>
      <c r="BK137" s="46" t="str">
        <f>(IF(BF137="","",BF137&amp;" "))&amp;(IF(BG137="","",BG137&amp;" "))&amp;(IF(BH137="","",BH137&amp;" "))&amp;BI137</f>
        <v>경기도 고양시 일산동구 태극로 11</v>
      </c>
      <c r="BL137" s="47">
        <v>30</v>
      </c>
      <c r="BM137" s="47">
        <v>30</v>
      </c>
      <c r="BN137" s="48">
        <v>27000000</v>
      </c>
      <c r="BO137" s="48">
        <f>BP137*12</f>
        <v>27000120</v>
      </c>
      <c r="BP137" s="49">
        <f>SUM(BQ137:BS137)</f>
        <v>2250010</v>
      </c>
      <c r="BQ137" s="49">
        <f>ROUNDUP(BN137/12*209/(209+BU137*1.5)/BL137*BM137,-1)-BS137</f>
        <v>1957120</v>
      </c>
      <c r="BR137" s="49">
        <f>ROUNDUP(BN137/12*(BU137*1.5)/(209+BU137*1.5)/BL137*BM137,1)</f>
        <v>92890</v>
      </c>
      <c r="BS137" s="49">
        <v>200000</v>
      </c>
      <c r="BT137" s="50">
        <v>209</v>
      </c>
      <c r="BU137" s="49">
        <f>IF($BN137="","",
IFERROR(
    IF($BN137&lt;'[1]시간외시간 기준표'!$B$2,0,
        IF($BN137&gt;LOOKUP(9.9E+307,'[1]시간외시간 기준표'!$B$2:$B$999),
            LOOKUP(9.9E+307,'[1]시간외시간 기준표'!$C$2:$C$999),
            LOOKUP($BN137,'[1]시간외시간 기준표'!$B$2:$B$999,'[1]시간외시간 기준표'!$C$2:$C$999)
        )
    ),0)
)</f>
        <v>6</v>
      </c>
      <c r="BV137" s="50">
        <f>(BQ137+BS137)/209</f>
        <v>10321.148325358852</v>
      </c>
      <c r="BW137" s="51">
        <v>30</v>
      </c>
      <c r="BX137" s="51">
        <v>30</v>
      </c>
      <c r="BY137" s="52">
        <v>27000000</v>
      </c>
      <c r="BZ137" s="52">
        <f>CA137*12</f>
        <v>27000082.799999997</v>
      </c>
      <c r="CA137" s="49">
        <f>SUM(CB137:CD137)</f>
        <v>2250006.9</v>
      </c>
      <c r="CB137" s="49">
        <f>ROUNDUP(BY137/12*209/(209+CF137*1.5)/BW137*BX137,-1)-CD137</f>
        <v>1913490</v>
      </c>
      <c r="CC137" s="49">
        <f>ROUNDUP(BY137/12*(CF137*1.5)/(209+CF137*1.5)/BW137*BX137,1)</f>
        <v>136516.9</v>
      </c>
      <c r="CD137" s="49">
        <v>200000</v>
      </c>
      <c r="CE137" s="50">
        <v>209</v>
      </c>
      <c r="CF137" s="49">
        <f>IF(BY137&lt;26000000,0,IF(BY137&lt;26500000,4,IF(BY137&lt;27000000,7,IF(BY137&lt;27500000,9,IF(BY137&lt;28000000,11,IF(BY137&lt;28500000,15,IF(BY137&lt;29000000,17,IF(BY137&lt;29500000,20,IF(BY137&lt;30000000,23,IF(BY137&lt;30500000,25,IF(BY137&lt;31000000,27,IF(BY137&lt;31500000,29,IF(BY137&lt;32000000,33,IF(BY137&lt;32500000,37,IF(BY137&lt;33000000,39,IF(BY137&lt;33500000,42,IF(BY137&lt;34000000,45,IF(BY137&lt;34500000,48,IF(BY137&lt;35000000,52,52)))))))))))))))))))</f>
        <v>9</v>
      </c>
      <c r="CG137" s="50">
        <f>(CB137+CD137)/209</f>
        <v>10112.392344497608</v>
      </c>
      <c r="CH137" s="51">
        <v>30</v>
      </c>
      <c r="CI137" s="51">
        <v>30</v>
      </c>
      <c r="CJ137" s="52">
        <v>27000000</v>
      </c>
      <c r="CK137" s="52">
        <f>CL137*12</f>
        <v>27000082.799999997</v>
      </c>
      <c r="CL137" s="49">
        <f>SUM(CM137:CO137)</f>
        <v>2250006.9</v>
      </c>
      <c r="CM137" s="49">
        <f>ROUNDUP(CJ137/12*209/(209+CQ137*1.5)/CH137*CI137,-1)-CO137</f>
        <v>1913490</v>
      </c>
      <c r="CN137" s="49">
        <f>ROUNDUP(CJ137/12*(CQ137*1.5)/(209+CQ137*1.5)/CH137*CI137,1)</f>
        <v>136516.9</v>
      </c>
      <c r="CO137" s="50">
        <v>200000</v>
      </c>
      <c r="CP137" s="50">
        <v>209</v>
      </c>
      <c r="CQ137" s="50">
        <f>IF(CJ137&lt;26000000,0,IF(CJ137&lt;26500000,4,IF(CJ137&lt;27000000,7,IF(CJ137&lt;27500000,9,IF(CJ137&lt;28000000,11,IF(CJ137&lt;28500000,15,IF(CJ137&lt;29000000,17,IF(CJ137&lt;29500000,20,IF(CJ137&lt;30000000,23,IF(CJ137&lt;30500000,25,IF(CJ137&lt;31000000,27,IF(CJ137&lt;31500000,29,IF(CJ137&lt;32000000,33,IF(CJ137&lt;32500000,37,IF(CJ137&lt;33000000,39,IF(CJ137&lt;33500000,42,IF(CJ137&lt;34000000,45,IF(CJ137&lt;34500000,48,IF(CJ137&lt;35000000,52,52)))))))))))))))))))</f>
        <v>9</v>
      </c>
      <c r="CR137" s="50">
        <f>(CM137+CO137)/209</f>
        <v>10112.392344497608</v>
      </c>
      <c r="CS137" s="52"/>
      <c r="CT137" s="53"/>
      <c r="CU137" s="53"/>
      <c r="CV137" s="53"/>
      <c r="CW137" s="54"/>
      <c r="CX137" s="54"/>
      <c r="CY137" s="54"/>
      <c r="CZ137" s="55"/>
      <c r="DA137" s="55"/>
      <c r="DB137" s="56"/>
      <c r="DC137" s="57"/>
      <c r="DD137" s="58"/>
      <c r="DE137" s="58"/>
      <c r="DF137" s="57"/>
      <c r="DG137" s="59">
        <f>B137</f>
        <v>250101</v>
      </c>
      <c r="DH137" s="58"/>
      <c r="DI137" s="58"/>
      <c r="DJ137" s="60"/>
      <c r="DK137" s="58"/>
      <c r="DL137" s="61"/>
      <c r="DM137" s="24"/>
    </row>
    <row r="138" spans="1:117" ht="15" customHeight="1">
      <c r="A138" s="25">
        <f>ROW()-2</f>
        <v>136</v>
      </c>
      <c r="B138" s="26">
        <v>250102</v>
      </c>
      <c r="C138" s="27" t="s">
        <v>1752</v>
      </c>
      <c r="D138" s="27"/>
      <c r="E138" s="27" t="s">
        <v>613</v>
      </c>
      <c r="F138" s="27" t="s">
        <v>196</v>
      </c>
      <c r="G138" s="27" t="s">
        <v>240</v>
      </c>
      <c r="H138" s="27" t="s">
        <v>217</v>
      </c>
      <c r="I138" s="27" t="s">
        <v>359</v>
      </c>
      <c r="J138" s="27" t="str">
        <f>+VLOOKUP($I138,[1]프로젝트현황!$I:$N,5,0)</f>
        <v>서울시</v>
      </c>
      <c r="K138" s="27" t="str">
        <f>+VLOOKUP($I138,[1]프로젝트현황!$I:$N,6,0)</f>
        <v>금천구</v>
      </c>
      <c r="L138" s="28">
        <v>45663</v>
      </c>
      <c r="M138" s="28">
        <v>45663</v>
      </c>
      <c r="N138" s="28"/>
      <c r="O138" s="29"/>
      <c r="P138" s="30" t="s">
        <v>1753</v>
      </c>
      <c r="Q138" s="27" t="s">
        <v>1754</v>
      </c>
      <c r="R138" s="31" t="str">
        <f>LEFT(Q138,6)</f>
        <v>960328</v>
      </c>
      <c r="S138" s="31" t="str">
        <f>MID($Q138,3,2)</f>
        <v>03</v>
      </c>
      <c r="T138" s="31" t="str">
        <f>IF(OR(MID($Q138,8,1)="1",MID($Q138,8,1)="3"),"남자",IF(OR(MID($Q138,8,1)="2",MID($Q138,8,1)="4"),"여자",""))</f>
        <v>남자</v>
      </c>
      <c r="U138" s="31">
        <f ca="1">YEAR(TODAY())-IF(OR(MID($Q138,8,1)="1",MID($Q138,8,1)="2"),19&amp;LEFT($Q138,2),IF(OR(MID($Q138,8,1)="3",MID($Q138,8,1)="4"),20&amp;LEFT($Q138,2),""))+1</f>
        <v>31</v>
      </c>
      <c r="V138" s="31" t="s">
        <v>200</v>
      </c>
      <c r="W138" s="31" t="s">
        <v>201</v>
      </c>
      <c r="X138" s="27" t="s">
        <v>1755</v>
      </c>
      <c r="Y138" s="27"/>
      <c r="Z138" s="27"/>
      <c r="AA138" s="32"/>
      <c r="AB138" s="31" t="s">
        <v>203</v>
      </c>
      <c r="AC138" s="27"/>
      <c r="AD138" s="33" t="str">
        <f ca="1">QUOTIENT(SUMPRODUCT(LEFT($AE138:$AF138,FIND("년",$AE138:$AF138)-1)*12+MID($AE138:$AF138,FIND("년",$AE138:$AF138)+1,FIND("개월",$AE138:$AF138)-FIND("년",$AE138:$AF138)-1)),12)&amp;"년"&amp;MOD(SUMPRODUCT(LEFT($AE138:$AF138,FIND("년",$AE138:$AF138)-1)*12+MID($AE138:$AF138,FIND("년",$AE138:$AF138)+1,FIND("개월",$AE138:$AF138)-FIND("년",$AE138:$AF138)-1)),12)&amp;"개월"</f>
        <v>3년1개월</v>
      </c>
      <c r="AE138" s="33" t="s">
        <v>1756</v>
      </c>
      <c r="AF138" s="34" t="str">
        <f ca="1">DATEDIF($L138,TODAY(),"y")&amp;"년"&amp;DATEDIF($L138,TODAY(),"ym")&amp;"개월"</f>
        <v>1년1개월</v>
      </c>
      <c r="AG138" s="35" t="s">
        <v>1757</v>
      </c>
      <c r="AH138" s="35" t="s">
        <v>1337</v>
      </c>
      <c r="AI138" s="30" t="s">
        <v>270</v>
      </c>
      <c r="AJ138" s="32">
        <v>44243</v>
      </c>
      <c r="AK138" s="36">
        <f ca="1">VALUE(LEFT($AD138,FIND("년",$AD138)-1))</f>
        <v>3</v>
      </c>
      <c r="AL138" s="31" t="str">
        <f ca="1">IF($AI138="학사",IF($AK138&lt;=8,"초급",IF($AK138&lt;12,"중급",IF($AK138&lt;15,"고급",IF($AK138&gt;=15,"특급")))))</f>
        <v>초급</v>
      </c>
      <c r="AM138" s="31" t="str">
        <f>IF(ISNUMBER(SEARCH("산업기사",$AT138)),IF($AK138&gt;=13,"특급",IF($AK138&gt;=10,"고급",IF($AK138&gt;=7,"중급","초급"))),IF(ISNUMBER(SEARCH("기사",$AR138)),IF($AK138&gt;=10,"특급",IF($AK138&gt;=7,"고급",IF($AK138&gt;=4,"중급","초급"))),"미해당"))</f>
        <v>미해당</v>
      </c>
      <c r="AN138" s="27"/>
      <c r="AO138" s="32"/>
      <c r="AP138" s="27"/>
      <c r="AQ138" s="32"/>
      <c r="AR138" s="27"/>
      <c r="AS138" s="27"/>
      <c r="AT138" s="37"/>
      <c r="AU138" s="27"/>
      <c r="AV138" s="38"/>
      <c r="AW138" s="39"/>
      <c r="AX138" s="39"/>
      <c r="AY138" s="40" t="s">
        <v>251</v>
      </c>
      <c r="AZ138" s="41" t="s">
        <v>252</v>
      </c>
      <c r="BA138" s="30" t="s">
        <v>230</v>
      </c>
      <c r="BB138" s="30" t="s">
        <v>1758</v>
      </c>
      <c r="BC138" s="42" t="s">
        <v>275</v>
      </c>
      <c r="BD138" s="42" t="s">
        <v>1759</v>
      </c>
      <c r="BE138" s="43" t="s">
        <v>1760</v>
      </c>
      <c r="BF138" s="42" t="s">
        <v>234</v>
      </c>
      <c r="BG138" s="42" t="s">
        <v>887</v>
      </c>
      <c r="BH138" s="35" t="s">
        <v>888</v>
      </c>
      <c r="BI138" s="44" t="s">
        <v>1761</v>
      </c>
      <c r="BJ138" s="45" t="str">
        <f>IFERROR(VLOOKUP($BG138,[1]프로젝트현황!Y:Z,2,0),"기타")</f>
        <v>동남권</v>
      </c>
      <c r="BK138" s="46" t="str">
        <f>(IF(BF138="","",BF138&amp;" "))&amp;(IF(BG138="","",BG138&amp;" "))&amp;(IF(BH138="","",BH138&amp;" "))&amp;BI138</f>
        <v>경기도 용인시 수지구 수풍로 90, 109동 1101호</v>
      </c>
      <c r="BL138" s="47">
        <v>30</v>
      </c>
      <c r="BM138" s="47">
        <v>30</v>
      </c>
      <c r="BN138" s="48">
        <v>30000000</v>
      </c>
      <c r="BO138" s="48">
        <f>BP138*12</f>
        <v>30000109.200000003</v>
      </c>
      <c r="BP138" s="49">
        <f>SUM(BQ138:BS138)</f>
        <v>2500009.1</v>
      </c>
      <c r="BQ138" s="49">
        <f>ROUNDUP(BN138/12*209/(209+BU138*1.5)/BL138*BM138,-1)-BS138</f>
        <v>1959100</v>
      </c>
      <c r="BR138" s="49">
        <f>ROUNDUP(BN138/12*(BU138*1.5)/(209+BU138*1.5)/BL138*BM138,1)</f>
        <v>340909.1</v>
      </c>
      <c r="BS138" s="49">
        <v>200000</v>
      </c>
      <c r="BT138" s="50">
        <v>209</v>
      </c>
      <c r="BU138" s="49">
        <f>IF($BN138="","",
IFERROR(
    IF($BN138&lt;'[1]시간외시간 기준표'!$B$2,0,
        IF($BN138&gt;LOOKUP(9.9E+307,'[1]시간외시간 기준표'!$B$2:$B$999),
            LOOKUP(9.9E+307,'[1]시간외시간 기준표'!$C$2:$C$999),
            LOOKUP($BN138,'[1]시간외시간 기준표'!$B$2:$B$999,'[1]시간외시간 기준표'!$C$2:$C$999)
        )
    ),0)
)</f>
        <v>22</v>
      </c>
      <c r="BV138" s="50">
        <f>(BQ138+BS138)/209</f>
        <v>10330.622009569379</v>
      </c>
      <c r="BW138" s="51">
        <v>30</v>
      </c>
      <c r="BX138" s="51">
        <v>30</v>
      </c>
      <c r="BY138" s="52">
        <v>30000000</v>
      </c>
      <c r="BZ138" s="52">
        <f>CA138*12</f>
        <v>30000055.200000003</v>
      </c>
      <c r="CA138" s="49">
        <f>SUM(CB138:CD138)</f>
        <v>2500004.6</v>
      </c>
      <c r="CB138" s="49">
        <f>ROUNDUP(BY138/12*209/(209+CF138*1.5)/BW138*BX138,-1)-CD138</f>
        <v>1919680</v>
      </c>
      <c r="CC138" s="49">
        <f>ROUNDUP(BY138/12*(CF138*1.5)/(209+CF138*1.5)/BW138*BX138,1)</f>
        <v>380324.6</v>
      </c>
      <c r="CD138" s="49">
        <v>200000</v>
      </c>
      <c r="CE138" s="50">
        <v>209</v>
      </c>
      <c r="CF138" s="49">
        <f>IF(BY138&lt;26000000,0,IF(BY138&lt;26500000,4,IF(BY138&lt;27000000,7,IF(BY138&lt;27500000,9,IF(BY138&lt;28000000,11,IF(BY138&lt;28500000,15,IF(BY138&lt;29000000,17,IF(BY138&lt;29500000,20,IF(BY138&lt;30000000,23,IF(BY138&lt;30500000,25,IF(BY138&lt;31000000,27,IF(BY138&lt;31500000,29,IF(BY138&lt;32000000,33,IF(BY138&lt;32500000,37,IF(BY138&lt;33000000,39,IF(BY138&lt;33500000,42,IF(BY138&lt;34000000,45,IF(BY138&lt;34500000,48,IF(BY138&lt;35000000,52,52)))))))))))))))))))</f>
        <v>25</v>
      </c>
      <c r="CG138" s="50">
        <f>(CB138+CD138)/209</f>
        <v>10142.009569377991</v>
      </c>
      <c r="CH138" s="51">
        <v>30</v>
      </c>
      <c r="CI138" s="51">
        <v>30</v>
      </c>
      <c r="CJ138" s="52">
        <v>30000000</v>
      </c>
      <c r="CK138" s="52">
        <f>CL138*12</f>
        <v>30000055.200000003</v>
      </c>
      <c r="CL138" s="49">
        <f>SUM(CM138:CO138)</f>
        <v>2500004.6</v>
      </c>
      <c r="CM138" s="49">
        <f>ROUNDUP(CJ138/12*209/(209+CQ138*1.5)/CH138*CI138,-1)-CO138</f>
        <v>1919680</v>
      </c>
      <c r="CN138" s="49">
        <f>ROUNDUP(CJ138/12*(CQ138*1.5)/(209+CQ138*1.5)/CH138*CI138,1)</f>
        <v>380324.6</v>
      </c>
      <c r="CO138" s="50">
        <v>200000</v>
      </c>
      <c r="CP138" s="50">
        <v>209</v>
      </c>
      <c r="CQ138" s="50">
        <f>IF(CJ138&lt;26000000,0,IF(CJ138&lt;26500000,4,IF(CJ138&lt;27000000,7,IF(CJ138&lt;27500000,9,IF(CJ138&lt;28000000,11,IF(CJ138&lt;28500000,15,IF(CJ138&lt;29000000,17,IF(CJ138&lt;29500000,20,IF(CJ138&lt;30000000,23,IF(CJ138&lt;30500000,25,IF(CJ138&lt;31000000,27,IF(CJ138&lt;31500000,29,IF(CJ138&lt;32000000,33,IF(CJ138&lt;32500000,37,IF(CJ138&lt;33000000,39,IF(CJ138&lt;33500000,42,IF(CJ138&lt;34000000,45,IF(CJ138&lt;34500000,48,IF(CJ138&lt;35000000,52,52)))))))))))))))))))</f>
        <v>25</v>
      </c>
      <c r="CR138" s="50">
        <f>(CM138+CO138)/209</f>
        <v>10142.009569377991</v>
      </c>
      <c r="CS138" s="52"/>
      <c r="CT138" s="53"/>
      <c r="CU138" s="53"/>
      <c r="CV138" s="53"/>
      <c r="CW138" s="54"/>
      <c r="CX138" s="54"/>
      <c r="CY138" s="54"/>
      <c r="CZ138" s="55"/>
      <c r="DA138" s="55"/>
      <c r="DB138" s="56"/>
      <c r="DC138" s="57"/>
      <c r="DD138" s="58"/>
      <c r="DE138" s="58"/>
      <c r="DF138" s="57"/>
      <c r="DG138" s="59">
        <f>B138</f>
        <v>250102</v>
      </c>
      <c r="DH138" s="58"/>
      <c r="DI138" s="58"/>
      <c r="DJ138" s="60"/>
      <c r="DK138" s="58"/>
      <c r="DL138" s="61"/>
      <c r="DM138" s="24"/>
    </row>
    <row r="139" spans="1:117" ht="15" customHeight="1">
      <c r="A139" s="25">
        <f>ROW()-2</f>
        <v>137</v>
      </c>
      <c r="B139" s="26">
        <v>250103</v>
      </c>
      <c r="C139" s="27" t="s">
        <v>1762</v>
      </c>
      <c r="D139" s="27"/>
      <c r="E139" s="27" t="s">
        <v>239</v>
      </c>
      <c r="F139" s="27" t="s">
        <v>196</v>
      </c>
      <c r="G139" s="27" t="s">
        <v>240</v>
      </c>
      <c r="H139" s="27" t="s">
        <v>217</v>
      </c>
      <c r="I139" s="27" t="s">
        <v>479</v>
      </c>
      <c r="J139" s="27" t="str">
        <f>+VLOOKUP($I139,[1]프로젝트현황!$I:$N,5,0)</f>
        <v>경기도</v>
      </c>
      <c r="K139" s="27" t="str">
        <f>+VLOOKUP($I139,[1]프로젝트현황!$I:$N,6,0)</f>
        <v>성남시</v>
      </c>
      <c r="L139" s="28">
        <v>45663</v>
      </c>
      <c r="M139" s="28">
        <v>45663</v>
      </c>
      <c r="N139" s="28"/>
      <c r="O139" s="29"/>
      <c r="P139" s="30" t="s">
        <v>1763</v>
      </c>
      <c r="Q139" s="27" t="s">
        <v>1764</v>
      </c>
      <c r="R139" s="31" t="str">
        <f>LEFT(Q139,6)</f>
        <v>910518</v>
      </c>
      <c r="S139" s="31" t="str">
        <f>MID($Q139,3,2)</f>
        <v>05</v>
      </c>
      <c r="T139" s="31" t="str">
        <f>IF(OR(MID($Q139,8,1)="1",MID($Q139,8,1)="3"),"남자",IF(OR(MID($Q139,8,1)="2",MID($Q139,8,1)="4"),"여자",""))</f>
        <v>남자</v>
      </c>
      <c r="U139" s="31">
        <f ca="1">YEAR(TODAY())-IF(OR(MID($Q139,8,1)="1",MID($Q139,8,1)="2"),19&amp;LEFT($Q139,2),IF(OR(MID($Q139,8,1)="3",MID($Q139,8,1)="4"),20&amp;LEFT($Q139,2),""))+1</f>
        <v>36</v>
      </c>
      <c r="V139" s="31" t="s">
        <v>200</v>
      </c>
      <c r="W139" s="31" t="s">
        <v>201</v>
      </c>
      <c r="X139" s="27" t="s">
        <v>1765</v>
      </c>
      <c r="Y139" s="27"/>
      <c r="Z139" s="27"/>
      <c r="AA139" s="32"/>
      <c r="AB139" s="31" t="s">
        <v>203</v>
      </c>
      <c r="AC139" s="27"/>
      <c r="AD139" s="33" t="str">
        <f ca="1">QUOTIENT(SUMPRODUCT(LEFT($AE139:$AF139,FIND("년",$AE139:$AF139)-1)*12+MID($AE139:$AF139,FIND("년",$AE139:$AF139)+1,FIND("개월",$AE139:$AF139)-FIND("년",$AE139:$AF139)-1)),12)&amp;"년"&amp;MOD(SUMPRODUCT(LEFT($AE139:$AF139,FIND("년",$AE139:$AF139)-1)*12+MID($AE139:$AF139,FIND("년",$AE139:$AF139)+1,FIND("개월",$AE139:$AF139)-FIND("년",$AE139:$AF139)-1)),12)&amp;"개월"</f>
        <v>4년5개월</v>
      </c>
      <c r="AE139" s="33" t="s">
        <v>1515</v>
      </c>
      <c r="AF139" s="34" t="str">
        <f ca="1">DATEDIF($L139,TODAY(),"y")&amp;"년"&amp;DATEDIF($L139,TODAY(),"ym")&amp;"개월"</f>
        <v>1년1개월</v>
      </c>
      <c r="AG139" s="35" t="s">
        <v>1766</v>
      </c>
      <c r="AH139" s="35" t="s">
        <v>1767</v>
      </c>
      <c r="AI139" s="30" t="s">
        <v>270</v>
      </c>
      <c r="AJ139" s="32">
        <v>42419</v>
      </c>
      <c r="AK139" s="36">
        <f ca="1">VALUE(LEFT($AD139,FIND("년",$AD139)-1))</f>
        <v>4</v>
      </c>
      <c r="AL139" s="31" t="str">
        <f ca="1">IF($AI139="학사",IF($AK139&lt;=8,"초급",IF($AK139&lt;12,"중급",IF($AK139&lt;15,"고급",IF($AK139&gt;=15,"특급")))))</f>
        <v>초급</v>
      </c>
      <c r="AM139" s="31" t="str">
        <f>IF(ISNUMBER(SEARCH("산업기사",$AT139)),IF($AK139&gt;=13,"특급",IF($AK139&gt;=10,"고급",IF($AK139&gt;=7,"중급","초급"))),IF(ISNUMBER(SEARCH("기사",$AR139)),IF($AK139&gt;=10,"특급",IF($AK139&gt;=7,"고급",IF($AK139&gt;=4,"중급","초급"))),"미해당"))</f>
        <v>미해당</v>
      </c>
      <c r="AN139" s="27"/>
      <c r="AO139" s="32"/>
      <c r="AP139" s="27"/>
      <c r="AQ139" s="32"/>
      <c r="AR139" s="27"/>
      <c r="AS139" s="27"/>
      <c r="AT139" s="37"/>
      <c r="AU139" s="27"/>
      <c r="AV139" s="38"/>
      <c r="AW139" s="39"/>
      <c r="AX139" s="39"/>
      <c r="AY139" s="40" t="s">
        <v>251</v>
      </c>
      <c r="AZ139" s="41" t="s">
        <v>252</v>
      </c>
      <c r="BA139" s="30" t="s">
        <v>230</v>
      </c>
      <c r="BB139" s="30" t="s">
        <v>1768</v>
      </c>
      <c r="BC139" s="42" t="s">
        <v>1769</v>
      </c>
      <c r="BD139" s="42" t="s">
        <v>1770</v>
      </c>
      <c r="BE139" s="43" t="s">
        <v>1771</v>
      </c>
      <c r="BF139" s="42" t="s">
        <v>1688</v>
      </c>
      <c r="BG139" s="42" t="s">
        <v>385</v>
      </c>
      <c r="BH139" s="35"/>
      <c r="BI139" s="44" t="s">
        <v>1772</v>
      </c>
      <c r="BJ139" s="45" t="str">
        <f>IFERROR(VLOOKUP($BG139,[1]프로젝트현황!Y:Z,2,0),"기타")</f>
        <v>동남권</v>
      </c>
      <c r="BK139" s="46" t="str">
        <f>(IF(BF139="","",BF139&amp;" "))&amp;(IF(BG139="","",BG139&amp;" "))&amp;(IF(BH139="","",BH139&amp;" "))&amp;BI139</f>
        <v>서울특별시 서초구 언남길 49, 405호</v>
      </c>
      <c r="BL139" s="47">
        <v>30</v>
      </c>
      <c r="BM139" s="47">
        <v>30</v>
      </c>
      <c r="BN139" s="48">
        <v>32000000</v>
      </c>
      <c r="BO139" s="48">
        <f>BP139*12</f>
        <v>32000094</v>
      </c>
      <c r="BP139" s="49">
        <f>SUM(BQ139:BS139)</f>
        <v>2666674.5</v>
      </c>
      <c r="BQ139" s="49">
        <f>ROUNDUP(BN139/12*209/(209+BU139*1.5)/BL139*BM139,-1)-BS139</f>
        <v>1968620</v>
      </c>
      <c r="BR139" s="49">
        <f>ROUNDUP(BN139/12*(BU139*1.5)/(209+BU139*1.5)/BL139*BM139,1)</f>
        <v>498054.5</v>
      </c>
      <c r="BS139" s="49">
        <v>200000</v>
      </c>
      <c r="BT139" s="50">
        <v>209</v>
      </c>
      <c r="BU139" s="49">
        <f>IF($BN139="","",
IFERROR(
    IF($BN139&lt;'[1]시간외시간 기준표'!$B$2,0,
        IF($BN139&gt;LOOKUP(9.9E+307,'[1]시간외시간 기준표'!$B$2:$B$999),
            LOOKUP(9.9E+307,'[1]시간외시간 기준표'!$C$2:$C$999),
            LOOKUP($BN139,'[1]시간외시간 기준표'!$B$2:$B$999,'[1]시간외시간 기준표'!$C$2:$C$999)
        )
    ),0)
)</f>
        <v>32</v>
      </c>
      <c r="BV139" s="50">
        <f>(BQ139+BS139)/209</f>
        <v>10376.172248803829</v>
      </c>
      <c r="BW139" s="51">
        <v>30</v>
      </c>
      <c r="BX139" s="51">
        <v>30</v>
      </c>
      <c r="BY139" s="52">
        <v>32000000</v>
      </c>
      <c r="BZ139" s="52">
        <f>CA139*12</f>
        <v>32000116.799999997</v>
      </c>
      <c r="CA139" s="49">
        <f>SUM(CB139:CD139)</f>
        <v>2666676.4</v>
      </c>
      <c r="CB139" s="49">
        <f>ROUNDUP(BY139/12*209/(209+CF139*1.5)/BW139*BX139,-1)-CD139</f>
        <v>1907130</v>
      </c>
      <c r="CC139" s="49">
        <f>ROUNDUP(BY139/12*(CF139*1.5)/(209+CF139*1.5)/BW139*BX139,1)</f>
        <v>559546.4</v>
      </c>
      <c r="CD139" s="49">
        <v>200000</v>
      </c>
      <c r="CE139" s="50">
        <v>209</v>
      </c>
      <c r="CF139" s="49">
        <f>IF(BY139&lt;26000000,0,IF(BY139&lt;26500000,4,IF(BY139&lt;27000000,7,IF(BY139&lt;27500000,9,IF(BY139&lt;28000000,11,IF(BY139&lt;28500000,15,IF(BY139&lt;29000000,17,IF(BY139&lt;29500000,20,IF(BY139&lt;30000000,23,IF(BY139&lt;30500000,25,IF(BY139&lt;31000000,27,IF(BY139&lt;31500000,29,IF(BY139&lt;32000000,33,IF(BY139&lt;32500000,37,IF(BY139&lt;33000000,39,IF(BY139&lt;33500000,42,IF(BY139&lt;34000000,45,IF(BY139&lt;34500000,48,IF(BY139&lt;35000000,52,52)))))))))))))))))))</f>
        <v>37</v>
      </c>
      <c r="CG139" s="50">
        <f>(CB139+CD139)/209</f>
        <v>10081.961722488039</v>
      </c>
      <c r="CH139" s="51">
        <v>30</v>
      </c>
      <c r="CI139" s="51">
        <v>30</v>
      </c>
      <c r="CJ139" s="52">
        <v>32000000</v>
      </c>
      <c r="CK139" s="52">
        <f>CL139*12</f>
        <v>32000116.799999997</v>
      </c>
      <c r="CL139" s="49">
        <f>SUM(CM139:CO139)</f>
        <v>2666676.4</v>
      </c>
      <c r="CM139" s="49">
        <f>ROUNDUP(CJ139/12*209/(209+CQ139*1.5)/CH139*CI139,-1)-CO139</f>
        <v>1907130</v>
      </c>
      <c r="CN139" s="49">
        <f>ROUNDUP(CJ139/12*(CQ139*1.5)/(209+CQ139*1.5)/CH139*CI139,1)</f>
        <v>559546.4</v>
      </c>
      <c r="CO139" s="50">
        <v>200000</v>
      </c>
      <c r="CP139" s="50">
        <v>209</v>
      </c>
      <c r="CQ139" s="50">
        <f>IF(CJ139&lt;26000000,0,IF(CJ139&lt;26500000,4,IF(CJ139&lt;27000000,7,IF(CJ139&lt;27500000,9,IF(CJ139&lt;28000000,11,IF(CJ139&lt;28500000,15,IF(CJ139&lt;29000000,17,IF(CJ139&lt;29500000,20,IF(CJ139&lt;30000000,23,IF(CJ139&lt;30500000,25,IF(CJ139&lt;31000000,27,IF(CJ139&lt;31500000,29,IF(CJ139&lt;32000000,33,IF(CJ139&lt;32500000,37,IF(CJ139&lt;33000000,39,IF(CJ139&lt;33500000,42,IF(CJ139&lt;34000000,45,IF(CJ139&lt;34500000,48,IF(CJ139&lt;35000000,52,52)))))))))))))))))))</f>
        <v>37</v>
      </c>
      <c r="CR139" s="50">
        <f>(CM139+CO139)/209</f>
        <v>10081.961722488039</v>
      </c>
      <c r="CS139" s="52"/>
      <c r="CT139" s="53"/>
      <c r="CU139" s="53"/>
      <c r="CV139" s="53"/>
      <c r="CW139" s="54"/>
      <c r="CX139" s="54"/>
      <c r="CY139" s="54"/>
      <c r="CZ139" s="55"/>
      <c r="DA139" s="55"/>
      <c r="DB139" s="56"/>
      <c r="DC139" s="57"/>
      <c r="DD139" s="58"/>
      <c r="DE139" s="58"/>
      <c r="DF139" s="57"/>
      <c r="DG139" s="59">
        <f>B139</f>
        <v>250103</v>
      </c>
      <c r="DH139" s="58"/>
      <c r="DI139" s="58"/>
      <c r="DJ139" s="60"/>
      <c r="DK139" s="58"/>
      <c r="DL139" s="61"/>
      <c r="DM139" s="24"/>
    </row>
    <row r="140" spans="1:117" ht="15" customHeight="1">
      <c r="A140" s="25">
        <f>ROW()-2</f>
        <v>138</v>
      </c>
      <c r="B140" s="26">
        <v>250104</v>
      </c>
      <c r="C140" s="27" t="s">
        <v>1773</v>
      </c>
      <c r="D140" s="27" t="s">
        <v>282</v>
      </c>
      <c r="E140" s="27" t="s">
        <v>283</v>
      </c>
      <c r="F140" s="27" t="s">
        <v>196</v>
      </c>
      <c r="G140" s="27" t="s">
        <v>240</v>
      </c>
      <c r="H140" s="27" t="s">
        <v>241</v>
      </c>
      <c r="I140" s="27" t="s">
        <v>1774</v>
      </c>
      <c r="J140" s="27" t="str">
        <f>+VLOOKUP($I140,[1]프로젝트현황!$I:$N,5,0)</f>
        <v>서울시</v>
      </c>
      <c r="K140" s="27" t="str">
        <f>+VLOOKUP($I140,[1]프로젝트현황!$I:$N,6,0)</f>
        <v>서초구</v>
      </c>
      <c r="L140" s="28">
        <v>45663</v>
      </c>
      <c r="M140" s="28">
        <v>45663</v>
      </c>
      <c r="N140" s="28"/>
      <c r="O140" s="29"/>
      <c r="P140" s="30" t="s">
        <v>1775</v>
      </c>
      <c r="Q140" s="27" t="s">
        <v>1776</v>
      </c>
      <c r="R140" s="31" t="str">
        <f>LEFT(Q140,6)</f>
        <v>801024</v>
      </c>
      <c r="S140" s="31" t="str">
        <f>MID($Q140,3,2)</f>
        <v>10</v>
      </c>
      <c r="T140" s="31" t="str">
        <f>IF(OR(MID($Q140,8,1)="1",MID($Q140,8,1)="3"),"남자",IF(OR(MID($Q140,8,1)="2",MID($Q140,8,1)="4"),"여자",""))</f>
        <v>남자</v>
      </c>
      <c r="U140" s="31">
        <f ca="1">YEAR(TODAY())-IF(OR(MID($Q140,8,1)="1",MID($Q140,8,1)="2"),19&amp;LEFT($Q140,2),IF(OR(MID($Q140,8,1)="3",MID($Q140,8,1)="4"),20&amp;LEFT($Q140,2),""))+1</f>
        <v>47</v>
      </c>
      <c r="V140" s="31" t="s">
        <v>200</v>
      </c>
      <c r="W140" s="31" t="s">
        <v>201</v>
      </c>
      <c r="X140" s="27" t="s">
        <v>1777</v>
      </c>
      <c r="Y140" s="27"/>
      <c r="Z140" s="27"/>
      <c r="AA140" s="32"/>
      <c r="AB140" s="31" t="s">
        <v>203</v>
      </c>
      <c r="AC140" s="27"/>
      <c r="AD140" s="33" t="str">
        <f ca="1">QUOTIENT(SUMPRODUCT(LEFT($AE140:$AF140,FIND("년",$AE140:$AF140)-1)*12+MID($AE140:$AF140,FIND("년",$AE140:$AF140)+1,FIND("개월",$AE140:$AF140)-FIND("년",$AE140:$AF140)-1)),12)&amp;"년"&amp;MOD(SUMPRODUCT(LEFT($AE140:$AF140,FIND("년",$AE140:$AF140)-1)*12+MID($AE140:$AF140,FIND("년",$AE140:$AF140)+1,FIND("개월",$AE140:$AF140)-FIND("년",$AE140:$AF140)-1)),12)&amp;"개월"</f>
        <v>16년8개월</v>
      </c>
      <c r="AE140" s="33" t="s">
        <v>1778</v>
      </c>
      <c r="AF140" s="34" t="str">
        <f ca="1">DATEDIF($L140,TODAY(),"y")&amp;"년"&amp;DATEDIF($L140,TODAY(),"ym")&amp;"개월"</f>
        <v>1년1개월</v>
      </c>
      <c r="AG140" s="35" t="s">
        <v>691</v>
      </c>
      <c r="AH140" s="35" t="s">
        <v>588</v>
      </c>
      <c r="AI140" s="30" t="s">
        <v>270</v>
      </c>
      <c r="AJ140" s="32">
        <v>39136</v>
      </c>
      <c r="AK140" s="36">
        <f ca="1">VALUE(LEFT($AD140,FIND("년",$AD140)-1))</f>
        <v>16</v>
      </c>
      <c r="AL140" s="31" t="str">
        <f ca="1">IF($AI140="학사",IF($AK140&lt;=8,"초급",IF($AK140&lt;12,"중급",IF($AK140&lt;15,"고급",IF($AK140&gt;=15,"특급")))))</f>
        <v>특급</v>
      </c>
      <c r="AM140" s="31" t="str">
        <f>IF(ISNUMBER(SEARCH("산업기사",$AT140)),IF($AK140&gt;=13,"특급",IF($AK140&gt;=10,"고급",IF($AK140&gt;=7,"중급","초급"))),IF(ISNUMBER(SEARCH("기사",$AR140)),IF($AK140&gt;=10,"특급",IF($AK140&gt;=7,"고급",IF($AK140&gt;=4,"중급","초급"))),"미해당"))</f>
        <v>미해당</v>
      </c>
      <c r="AN140" s="27"/>
      <c r="AO140" s="32"/>
      <c r="AP140" s="27"/>
      <c r="AQ140" s="32"/>
      <c r="AR140" s="27"/>
      <c r="AS140" s="27"/>
      <c r="AT140" s="37"/>
      <c r="AU140" s="27"/>
      <c r="AV140" s="38"/>
      <c r="AW140" s="39"/>
      <c r="AX140" s="39"/>
      <c r="AY140" s="40" t="s">
        <v>251</v>
      </c>
      <c r="AZ140" s="41" t="s">
        <v>252</v>
      </c>
      <c r="BA140" s="30" t="s">
        <v>230</v>
      </c>
      <c r="BB140" s="30" t="s">
        <v>1779</v>
      </c>
      <c r="BC140" s="42"/>
      <c r="BD140" s="42"/>
      <c r="BE140" s="43" t="s">
        <v>1780</v>
      </c>
      <c r="BF140" s="42" t="s">
        <v>234</v>
      </c>
      <c r="BG140" s="42" t="s">
        <v>355</v>
      </c>
      <c r="BH140" s="35" t="s">
        <v>356</v>
      </c>
      <c r="BI140" s="44" t="s">
        <v>1781</v>
      </c>
      <c r="BJ140" s="45" t="str">
        <f>IFERROR(VLOOKUP($BG140,[1]프로젝트현황!Y:Z,2,0),"기타")</f>
        <v>서남권</v>
      </c>
      <c r="BK140" s="46" t="str">
        <f>(IF(BF140="","",BF140&amp;" "))&amp;(IF(BG140="","",BG140&amp;" "))&amp;(IF(BH140="","",BH140&amp;" "))&amp;BI140</f>
        <v>경기도 부천시 원미구 도약로 146, 208동 2005호 (중동, 덕유마을)</v>
      </c>
      <c r="BL140" s="47">
        <v>30</v>
      </c>
      <c r="BM140" s="47">
        <v>30</v>
      </c>
      <c r="BN140" s="48">
        <v>51400000</v>
      </c>
      <c r="BO140" s="48">
        <f>BP140*12</f>
        <v>51400098</v>
      </c>
      <c r="BP140" s="49">
        <f>SUM(BQ140:BS140)</f>
        <v>4283341.5</v>
      </c>
      <c r="BQ140" s="49">
        <f>ROUNDUP(BN140/12*209/(209+BU140*1.5)/BL140*BM140,-1)-BS140</f>
        <v>2919230</v>
      </c>
      <c r="BR140" s="49">
        <f>ROUNDUP(BN140/12*(BU140*1.5)/(209+BU140*1.5)/BL140*BM140,1)</f>
        <v>1164111.5</v>
      </c>
      <c r="BS140" s="49">
        <v>200000</v>
      </c>
      <c r="BT140" s="50">
        <v>209</v>
      </c>
      <c r="BU140" s="49">
        <f>IF($BN140="","",
IFERROR(
    IF($BN140&lt;'[1]시간외시간 기준표'!$B$2,0,
        IF($BN140&gt;LOOKUP(9.9E+307,'[1]시간외시간 기준표'!$B$2:$B$999),
            LOOKUP(9.9E+307,'[1]시간외시간 기준표'!$C$2:$C$999),
            LOOKUP($BN140,'[1]시간외시간 기준표'!$B$2:$B$999,'[1]시간외시간 기준표'!$C$2:$C$999)
        )
    ),0)
)</f>
        <v>52</v>
      </c>
      <c r="BV140" s="50">
        <f>(BQ140+BS140)/209</f>
        <v>14924.545454545454</v>
      </c>
      <c r="BW140" s="51">
        <v>30</v>
      </c>
      <c r="BX140" s="51">
        <v>30</v>
      </c>
      <c r="BY140" s="52">
        <v>51400000</v>
      </c>
      <c r="BZ140" s="52">
        <f>CA140*12</f>
        <v>51400098</v>
      </c>
      <c r="CA140" s="49">
        <f>SUM(CB140:CD140)</f>
        <v>4283341.5</v>
      </c>
      <c r="CB140" s="49">
        <f>ROUNDUP(BY140/12*209/(209+CF140*1.5)/BW140*BX140,-1)-CD140</f>
        <v>2919230</v>
      </c>
      <c r="CC140" s="49">
        <f>ROUNDUP(BY140/12*(CF140*1.5)/(209+CF140*1.5)/BW140*BX140,1)</f>
        <v>1164111.5</v>
      </c>
      <c r="CD140" s="49">
        <v>200000</v>
      </c>
      <c r="CE140" s="50">
        <v>209</v>
      </c>
      <c r="CF140" s="49">
        <f>IF(BY140&lt;26000000,0,IF(BY140&lt;26500000,4,IF(BY140&lt;27000000,7,IF(BY140&lt;27500000,9,IF(BY140&lt;28000000,11,IF(BY140&lt;28500000,15,IF(BY140&lt;29000000,17,IF(BY140&lt;29500000,20,IF(BY140&lt;30000000,23,IF(BY140&lt;30500000,25,IF(BY140&lt;31000000,27,IF(BY140&lt;31500000,29,IF(BY140&lt;32000000,33,IF(BY140&lt;32500000,37,IF(BY140&lt;33000000,39,IF(BY140&lt;33500000,42,IF(BY140&lt;34000000,45,IF(BY140&lt;34500000,48,IF(BY140&lt;35000000,52,52)))))))))))))))))))</f>
        <v>52</v>
      </c>
      <c r="CG140" s="50">
        <f>(CB140+CD140)/209</f>
        <v>14924.545454545454</v>
      </c>
      <c r="CH140" s="51">
        <v>30</v>
      </c>
      <c r="CI140" s="51">
        <v>30</v>
      </c>
      <c r="CJ140" s="52">
        <v>51400000</v>
      </c>
      <c r="CK140" s="52">
        <f>CL140*12</f>
        <v>51400098</v>
      </c>
      <c r="CL140" s="49">
        <f>SUM(CM140:CO140)</f>
        <v>4283341.5</v>
      </c>
      <c r="CM140" s="49">
        <f>ROUNDUP(CJ140/12*209/(209+CQ140*1.5)/CH140*CI140,-1)-CO140</f>
        <v>2919230</v>
      </c>
      <c r="CN140" s="49">
        <f>ROUNDUP(CJ140/12*(CQ140*1.5)/(209+CQ140*1.5)/CH140*CI140,1)</f>
        <v>1164111.5</v>
      </c>
      <c r="CO140" s="50">
        <v>200000</v>
      </c>
      <c r="CP140" s="50">
        <v>209</v>
      </c>
      <c r="CQ140" s="50">
        <f>IF(CJ140&lt;26000000,0,IF(CJ140&lt;26500000,4,IF(CJ140&lt;27000000,7,IF(CJ140&lt;27500000,9,IF(CJ140&lt;28000000,11,IF(CJ140&lt;28500000,15,IF(CJ140&lt;29000000,17,IF(CJ140&lt;29500000,20,IF(CJ140&lt;30000000,23,IF(CJ140&lt;30500000,25,IF(CJ140&lt;31000000,27,IF(CJ140&lt;31500000,29,IF(CJ140&lt;32000000,33,IF(CJ140&lt;32500000,37,IF(CJ140&lt;33000000,39,IF(CJ140&lt;33500000,42,IF(CJ140&lt;34000000,45,IF(CJ140&lt;34500000,48,IF(CJ140&lt;35000000,52,52)))))))))))))))))))</f>
        <v>52</v>
      </c>
      <c r="CR140" s="50">
        <f>(CM140+CO140)/209</f>
        <v>14924.545454545454</v>
      </c>
      <c r="CS140" s="52"/>
      <c r="CT140" s="53"/>
      <c r="CU140" s="53"/>
      <c r="CV140" s="53"/>
      <c r="CW140" s="54"/>
      <c r="CX140" s="54"/>
      <c r="CY140" s="54"/>
      <c r="CZ140" s="55"/>
      <c r="DA140" s="55"/>
      <c r="DB140" s="56"/>
      <c r="DC140" s="57"/>
      <c r="DD140" s="58"/>
      <c r="DE140" s="58"/>
      <c r="DF140" s="57"/>
      <c r="DG140" s="59">
        <f>B140</f>
        <v>250104</v>
      </c>
      <c r="DH140" s="58"/>
      <c r="DI140" s="58"/>
      <c r="DJ140" s="60"/>
      <c r="DK140" s="58"/>
      <c r="DL140" s="61"/>
      <c r="DM140" s="24"/>
    </row>
    <row r="141" spans="1:117" s="63" customFormat="1" ht="15" customHeight="1">
      <c r="A141" s="25">
        <f>ROW()-2</f>
        <v>139</v>
      </c>
      <c r="B141" s="26">
        <v>250105</v>
      </c>
      <c r="C141" s="27" t="s">
        <v>1782</v>
      </c>
      <c r="D141" s="27"/>
      <c r="E141" s="27" t="s">
        <v>239</v>
      </c>
      <c r="F141" s="27" t="s">
        <v>196</v>
      </c>
      <c r="G141" s="27" t="s">
        <v>493</v>
      </c>
      <c r="H141" s="27" t="s">
        <v>494</v>
      </c>
      <c r="I141" s="27" t="s">
        <v>494</v>
      </c>
      <c r="J141" s="27" t="str">
        <f>+VLOOKUP($I141,[1]프로젝트현황!$I:$N,5,0)</f>
        <v>서울시</v>
      </c>
      <c r="K141" s="27" t="str">
        <f>+VLOOKUP($I141,[1]프로젝트현황!$I:$N,6,0)</f>
        <v>강남구</v>
      </c>
      <c r="L141" s="28">
        <v>45665</v>
      </c>
      <c r="M141" s="28">
        <v>45665</v>
      </c>
      <c r="N141" s="28"/>
      <c r="O141" s="29"/>
      <c r="P141" s="30" t="s">
        <v>1783</v>
      </c>
      <c r="Q141" s="27" t="s">
        <v>1784</v>
      </c>
      <c r="R141" s="31" t="str">
        <f>LEFT(Q141,6)</f>
        <v>970910</v>
      </c>
      <c r="S141" s="31" t="str">
        <f>MID($Q141,3,2)</f>
        <v>09</v>
      </c>
      <c r="T141" s="31" t="str">
        <f>IF(OR(MID($Q141,8,1)="1",MID($Q141,8,1)="3"),"남자",IF(OR(MID($Q141,8,1)="2",MID($Q141,8,1)="4"),"여자",""))</f>
        <v>여자</v>
      </c>
      <c r="U141" s="31">
        <f ca="1">YEAR(TODAY())-IF(OR(MID($Q141,8,1)="1",MID($Q141,8,1)="2"),19&amp;LEFT($Q141,2),IF(OR(MID($Q141,8,1)="3",MID($Q141,8,1)="4"),20&amp;LEFT($Q141,2),""))+1</f>
        <v>30</v>
      </c>
      <c r="V141" s="31" t="s">
        <v>200</v>
      </c>
      <c r="W141" s="31" t="s">
        <v>201</v>
      </c>
      <c r="X141" s="27" t="s">
        <v>1785</v>
      </c>
      <c r="Y141" s="27"/>
      <c r="Z141" s="27"/>
      <c r="AA141" s="32"/>
      <c r="AB141" s="31" t="s">
        <v>203</v>
      </c>
      <c r="AC141" s="27"/>
      <c r="AD141" s="33" t="str">
        <f ca="1">QUOTIENT(SUMPRODUCT(LEFT($AE141:$AF141,FIND("년",$AE141:$AF141)-1)*12+MID($AE141:$AF141,FIND("년",$AE141:$AF141)+1,FIND("개월",$AE141:$AF141)-FIND("년",$AE141:$AF141)-1)),12)&amp;"년"&amp;MOD(SUMPRODUCT(LEFT($AE141:$AF141,FIND("년",$AE141:$AF141)-1)*12+MID($AE141:$AF141,FIND("년",$AE141:$AF141)+1,FIND("개월",$AE141:$AF141)-FIND("년",$AE141:$AF141)-1)),12)&amp;"개월"</f>
        <v>4년4개월</v>
      </c>
      <c r="AE141" s="33" t="s">
        <v>1786</v>
      </c>
      <c r="AF141" s="34" t="str">
        <f ca="1">DATEDIF($L141,TODAY(),"y")&amp;"년"&amp;DATEDIF($L141,TODAY(),"ym")&amp;"개월"</f>
        <v>1년1개월</v>
      </c>
      <c r="AG141" s="35" t="s">
        <v>1787</v>
      </c>
      <c r="AH141" s="35" t="s">
        <v>1788</v>
      </c>
      <c r="AI141" s="30" t="s">
        <v>270</v>
      </c>
      <c r="AJ141" s="32">
        <v>43882</v>
      </c>
      <c r="AK141" s="36">
        <f ca="1">VALUE(LEFT($AD141,FIND("년",$AD141)-1))</f>
        <v>4</v>
      </c>
      <c r="AL141" s="31" t="str">
        <f ca="1">IF($AI141="학사",IF($AK141&lt;=8,"초급",IF($AK141&lt;12,"중급",IF($AK141&lt;15,"고급",IF($AK141&gt;=15,"특급")))))</f>
        <v>초급</v>
      </c>
      <c r="AM141" s="31" t="str">
        <f>IF(ISNUMBER(SEARCH("산업기사",$AT141)),IF($AK141&gt;=13,"특급",IF($AK141&gt;=10,"고급",IF($AK141&gt;=7,"중급","초급"))),IF(ISNUMBER(SEARCH("기사",$AR141)),IF($AK141&gt;=10,"특급",IF($AK141&gt;=7,"고급",IF($AK141&gt;=4,"중급","초급"))),"미해당"))</f>
        <v>미해당</v>
      </c>
      <c r="AN141" s="27"/>
      <c r="AO141" s="32"/>
      <c r="AP141" s="27"/>
      <c r="AQ141" s="32"/>
      <c r="AR141" s="27"/>
      <c r="AS141" s="32"/>
      <c r="AT141" s="37"/>
      <c r="AU141" s="27"/>
      <c r="AV141" s="38" t="s">
        <v>1613</v>
      </c>
      <c r="AW141" s="39"/>
      <c r="AX141" s="39"/>
      <c r="AY141" s="40" t="s">
        <v>251</v>
      </c>
      <c r="AZ141" s="41" t="s">
        <v>252</v>
      </c>
      <c r="BA141" s="30" t="s">
        <v>230</v>
      </c>
      <c r="BB141" s="30" t="s">
        <v>1789</v>
      </c>
      <c r="BC141" s="42"/>
      <c r="BD141" s="42"/>
      <c r="BE141" s="43" t="s">
        <v>1790</v>
      </c>
      <c r="BF141" s="42" t="s">
        <v>1688</v>
      </c>
      <c r="BG141" s="42" t="s">
        <v>899</v>
      </c>
      <c r="BH141" s="35"/>
      <c r="BI141" s="44" t="s">
        <v>1791</v>
      </c>
      <c r="BJ141" s="45" t="str">
        <f>IFERROR(VLOOKUP($BG141,[1]프로젝트현황!Y:Z,2,0),"기타")</f>
        <v>서남권</v>
      </c>
      <c r="BK141" s="46" t="str">
        <f>(IF(BF141="","",BF141&amp;" "))&amp;(IF(BG141="","",BG141&amp;" "))&amp;(IF(BH141="","",BH141&amp;" "))&amp;BI141</f>
        <v>서울특별시 동작구 사당로26길 90, 905호(사당동, 감골)</v>
      </c>
      <c r="BL141" s="47">
        <v>30</v>
      </c>
      <c r="BM141" s="47">
        <v>30</v>
      </c>
      <c r="BN141" s="48">
        <v>40000000</v>
      </c>
      <c r="BO141" s="48">
        <f>BP141*12</f>
        <v>40000000.799999997</v>
      </c>
      <c r="BP141" s="49">
        <f>SUM(BQ141:BS141)</f>
        <v>3333333.4</v>
      </c>
      <c r="BQ141" s="49">
        <f>ROUNDUP(BN141/12*209/(209+BU141*1.5)/BL141*BM141,-1)-BS141</f>
        <v>2227410</v>
      </c>
      <c r="BR141" s="49">
        <f>ROUNDUP(BN141/12*(BU141*1.5)/(209+BU141*1.5)/BL141*BM141,1)</f>
        <v>905923.4</v>
      </c>
      <c r="BS141" s="49">
        <v>200000</v>
      </c>
      <c r="BT141" s="50">
        <v>209</v>
      </c>
      <c r="BU141" s="49">
        <f>IF($BN141="","",
IFERROR(
    IF($BN141&lt;'[1]시간외시간 기준표'!$B$2,0,
        IF($BN141&gt;LOOKUP(9.9E+307,'[1]시간외시간 기준표'!$B$2:$B$999),
            LOOKUP(9.9E+307,'[1]시간외시간 기준표'!$C$2:$C$999),
            LOOKUP($BN141,'[1]시간외시간 기준표'!$B$2:$B$999,'[1]시간외시간 기준표'!$C$2:$C$999)
        )
    ),0)
)</f>
        <v>52</v>
      </c>
      <c r="BV141" s="50">
        <f>(BQ141+BS141)/209</f>
        <v>11614.401913875598</v>
      </c>
      <c r="BW141" s="51">
        <v>30</v>
      </c>
      <c r="BX141" s="51">
        <v>30</v>
      </c>
      <c r="BY141" s="52">
        <v>40000000</v>
      </c>
      <c r="BZ141" s="52">
        <f>CA141*12</f>
        <v>40000000.799999997</v>
      </c>
      <c r="CA141" s="49">
        <f>SUM(CB141:CD141)</f>
        <v>3333333.4</v>
      </c>
      <c r="CB141" s="49">
        <f>ROUNDUP(BY141/12*209/(209+CF141*1.5)/BW141*BX141,-1)-CD141</f>
        <v>2227410</v>
      </c>
      <c r="CC141" s="49">
        <f>ROUNDUP(BY141/12*(CF141*1.5)/(209+CF141*1.5)/BW141*BX141,1)</f>
        <v>905923.4</v>
      </c>
      <c r="CD141" s="49">
        <v>200000</v>
      </c>
      <c r="CE141" s="50">
        <v>209</v>
      </c>
      <c r="CF141" s="49">
        <f>IF(BY141&lt;26000000,0,IF(BY141&lt;26500000,4,IF(BY141&lt;27000000,7,IF(BY141&lt;27500000,9,IF(BY141&lt;28000000,11,IF(BY141&lt;28500000,15,IF(BY141&lt;29000000,17,IF(BY141&lt;29500000,20,IF(BY141&lt;30000000,23,IF(BY141&lt;30500000,25,IF(BY141&lt;31000000,27,IF(BY141&lt;31500000,29,IF(BY141&lt;32000000,33,IF(BY141&lt;32500000,37,IF(BY141&lt;33000000,39,IF(BY141&lt;33500000,42,IF(BY141&lt;34000000,45,IF(BY141&lt;34500000,48,IF(BY141&lt;35000000,52,52)))))))))))))))))))</f>
        <v>52</v>
      </c>
      <c r="CG141" s="50">
        <f>(CB141+CD141)/209</f>
        <v>11614.401913875598</v>
      </c>
      <c r="CH141" s="51">
        <v>30</v>
      </c>
      <c r="CI141" s="51">
        <v>30</v>
      </c>
      <c r="CJ141" s="52">
        <v>40000000</v>
      </c>
      <c r="CK141" s="52">
        <f>CL141*12</f>
        <v>40000000.799999997</v>
      </c>
      <c r="CL141" s="49">
        <f>SUM(CM141:CO141)</f>
        <v>3333333.4</v>
      </c>
      <c r="CM141" s="49">
        <f>ROUNDUP(CJ141/12*209/(209+CQ141*1.5)/CH141*CI141,-1)-CO141</f>
        <v>2227410</v>
      </c>
      <c r="CN141" s="49">
        <f>ROUNDUP(CJ141/12*(CQ141*1.5)/(209+CQ141*1.5)/CH141*CI141,1)</f>
        <v>905923.4</v>
      </c>
      <c r="CO141" s="50">
        <v>200000</v>
      </c>
      <c r="CP141" s="50">
        <v>209</v>
      </c>
      <c r="CQ141" s="50">
        <f>IF(CJ141&lt;26000000,0,IF(CJ141&lt;26500000,4,IF(CJ141&lt;27000000,7,IF(CJ141&lt;27500000,9,IF(CJ141&lt;28000000,11,IF(CJ141&lt;28500000,15,IF(CJ141&lt;29000000,17,IF(CJ141&lt;29500000,20,IF(CJ141&lt;30000000,23,IF(CJ141&lt;30500000,25,IF(CJ141&lt;31000000,27,IF(CJ141&lt;31500000,29,IF(CJ141&lt;32000000,33,IF(CJ141&lt;32500000,37,IF(CJ141&lt;33000000,39,IF(CJ141&lt;33500000,42,IF(CJ141&lt;34000000,45,IF(CJ141&lt;34500000,48,IF(CJ141&lt;35000000,52,52)))))))))))))))))))</f>
        <v>52</v>
      </c>
      <c r="CR141" s="50">
        <f>(CM141+CO141)/209</f>
        <v>11614.401913875598</v>
      </c>
      <c r="CS141" s="52"/>
      <c r="CT141" s="53"/>
      <c r="CU141" s="53"/>
      <c r="CV141" s="53"/>
      <c r="CW141" s="54"/>
      <c r="CX141" s="54"/>
      <c r="CY141" s="54"/>
      <c r="CZ141" s="55"/>
      <c r="DA141" s="55"/>
      <c r="DB141" s="56"/>
      <c r="DC141" s="57"/>
      <c r="DD141" s="58"/>
      <c r="DE141" s="58"/>
      <c r="DF141" s="57"/>
      <c r="DG141" s="59">
        <f>B141</f>
        <v>250105</v>
      </c>
      <c r="DH141" s="58"/>
      <c r="DI141" s="58"/>
      <c r="DJ141" s="60"/>
      <c r="DK141" s="58"/>
      <c r="DL141" s="61"/>
      <c r="DM141" s="24"/>
    </row>
    <row r="142" spans="1:117" ht="15" customHeight="1">
      <c r="A142" s="25">
        <f>ROW()-2</f>
        <v>140</v>
      </c>
      <c r="B142" s="26">
        <v>250106</v>
      </c>
      <c r="C142" s="27" t="s">
        <v>1792</v>
      </c>
      <c r="D142" s="27"/>
      <c r="E142" s="27" t="s">
        <v>613</v>
      </c>
      <c r="F142" s="27" t="s">
        <v>196</v>
      </c>
      <c r="G142" s="27" t="s">
        <v>240</v>
      </c>
      <c r="H142" s="27" t="s">
        <v>241</v>
      </c>
      <c r="I142" s="27" t="s">
        <v>653</v>
      </c>
      <c r="J142" s="27" t="str">
        <f>+VLOOKUP($I142,[1]프로젝트현황!$I:$N,5,0)</f>
        <v>서울시</v>
      </c>
      <c r="K142" s="27" t="str">
        <f>+VLOOKUP($I142,[1]프로젝트현황!$I:$N,6,0)</f>
        <v>강남구</v>
      </c>
      <c r="L142" s="28">
        <v>45672</v>
      </c>
      <c r="M142" s="28">
        <v>45672</v>
      </c>
      <c r="N142" s="28"/>
      <c r="O142" s="29"/>
      <c r="P142" s="30" t="s">
        <v>1793</v>
      </c>
      <c r="Q142" s="27" t="s">
        <v>1794</v>
      </c>
      <c r="R142" s="31" t="str">
        <f>LEFT(Q142,6)</f>
        <v>980620</v>
      </c>
      <c r="S142" s="31" t="str">
        <f>MID($Q142,3,2)</f>
        <v>06</v>
      </c>
      <c r="T142" s="31" t="str">
        <f>IF(OR(MID($Q142,8,1)="1",MID($Q142,8,1)="3"),"남자",IF(OR(MID($Q142,8,1)="2",MID($Q142,8,1)="4"),"여자",""))</f>
        <v>남자</v>
      </c>
      <c r="U142" s="31">
        <f ca="1">YEAR(TODAY())-IF(OR(MID($Q142,8,1)="1",MID($Q142,8,1)="2"),19&amp;LEFT($Q142,2),IF(OR(MID($Q142,8,1)="3",MID($Q142,8,1)="4"),20&amp;LEFT($Q142,2),""))+1</f>
        <v>29</v>
      </c>
      <c r="V142" s="31" t="s">
        <v>200</v>
      </c>
      <c r="W142" s="31" t="s">
        <v>201</v>
      </c>
      <c r="X142" s="27" t="s">
        <v>1795</v>
      </c>
      <c r="Y142" s="27"/>
      <c r="Z142" s="27"/>
      <c r="AA142" s="32"/>
      <c r="AB142" s="31" t="s">
        <v>203</v>
      </c>
      <c r="AC142" s="27"/>
      <c r="AD142" s="33" t="str">
        <f ca="1">QUOTIENT(SUMPRODUCT(LEFT($AE142:$AF142,FIND("년",$AE142:$AF142)-1)*12+MID($AE142:$AF142,FIND("년",$AE142:$AF142)+1,FIND("개월",$AE142:$AF142)-FIND("년",$AE142:$AF142)-1)),12)&amp;"년"&amp;MOD(SUMPRODUCT(LEFT($AE142:$AF142,FIND("년",$AE142:$AF142)-1)*12+MID($AE142:$AF142,FIND("년",$AE142:$AF142)+1,FIND("개월",$AE142:$AF142)-FIND("년",$AE142:$AF142)-1)),12)&amp;"개월"</f>
        <v>3년5개월</v>
      </c>
      <c r="AE142" s="33" t="s">
        <v>1796</v>
      </c>
      <c r="AF142" s="34" t="str">
        <f ca="1">DATEDIF($L142,TODAY(),"y")&amp;"년"&amp;DATEDIF($L142,TODAY(),"ym")&amp;"개월"</f>
        <v>1년0개월</v>
      </c>
      <c r="AG142" s="35" t="s">
        <v>1797</v>
      </c>
      <c r="AH142" s="35" t="s">
        <v>1798</v>
      </c>
      <c r="AI142" s="30" t="s">
        <v>205</v>
      </c>
      <c r="AJ142" s="32">
        <v>43509</v>
      </c>
      <c r="AK142" s="36">
        <f ca="1">VALUE(LEFT($AD142,FIND("년",$AD142)-1))</f>
        <v>3</v>
      </c>
      <c r="AL142" s="31" t="str">
        <f ca="1">IF($AI142="전문학사",IF($AK142&lt;=8,"초급",IF($AK142&lt;12,"중급",IF($AK142&lt;15,"고급",IF($AK142&gt;=15,"특급")))))</f>
        <v>초급</v>
      </c>
      <c r="AM142" s="31" t="str">
        <f>IF(ISNUMBER(SEARCH("산업기사",$AT142)),IF($AK142&gt;=13,"특급",IF($AK142&gt;=10,"고급",IF($AK142&gt;=7,"중급","초급"))),IF(ISNUMBER(SEARCH("기사",$AR142)),IF($AK142&gt;=10,"특급",IF($AK142&gt;=7,"고급",IF($AK142&gt;=4,"중급","초급"))),"미해당"))</f>
        <v>미해당</v>
      </c>
      <c r="AN142" s="27"/>
      <c r="AO142" s="32"/>
      <c r="AP142" s="27"/>
      <c r="AQ142" s="32"/>
      <c r="AR142" s="27"/>
      <c r="AS142" s="27"/>
      <c r="AT142" s="37"/>
      <c r="AU142" s="27"/>
      <c r="AV142" s="38" t="s">
        <v>1799</v>
      </c>
      <c r="AW142" s="39"/>
      <c r="AX142" s="39"/>
      <c r="AY142" s="40" t="s">
        <v>251</v>
      </c>
      <c r="AZ142" s="41" t="s">
        <v>252</v>
      </c>
      <c r="BA142" s="30" t="s">
        <v>230</v>
      </c>
      <c r="BB142" s="30" t="s">
        <v>1800</v>
      </c>
      <c r="BC142" s="42"/>
      <c r="BD142" s="42"/>
      <c r="BE142" s="43" t="s">
        <v>1801</v>
      </c>
      <c r="BF142" s="42" t="s">
        <v>1688</v>
      </c>
      <c r="BG142" s="42" t="s">
        <v>1550</v>
      </c>
      <c r="BH142" s="35"/>
      <c r="BI142" s="44" t="s">
        <v>1802</v>
      </c>
      <c r="BJ142" s="45" t="str">
        <f>IFERROR(VLOOKUP($BG142,[1]프로젝트현황!Y:Z,2,0),"기타")</f>
        <v>동남권</v>
      </c>
      <c r="BK142" s="46" t="str">
        <f>(IF(BF142="","",BF142&amp;" "))&amp;(IF(BG142="","",BG142&amp;" "))&amp;(IF(BH142="","",BH142&amp;" "))&amp;BI142</f>
        <v>서울특별시 강동구 진황도로25길 50, 101호</v>
      </c>
      <c r="BL142" s="47">
        <v>30</v>
      </c>
      <c r="BM142" s="47">
        <v>30</v>
      </c>
      <c r="BN142" s="48">
        <v>30000000</v>
      </c>
      <c r="BO142" s="48">
        <f>BP142*12</f>
        <v>30000109.200000003</v>
      </c>
      <c r="BP142" s="49">
        <f>SUM(BQ142:BS142)</f>
        <v>2500009.1</v>
      </c>
      <c r="BQ142" s="49">
        <f>ROUNDUP(BN142/12*209/(209+BU142*1.5)/BL142*BM142,-1)-BS142</f>
        <v>1959100</v>
      </c>
      <c r="BR142" s="49">
        <f>ROUNDUP(BN142/12*(BU142*1.5)/(209+BU142*1.5)/BL142*BM142,1)</f>
        <v>340909.1</v>
      </c>
      <c r="BS142" s="49">
        <v>200000</v>
      </c>
      <c r="BT142" s="50">
        <v>209</v>
      </c>
      <c r="BU142" s="49">
        <f>IF($BN142="","",
IFERROR(
    IF($BN142&lt;'[1]시간외시간 기준표'!$B$2,0,
        IF($BN142&gt;LOOKUP(9.9E+307,'[1]시간외시간 기준표'!$B$2:$B$999),
            LOOKUP(9.9E+307,'[1]시간외시간 기준표'!$C$2:$C$999),
            LOOKUP($BN142,'[1]시간외시간 기준표'!$B$2:$B$999,'[1]시간외시간 기준표'!$C$2:$C$999)
        )
    ),0)
)</f>
        <v>22</v>
      </c>
      <c r="BV142" s="50">
        <f>(BQ142+BS142)/209</f>
        <v>10330.622009569379</v>
      </c>
      <c r="BW142" s="51">
        <v>30</v>
      </c>
      <c r="BX142" s="51">
        <v>30</v>
      </c>
      <c r="BY142" s="52">
        <v>30000000</v>
      </c>
      <c r="BZ142" s="52">
        <f>CA142*12</f>
        <v>30000055.200000003</v>
      </c>
      <c r="CA142" s="49">
        <f>SUM(CB142:CD142)</f>
        <v>2500004.6</v>
      </c>
      <c r="CB142" s="49">
        <f>ROUNDUP(BY142/12*209/(209+CF142*1.5)/BW142*BX142,-1)-CD142</f>
        <v>1919680</v>
      </c>
      <c r="CC142" s="49">
        <f>ROUNDUP(BY142/12*(CF142*1.5)/(209+CF142*1.5)/BW142*BX142,1)</f>
        <v>380324.6</v>
      </c>
      <c r="CD142" s="49">
        <v>200000</v>
      </c>
      <c r="CE142" s="50">
        <v>209</v>
      </c>
      <c r="CF142" s="49">
        <f>IF(BY142&lt;26000000,0,IF(BY142&lt;26500000,4,IF(BY142&lt;27000000,7,IF(BY142&lt;27500000,9,IF(BY142&lt;28000000,11,IF(BY142&lt;28500000,15,IF(BY142&lt;29000000,17,IF(BY142&lt;29500000,20,IF(BY142&lt;30000000,23,IF(BY142&lt;30500000,25,IF(BY142&lt;31000000,27,IF(BY142&lt;31500000,29,IF(BY142&lt;32000000,33,IF(BY142&lt;32500000,37,IF(BY142&lt;33000000,39,IF(BY142&lt;33500000,42,IF(BY142&lt;34000000,45,IF(BY142&lt;34500000,48,IF(BY142&lt;35000000,52,52)))))))))))))))))))</f>
        <v>25</v>
      </c>
      <c r="CG142" s="50">
        <f>(CB142+CD142)/209</f>
        <v>10142.009569377991</v>
      </c>
      <c r="CH142" s="51">
        <v>30</v>
      </c>
      <c r="CI142" s="51">
        <v>30</v>
      </c>
      <c r="CJ142" s="52">
        <v>30000000</v>
      </c>
      <c r="CK142" s="52">
        <f>CL142*12</f>
        <v>30000055.200000003</v>
      </c>
      <c r="CL142" s="49">
        <f>SUM(CM142:CO142)</f>
        <v>2500004.6</v>
      </c>
      <c r="CM142" s="49">
        <f>ROUNDUP(CJ142/12*209/(209+CQ142*1.5)/CH142*CI142,-1)-CO142</f>
        <v>1919680</v>
      </c>
      <c r="CN142" s="49">
        <f>ROUNDUP(CJ142/12*(CQ142*1.5)/(209+CQ142*1.5)/CH142*CI142,1)</f>
        <v>380324.6</v>
      </c>
      <c r="CO142" s="50">
        <v>200000</v>
      </c>
      <c r="CP142" s="50">
        <v>209</v>
      </c>
      <c r="CQ142" s="50">
        <f>IF(CJ142&lt;26000000,0,IF(CJ142&lt;26500000,4,IF(CJ142&lt;27000000,7,IF(CJ142&lt;27500000,9,IF(CJ142&lt;28000000,11,IF(CJ142&lt;28500000,15,IF(CJ142&lt;29000000,17,IF(CJ142&lt;29500000,20,IF(CJ142&lt;30000000,23,IF(CJ142&lt;30500000,25,IF(CJ142&lt;31000000,27,IF(CJ142&lt;31500000,29,IF(CJ142&lt;32000000,33,IF(CJ142&lt;32500000,37,IF(CJ142&lt;33000000,39,IF(CJ142&lt;33500000,42,IF(CJ142&lt;34000000,45,IF(CJ142&lt;34500000,48,IF(CJ142&lt;35000000,52,52)))))))))))))))))))</f>
        <v>25</v>
      </c>
      <c r="CR142" s="50">
        <f>(CM142+CO142)/209</f>
        <v>10142.009569377991</v>
      </c>
      <c r="CS142" s="52"/>
      <c r="CT142" s="53"/>
      <c r="CU142" s="53"/>
      <c r="CV142" s="53"/>
      <c r="CW142" s="54"/>
      <c r="CX142" s="54"/>
      <c r="CY142" s="54"/>
      <c r="CZ142" s="55"/>
      <c r="DA142" s="55"/>
      <c r="DB142" s="56"/>
      <c r="DC142" s="57"/>
      <c r="DD142" s="58"/>
      <c r="DE142" s="58"/>
      <c r="DF142" s="57"/>
      <c r="DG142" s="59">
        <f>B142</f>
        <v>250106</v>
      </c>
      <c r="DH142" s="58"/>
      <c r="DI142" s="58"/>
      <c r="DJ142" s="60"/>
      <c r="DK142" s="58"/>
      <c r="DL142" s="61"/>
      <c r="DM142" s="24"/>
    </row>
    <row r="143" spans="1:117" ht="15" customHeight="1">
      <c r="A143" s="25">
        <f>ROW()-2</f>
        <v>141</v>
      </c>
      <c r="B143" s="26">
        <v>250203</v>
      </c>
      <c r="C143" s="27" t="s">
        <v>1803</v>
      </c>
      <c r="D143" s="27"/>
      <c r="E143" s="27" t="s">
        <v>283</v>
      </c>
      <c r="F143" s="27" t="s">
        <v>196</v>
      </c>
      <c r="G143" s="27" t="s">
        <v>240</v>
      </c>
      <c r="H143" s="27" t="s">
        <v>260</v>
      </c>
      <c r="I143" s="27" t="s">
        <v>948</v>
      </c>
      <c r="J143" s="27" t="str">
        <f>+VLOOKUP($I143,[1]프로젝트현황!$I:$N,5,0)</f>
        <v>서울시</v>
      </c>
      <c r="K143" s="27" t="str">
        <f>+VLOOKUP($I143,[1]프로젝트현황!$I:$N,6,0)</f>
        <v>구로구</v>
      </c>
      <c r="L143" s="28">
        <v>45694</v>
      </c>
      <c r="M143" s="28">
        <v>45694</v>
      </c>
      <c r="N143" s="28"/>
      <c r="O143" s="29"/>
      <c r="P143" s="30" t="s">
        <v>1804</v>
      </c>
      <c r="Q143" s="27" t="s">
        <v>1805</v>
      </c>
      <c r="R143" s="31" t="str">
        <f>LEFT(Q143,6)</f>
        <v>890716</v>
      </c>
      <c r="S143" s="31" t="str">
        <f>MID($Q143,3,2)</f>
        <v>07</v>
      </c>
      <c r="T143" s="31" t="str">
        <f>IF(OR(MID($Q143,8,1)="1",MID($Q143,8,1)="3"),"남자",IF(OR(MID($Q143,8,1)="2",MID($Q143,8,1)="4"),"여자",""))</f>
        <v>여자</v>
      </c>
      <c r="U143" s="31">
        <f ca="1">YEAR(TODAY())-IF(OR(MID($Q143,8,1)="1",MID($Q143,8,1)="2"),19&amp;LEFT($Q143,2),IF(OR(MID($Q143,8,1)="3",MID($Q143,8,1)="4"),20&amp;LEFT($Q143,2),""))+1</f>
        <v>38</v>
      </c>
      <c r="V143" s="31" t="s">
        <v>200</v>
      </c>
      <c r="W143" s="31" t="s">
        <v>201</v>
      </c>
      <c r="X143" s="27" t="s">
        <v>1806</v>
      </c>
      <c r="Y143" s="27"/>
      <c r="Z143" s="27"/>
      <c r="AA143" s="32"/>
      <c r="AB143" s="31" t="s">
        <v>203</v>
      </c>
      <c r="AC143" s="27"/>
      <c r="AD143" s="33" t="str">
        <f ca="1">QUOTIENT(SUMPRODUCT(LEFT($AE143:$AF143,FIND("년",$AE143:$AF143)-1)*12+MID($AE143:$AF143,FIND("년",$AE143:$AF143)+1,FIND("개월",$AE143:$AF143)-FIND("년",$AE143:$AF143)-1)),12)&amp;"년"&amp;MOD(SUMPRODUCT(LEFT($AE143:$AF143,FIND("년",$AE143:$AF143)-1)*12+MID($AE143:$AF143,FIND("년",$AE143:$AF143)+1,FIND("개월",$AE143:$AF143)-FIND("년",$AE143:$AF143)-1)),12)&amp;"개월"</f>
        <v>12년3개월</v>
      </c>
      <c r="AE143" s="33" t="s">
        <v>484</v>
      </c>
      <c r="AF143" s="34" t="str">
        <f ca="1">DATEDIF($L143,TODAY(),"y")&amp;"년"&amp;DATEDIF($L143,TODAY(),"ym")&amp;"개월"</f>
        <v>1년0개월</v>
      </c>
      <c r="AG143" s="35" t="s">
        <v>1807</v>
      </c>
      <c r="AH143" s="35" t="s">
        <v>1808</v>
      </c>
      <c r="AI143" s="30" t="s">
        <v>270</v>
      </c>
      <c r="AJ143" s="32">
        <v>40963</v>
      </c>
      <c r="AK143" s="36">
        <f ca="1">VALUE(LEFT($AD143,FIND("년",$AD143)-1))</f>
        <v>12</v>
      </c>
      <c r="AL143" s="31" t="str">
        <f ca="1">IF($AI143="학사",IF($AK143&lt;=8,"초급",IF($AK143&lt;12,"중급",IF($AK143&lt;15,"고급",IF($AK143&gt;=15,"특급")))))</f>
        <v>고급</v>
      </c>
      <c r="AM143" s="31" t="str">
        <f>IF(ISNUMBER(SEARCH("산업기사",$AT143)),IF($AK143&gt;=13,"특급",IF($AK143&gt;=10,"고급",IF($AK143&gt;=7,"중급","초급"))),IF(ISNUMBER(SEARCH("기사",$AR143)),IF($AK143&gt;=10,"특급",IF($AK143&gt;=7,"고급",IF($AK143&gt;=4,"중급","초급"))),"미해당"))</f>
        <v>미해당</v>
      </c>
      <c r="AN143" s="27"/>
      <c r="AO143" s="32"/>
      <c r="AP143" s="27"/>
      <c r="AQ143" s="32"/>
      <c r="AR143" s="27"/>
      <c r="AS143" s="27"/>
      <c r="AT143" s="37"/>
      <c r="AU143" s="27"/>
      <c r="AV143" s="38"/>
      <c r="AW143" s="39"/>
      <c r="AX143" s="39"/>
      <c r="AY143" s="40" t="s">
        <v>251</v>
      </c>
      <c r="AZ143" s="41" t="s">
        <v>252</v>
      </c>
      <c r="BA143" s="30" t="s">
        <v>230</v>
      </c>
      <c r="BB143" s="30" t="s">
        <v>1809</v>
      </c>
      <c r="BC143" s="42" t="s">
        <v>1810</v>
      </c>
      <c r="BD143" s="42" t="s">
        <v>1811</v>
      </c>
      <c r="BE143" s="43" t="s">
        <v>1812</v>
      </c>
      <c r="BF143" s="42" t="s">
        <v>234</v>
      </c>
      <c r="BG143" s="42" t="s">
        <v>440</v>
      </c>
      <c r="BH143" s="35" t="s">
        <v>1813</v>
      </c>
      <c r="BI143" s="44" t="s">
        <v>1814</v>
      </c>
      <c r="BJ143" s="45" t="str">
        <f>IFERROR(VLOOKUP($BG143,[1]프로젝트현황!Y:Z,2,0),"기타")</f>
        <v>서남권</v>
      </c>
      <c r="BK143" s="46" t="str">
        <f>(IF(BF143="","",BF143&amp;" "))&amp;(IF(BG143="","",BG143&amp;" "))&amp;(IF(BH143="","",BH143&amp;" "))&amp;BI143</f>
        <v>경기도 안양시 동안구 관평로 212번길 21, 310동 710호 (관양동, 공작부영아파트)</v>
      </c>
      <c r="BL143" s="47">
        <v>30</v>
      </c>
      <c r="BM143" s="47">
        <v>30</v>
      </c>
      <c r="BN143" s="48">
        <v>47000000</v>
      </c>
      <c r="BO143" s="48">
        <f>BP143*12</f>
        <v>47000040</v>
      </c>
      <c r="BP143" s="49">
        <f>SUM(BQ143:BS143)</f>
        <v>3916670</v>
      </c>
      <c r="BQ143" s="49">
        <f>ROUNDUP(BN143/12*209/(209+BU143*1.5)/BL143*BM143,-1)-BS143</f>
        <v>2652210</v>
      </c>
      <c r="BR143" s="49">
        <f>ROUNDUP(BN143/12*(BU143*1.5)/(209+BU143*1.5)/BL143*BM143,1)</f>
        <v>1064460</v>
      </c>
      <c r="BS143" s="65">
        <v>200000</v>
      </c>
      <c r="BT143" s="50">
        <v>209</v>
      </c>
      <c r="BU143" s="49">
        <f>IF($BN143="","",
IFERROR(
    IF($BN143&lt;'[1]시간외시간 기준표'!$B$2,0,
        IF($BN143&gt;LOOKUP(9.9E+307,'[1]시간외시간 기준표'!$B$2:$B$999),
            LOOKUP(9.9E+307,'[1]시간외시간 기준표'!$C$2:$C$999),
            LOOKUP($BN143,'[1]시간외시간 기준표'!$B$2:$B$999,'[1]시간외시간 기준표'!$C$2:$C$999)
        )
    ),0)
)</f>
        <v>52</v>
      </c>
      <c r="BV143" s="50">
        <f>(BQ143+BS143)/209</f>
        <v>13646.937799043062</v>
      </c>
      <c r="BW143" s="51">
        <v>30</v>
      </c>
      <c r="BX143" s="51">
        <v>30</v>
      </c>
      <c r="BY143" s="52">
        <v>47000000</v>
      </c>
      <c r="BZ143" s="52">
        <f>CA143*12</f>
        <v>47000040</v>
      </c>
      <c r="CA143" s="49">
        <f>SUM(CB143:CD143)</f>
        <v>3916670</v>
      </c>
      <c r="CB143" s="49">
        <f>ROUNDUP(BY143/12*209/(209+CF143*1.5)/BW143*BX143,-1)-CD143</f>
        <v>2652210</v>
      </c>
      <c r="CC143" s="49">
        <f>ROUNDUP(BY143/12*(CF143*1.5)/(209+CF143*1.5)/BW143*BX143,1)</f>
        <v>1064460</v>
      </c>
      <c r="CD143" s="65">
        <v>200000</v>
      </c>
      <c r="CE143" s="50">
        <v>209</v>
      </c>
      <c r="CF143" s="49">
        <f>IF(BY143&lt;26000000,0,IF(BY143&lt;26500000,4,IF(BY143&lt;27000000,7,IF(BY143&lt;27500000,9,IF(BY143&lt;28000000,11,IF(BY143&lt;28500000,15,IF(BY143&lt;29000000,17,IF(BY143&lt;29500000,20,IF(BY143&lt;30000000,23,IF(BY143&lt;30500000,25,IF(BY143&lt;31000000,27,IF(BY143&lt;31500000,29,IF(BY143&lt;32000000,33,IF(BY143&lt;32500000,37,IF(BY143&lt;33000000,39,IF(BY143&lt;33500000,42,IF(BY143&lt;34000000,45,IF(BY143&lt;34500000,48,IF(BY143&lt;35000000,52,52)))))))))))))))))))</f>
        <v>52</v>
      </c>
      <c r="CG143" s="50">
        <f>(CB143+CD143)/209</f>
        <v>13646.937799043062</v>
      </c>
      <c r="CH143" s="51">
        <v>30</v>
      </c>
      <c r="CI143" s="51">
        <v>30</v>
      </c>
      <c r="CJ143" s="52">
        <v>47000000</v>
      </c>
      <c r="CK143" s="52">
        <f>CL143*12</f>
        <v>47000040</v>
      </c>
      <c r="CL143" s="49">
        <f>SUM(CM143:CO143)</f>
        <v>3916670</v>
      </c>
      <c r="CM143" s="49">
        <f>ROUNDUP(CJ143/12*209/(209+CQ143*1.5)/CH143*CI143,-1)-CO143</f>
        <v>2652210</v>
      </c>
      <c r="CN143" s="49">
        <f>ROUNDUP(CJ143/12*(CQ143*1.5)/(209+CQ143*1.5)/CH143*CI143,1)</f>
        <v>1064460</v>
      </c>
      <c r="CO143" s="50">
        <v>200000</v>
      </c>
      <c r="CP143" s="50">
        <v>209</v>
      </c>
      <c r="CQ143" s="50">
        <f>IF(CJ143&lt;26000000,0,IF(CJ143&lt;26500000,4,IF(CJ143&lt;27000000,7,IF(CJ143&lt;27500000,9,IF(CJ143&lt;28000000,11,IF(CJ143&lt;28500000,15,IF(CJ143&lt;29000000,17,IF(CJ143&lt;29500000,20,IF(CJ143&lt;30000000,23,IF(CJ143&lt;30500000,25,IF(CJ143&lt;31000000,27,IF(CJ143&lt;31500000,29,IF(CJ143&lt;32000000,33,IF(CJ143&lt;32500000,37,IF(CJ143&lt;33000000,39,IF(CJ143&lt;33500000,42,IF(CJ143&lt;34000000,45,IF(CJ143&lt;34500000,48,IF(CJ143&lt;35000000,52,52)))))))))))))))))))</f>
        <v>52</v>
      </c>
      <c r="CR143" s="50">
        <f>(CM143+CO143)/209</f>
        <v>13646.937799043062</v>
      </c>
      <c r="CS143" s="52"/>
      <c r="CT143" s="53"/>
      <c r="CU143" s="53"/>
      <c r="CV143" s="53"/>
      <c r="CW143" s="54"/>
      <c r="CX143" s="54"/>
      <c r="CY143" s="54"/>
      <c r="CZ143" s="55"/>
      <c r="DA143" s="55"/>
      <c r="DB143" s="56"/>
      <c r="DC143" s="57"/>
      <c r="DD143" s="58"/>
      <c r="DE143" s="58"/>
      <c r="DF143" s="57"/>
      <c r="DG143" s="59">
        <f>B143</f>
        <v>250203</v>
      </c>
      <c r="DH143" s="58"/>
      <c r="DI143" s="58"/>
      <c r="DJ143" s="60"/>
      <c r="DK143" s="58"/>
      <c r="DL143" s="61"/>
      <c r="DM143" s="24"/>
    </row>
    <row r="144" spans="1:117" ht="15" customHeight="1">
      <c r="A144" s="25">
        <f>ROW()-2</f>
        <v>142</v>
      </c>
      <c r="B144" s="26">
        <v>250205</v>
      </c>
      <c r="C144" s="27" t="s">
        <v>1815</v>
      </c>
      <c r="D144" s="27"/>
      <c r="E144" s="27" t="s">
        <v>613</v>
      </c>
      <c r="F144" s="27" t="s">
        <v>196</v>
      </c>
      <c r="G144" s="27" t="s">
        <v>240</v>
      </c>
      <c r="H144" s="27" t="s">
        <v>241</v>
      </c>
      <c r="I144" s="27" t="s">
        <v>653</v>
      </c>
      <c r="J144" s="27" t="str">
        <f>+VLOOKUP($I144,[1]프로젝트현황!$I:$N,5,0)</f>
        <v>서울시</v>
      </c>
      <c r="K144" s="27" t="str">
        <f>+VLOOKUP($I144,[1]프로젝트현황!$I:$N,6,0)</f>
        <v>강남구</v>
      </c>
      <c r="L144" s="28">
        <v>45698</v>
      </c>
      <c r="M144" s="28">
        <v>45698</v>
      </c>
      <c r="N144" s="28"/>
      <c r="O144" s="29"/>
      <c r="P144" s="30" t="s">
        <v>1816</v>
      </c>
      <c r="Q144" s="27" t="s">
        <v>1817</v>
      </c>
      <c r="R144" s="31" t="str">
        <f>LEFT(Q144,6)</f>
        <v>041129</v>
      </c>
      <c r="S144" s="31" t="str">
        <f>MID($Q144,3,2)</f>
        <v>11</v>
      </c>
      <c r="T144" s="31" t="str">
        <f>IF(OR(MID($Q144,8,1)="1",MID($Q144,8,1)="3"),"남자",IF(OR(MID($Q144,8,1)="2",MID($Q144,8,1)="4"),"여자",""))</f>
        <v>여자</v>
      </c>
      <c r="U144" s="31">
        <f ca="1">YEAR(TODAY())-IF(OR(MID($Q144,8,1)="1",MID($Q144,8,1)="2"),19&amp;LEFT($Q144,2),IF(OR(MID($Q144,8,1)="3",MID($Q144,8,1)="4"),20&amp;LEFT($Q144,2),""))+1</f>
        <v>23</v>
      </c>
      <c r="V144" s="31" t="s">
        <v>200</v>
      </c>
      <c r="W144" s="31" t="s">
        <v>201</v>
      </c>
      <c r="X144" s="27" t="s">
        <v>1818</v>
      </c>
      <c r="Y144" s="27"/>
      <c r="Z144" s="27"/>
      <c r="AA144" s="32"/>
      <c r="AB144" s="31" t="s">
        <v>203</v>
      </c>
      <c r="AC144" s="27"/>
      <c r="AD144" s="33" t="str">
        <f ca="1">QUOTIENT(SUMPRODUCT(LEFT($AE144:$AF144,FIND("년",$AE144:$AF144)-1)*12+MID($AE144:$AF144,FIND("년",$AE144:$AF144)+1,FIND("개월",$AE144:$AF144)-FIND("년",$AE144:$AF144)-1)),12)&amp;"년"&amp;MOD(SUMPRODUCT(LEFT($AE144:$AF144,FIND("년",$AE144:$AF144)-1)*12+MID($AE144:$AF144,FIND("년",$AE144:$AF144)+1,FIND("개월",$AE144:$AF144)-FIND("년",$AE144:$AF144)-1)),12)&amp;"개월"</f>
        <v>1년0개월</v>
      </c>
      <c r="AE144" s="33" t="s">
        <v>543</v>
      </c>
      <c r="AF144" s="34" t="str">
        <f ca="1">DATEDIF($L144,TODAY(),"y")&amp;"년"&amp;DATEDIF($L144,TODAY(),"ym")&amp;"개월"</f>
        <v>1년0개월</v>
      </c>
      <c r="AG144" s="35" t="s">
        <v>906</v>
      </c>
      <c r="AH144" s="35" t="s">
        <v>1633</v>
      </c>
      <c r="AI144" s="30" t="s">
        <v>205</v>
      </c>
      <c r="AJ144" s="32">
        <v>45702</v>
      </c>
      <c r="AK144" s="36">
        <f ca="1">VALUE(LEFT($AD144,FIND("년",$AD144)-1))</f>
        <v>1</v>
      </c>
      <c r="AL144" s="31" t="str">
        <f ca="1">IF($AI144="전문학사",IF($AK144&lt;=8,"초급",IF($AK144&lt;12,"중급",IF($AK144&lt;15,"고급",IF($AK144&gt;=15,"특급")))))</f>
        <v>초급</v>
      </c>
      <c r="AM144" s="31" t="str">
        <f>IF(ISNUMBER(SEARCH("산업기사",$AT144)),IF($AK144&gt;=13,"특급",IF($AK144&gt;=10,"고급",IF($AK144&gt;=7,"중급","초급"))),IF(ISNUMBER(SEARCH("기사",$AR144)),IF($AK144&gt;=10,"특급",IF($AK144&gt;=7,"고급",IF($AK144&gt;=4,"중급","초급"))),"미해당"))</f>
        <v>미해당</v>
      </c>
      <c r="AN144" s="27"/>
      <c r="AO144" s="32"/>
      <c r="AP144" s="27"/>
      <c r="AQ144" s="32"/>
      <c r="AR144" s="27"/>
      <c r="AS144" s="27"/>
      <c r="AT144" s="37"/>
      <c r="AU144" s="27"/>
      <c r="AV144" s="38"/>
      <c r="AW144" s="39"/>
      <c r="AX144" s="39"/>
      <c r="AY144" s="40" t="s">
        <v>251</v>
      </c>
      <c r="AZ144" s="41" t="s">
        <v>252</v>
      </c>
      <c r="BA144" s="30" t="s">
        <v>230</v>
      </c>
      <c r="BB144" s="30" t="s">
        <v>1819</v>
      </c>
      <c r="BC144" s="42" t="s">
        <v>254</v>
      </c>
      <c r="BD144" s="42" t="s">
        <v>1820</v>
      </c>
      <c r="BE144" s="43" t="s">
        <v>1821</v>
      </c>
      <c r="BF144" s="42" t="s">
        <v>1688</v>
      </c>
      <c r="BG144" s="42" t="s">
        <v>371</v>
      </c>
      <c r="BH144" s="35"/>
      <c r="BI144" s="44" t="s">
        <v>1822</v>
      </c>
      <c r="BJ144" s="45" t="str">
        <f>IFERROR(VLOOKUP($BG144,[1]프로젝트현황!Y:Z,2,0),"기타")</f>
        <v>서남권</v>
      </c>
      <c r="BK144" s="46" t="str">
        <f>(IF(BF144="","",BF144&amp;" "))&amp;(IF(BG144="","",BG144&amp;" "))&amp;(IF(BH144="","",BH144&amp;" "))&amp;BI144</f>
        <v>서울특별시 관악구 은천로 93, 102동 304호 (봉천동, 벽산블루밍아파트)</v>
      </c>
      <c r="BL144" s="47">
        <v>30</v>
      </c>
      <c r="BM144" s="47">
        <v>30</v>
      </c>
      <c r="BN144" s="48">
        <v>27000000</v>
      </c>
      <c r="BO144" s="48">
        <f>BP144*12</f>
        <v>27000120</v>
      </c>
      <c r="BP144" s="49">
        <f>SUM(BQ144:BS144)</f>
        <v>2250010</v>
      </c>
      <c r="BQ144" s="49">
        <f>ROUNDUP(BN144/12*209/(209+BU144*1.5)/BL144*BM144,-1)-BS144</f>
        <v>1957120</v>
      </c>
      <c r="BR144" s="49">
        <f>ROUNDUP(BN144/12*(BU144*1.5)/(209+BU144*1.5)/BL144*BM144,1)</f>
        <v>92890</v>
      </c>
      <c r="BS144" s="49">
        <v>200000</v>
      </c>
      <c r="BT144" s="50">
        <v>209</v>
      </c>
      <c r="BU144" s="49">
        <f>IF($BN144="","",
IFERROR(
    IF($BN144&lt;'[1]시간외시간 기준표'!$B$2,0,
        IF($BN144&gt;LOOKUP(9.9E+307,'[1]시간외시간 기준표'!$B$2:$B$999),
            LOOKUP(9.9E+307,'[1]시간외시간 기준표'!$C$2:$C$999),
            LOOKUP($BN144,'[1]시간외시간 기준표'!$B$2:$B$999,'[1]시간외시간 기준표'!$C$2:$C$999)
        )
    ),0)
)</f>
        <v>6</v>
      </c>
      <c r="BV144" s="50">
        <f>(BQ144+BS144)/209</f>
        <v>10321.148325358852</v>
      </c>
      <c r="BW144" s="51">
        <v>30</v>
      </c>
      <c r="BX144" s="51">
        <v>30</v>
      </c>
      <c r="BY144" s="52">
        <v>27000000</v>
      </c>
      <c r="BZ144" s="52">
        <f>CA144*12</f>
        <v>27000082.799999997</v>
      </c>
      <c r="CA144" s="49">
        <f>SUM(CB144:CD144)</f>
        <v>2250006.9</v>
      </c>
      <c r="CB144" s="49">
        <f>ROUNDUP(BY144/12*209/(209+CF144*1.5)/BW144*BX144,-1)-CD144</f>
        <v>1913490</v>
      </c>
      <c r="CC144" s="49">
        <f>ROUNDUP(BY144/12*(CF144*1.5)/(209+CF144*1.5)/BW144*BX144,1)</f>
        <v>136516.9</v>
      </c>
      <c r="CD144" s="49">
        <v>200000</v>
      </c>
      <c r="CE144" s="50">
        <v>209</v>
      </c>
      <c r="CF144" s="49">
        <f>IF(BY144&lt;26000000,0,IF(BY144&lt;26500000,4,IF(BY144&lt;27000000,7,IF(BY144&lt;27500000,9,IF(BY144&lt;28000000,11,IF(BY144&lt;28500000,15,IF(BY144&lt;29000000,17,IF(BY144&lt;29500000,20,IF(BY144&lt;30000000,23,IF(BY144&lt;30500000,25,IF(BY144&lt;31000000,27,IF(BY144&lt;31500000,29,IF(BY144&lt;32000000,33,IF(BY144&lt;32500000,37,IF(BY144&lt;33000000,39,IF(BY144&lt;33500000,42,IF(BY144&lt;34000000,45,IF(BY144&lt;34500000,48,IF(BY144&lt;35000000,52,52)))))))))))))))))))</f>
        <v>9</v>
      </c>
      <c r="CG144" s="50">
        <f>(CB144+CD144)/209</f>
        <v>10112.392344497608</v>
      </c>
      <c r="CH144" s="51">
        <v>30</v>
      </c>
      <c r="CI144" s="51">
        <v>30</v>
      </c>
      <c r="CJ144" s="52">
        <v>27000000</v>
      </c>
      <c r="CK144" s="52">
        <f>CL144*12</f>
        <v>27000082.799999997</v>
      </c>
      <c r="CL144" s="49">
        <f>SUM(CM144:CO144)</f>
        <v>2250006.9</v>
      </c>
      <c r="CM144" s="49">
        <f>ROUNDUP(CJ144/12*209/(209+CQ144*1.5)/CH144*CI144,-1)-CO144</f>
        <v>1913490</v>
      </c>
      <c r="CN144" s="49">
        <f>ROUNDUP(CJ144/12*(CQ144*1.5)/(209+CQ144*1.5)/CH144*CI144,1)</f>
        <v>136516.9</v>
      </c>
      <c r="CO144" s="50">
        <v>200000</v>
      </c>
      <c r="CP144" s="50">
        <v>209</v>
      </c>
      <c r="CQ144" s="50">
        <f>IF(CJ144&lt;26000000,0,IF(CJ144&lt;26500000,4,IF(CJ144&lt;27000000,7,IF(CJ144&lt;27500000,9,IF(CJ144&lt;28000000,11,IF(CJ144&lt;28500000,15,IF(CJ144&lt;29000000,17,IF(CJ144&lt;29500000,20,IF(CJ144&lt;30000000,23,IF(CJ144&lt;30500000,25,IF(CJ144&lt;31000000,27,IF(CJ144&lt;31500000,29,IF(CJ144&lt;32000000,33,IF(CJ144&lt;32500000,37,IF(CJ144&lt;33000000,39,IF(CJ144&lt;33500000,42,IF(CJ144&lt;34000000,45,IF(CJ144&lt;34500000,48,IF(CJ144&lt;35000000,52,52)))))))))))))))))))</f>
        <v>9</v>
      </c>
      <c r="CR144" s="50">
        <f>(CM144+CO144)/209</f>
        <v>10112.392344497608</v>
      </c>
      <c r="CS144" s="52"/>
      <c r="CT144" s="53"/>
      <c r="CU144" s="53"/>
      <c r="CV144" s="53"/>
      <c r="CW144" s="54"/>
      <c r="CX144" s="54"/>
      <c r="CY144" s="54"/>
      <c r="CZ144" s="55"/>
      <c r="DA144" s="55"/>
      <c r="DB144" s="56"/>
      <c r="DC144" s="57"/>
      <c r="DD144" s="58"/>
      <c r="DE144" s="58"/>
      <c r="DF144" s="57"/>
      <c r="DG144" s="59">
        <f>B144</f>
        <v>250205</v>
      </c>
      <c r="DH144" s="58"/>
      <c r="DI144" s="58"/>
      <c r="DJ144" s="60"/>
      <c r="DK144" s="58"/>
      <c r="DL144" s="61"/>
      <c r="DM144" s="24"/>
    </row>
    <row r="145" spans="1:117" ht="15" customHeight="1">
      <c r="A145" s="25">
        <f>ROW()-2</f>
        <v>143</v>
      </c>
      <c r="B145" s="26">
        <v>250206</v>
      </c>
      <c r="C145" s="27" t="s">
        <v>1823</v>
      </c>
      <c r="D145" s="27"/>
      <c r="E145" s="27" t="s">
        <v>613</v>
      </c>
      <c r="F145" s="27" t="s">
        <v>196</v>
      </c>
      <c r="G145" s="27" t="s">
        <v>240</v>
      </c>
      <c r="H145" s="27" t="s">
        <v>217</v>
      </c>
      <c r="I145" s="27" t="s">
        <v>359</v>
      </c>
      <c r="J145" s="27" t="str">
        <f>+VLOOKUP($I145,[1]프로젝트현황!$I:$N,5,0)</f>
        <v>서울시</v>
      </c>
      <c r="K145" s="27" t="str">
        <f>+VLOOKUP($I145,[1]프로젝트현황!$I:$N,6,0)</f>
        <v>금천구</v>
      </c>
      <c r="L145" s="28">
        <v>45698</v>
      </c>
      <c r="M145" s="28">
        <v>45698</v>
      </c>
      <c r="N145" s="28"/>
      <c r="O145" s="29"/>
      <c r="P145" s="30" t="s">
        <v>1824</v>
      </c>
      <c r="Q145" s="27" t="s">
        <v>1825</v>
      </c>
      <c r="R145" s="31" t="str">
        <f>LEFT(Q145,6)</f>
        <v>040923</v>
      </c>
      <c r="S145" s="31" t="str">
        <f>MID($Q145,3,2)</f>
        <v>09</v>
      </c>
      <c r="T145" s="31" t="str">
        <f>IF(OR(MID($Q145,8,1)="1",MID($Q145,8,1)="3"),"남자",IF(OR(MID($Q145,8,1)="2",MID($Q145,8,1)="4"),"여자",""))</f>
        <v>여자</v>
      </c>
      <c r="U145" s="31">
        <f ca="1">YEAR(TODAY())-IF(OR(MID($Q145,8,1)="1",MID($Q145,8,1)="2"),19&amp;LEFT($Q145,2),IF(OR(MID($Q145,8,1)="3",MID($Q145,8,1)="4"),20&amp;LEFT($Q145,2),""))+1</f>
        <v>23</v>
      </c>
      <c r="V145" s="31" t="s">
        <v>200</v>
      </c>
      <c r="W145" s="31" t="s">
        <v>201</v>
      </c>
      <c r="X145" s="27" t="s">
        <v>1826</v>
      </c>
      <c r="Y145" s="27"/>
      <c r="Z145" s="27"/>
      <c r="AA145" s="32"/>
      <c r="AB145" s="31" t="s">
        <v>203</v>
      </c>
      <c r="AC145" s="27"/>
      <c r="AD145" s="33" t="str">
        <f ca="1">QUOTIENT(SUMPRODUCT(LEFT($AE145:$AF145,FIND("년",$AE145:$AF145)-1)*12+MID($AE145:$AF145,FIND("년",$AE145:$AF145)+1,FIND("개월",$AE145:$AF145)-FIND("년",$AE145:$AF145)-1)),12)&amp;"년"&amp;MOD(SUMPRODUCT(LEFT($AE145:$AF145,FIND("년",$AE145:$AF145)-1)*12+MID($AE145:$AF145,FIND("년",$AE145:$AF145)+1,FIND("개월",$AE145:$AF145)-FIND("년",$AE145:$AF145)-1)),12)&amp;"개월"</f>
        <v>1년0개월</v>
      </c>
      <c r="AE145" s="33" t="s">
        <v>543</v>
      </c>
      <c r="AF145" s="34" t="str">
        <f ca="1">DATEDIF($L145,TODAY(),"y")&amp;"년"&amp;DATEDIF($L145,TODAY(),"ym")&amp;"개월"</f>
        <v>1년0개월</v>
      </c>
      <c r="AG145" s="35" t="s">
        <v>906</v>
      </c>
      <c r="AH145" s="35" t="s">
        <v>1633</v>
      </c>
      <c r="AI145" s="30" t="s">
        <v>205</v>
      </c>
      <c r="AJ145" s="32">
        <v>45702</v>
      </c>
      <c r="AK145" s="36">
        <f ca="1">VALUE(LEFT($AD145,FIND("년",$AD145)-1))</f>
        <v>1</v>
      </c>
      <c r="AL145" s="31" t="str">
        <f ca="1">IF($AI145="전문학사",IF($AK145&lt;=8,"초급",IF($AK145&lt;12,"중급",IF($AK145&lt;15,"고급",IF($AK145&gt;=15,"특급")))))</f>
        <v>초급</v>
      </c>
      <c r="AM145" s="31" t="str">
        <f>IF(ISNUMBER(SEARCH("산업기사",$AT145)),IF($AK145&gt;=13,"특급",IF($AK145&gt;=10,"고급",IF($AK145&gt;=7,"중급","초급"))),IF(ISNUMBER(SEARCH("기사",$AR145)),IF($AK145&gt;=10,"특급",IF($AK145&gt;=7,"고급",IF($AK145&gt;=4,"중급","초급"))),"미해당"))</f>
        <v>미해당</v>
      </c>
      <c r="AN145" s="27"/>
      <c r="AO145" s="32"/>
      <c r="AP145" s="27"/>
      <c r="AQ145" s="32"/>
      <c r="AR145" s="27"/>
      <c r="AS145" s="27"/>
      <c r="AT145" s="37"/>
      <c r="AU145" s="27"/>
      <c r="AV145" s="38"/>
      <c r="AW145" s="39"/>
      <c r="AX145" s="39"/>
      <c r="AY145" s="40" t="s">
        <v>251</v>
      </c>
      <c r="AZ145" s="41" t="s">
        <v>252</v>
      </c>
      <c r="BA145" s="30" t="s">
        <v>230</v>
      </c>
      <c r="BB145" s="30" t="s">
        <v>1827</v>
      </c>
      <c r="BC145" s="42" t="s">
        <v>254</v>
      </c>
      <c r="BD145" s="42" t="s">
        <v>1828</v>
      </c>
      <c r="BE145" s="43" t="s">
        <v>1829</v>
      </c>
      <c r="BF145" s="42" t="s">
        <v>1830</v>
      </c>
      <c r="BG145" s="42" t="s">
        <v>579</v>
      </c>
      <c r="BH145" s="35" t="s">
        <v>1831</v>
      </c>
      <c r="BI145" s="44" t="s">
        <v>1832</v>
      </c>
      <c r="BJ145" s="45" t="str">
        <f>IFERROR(VLOOKUP($BG145,[1]프로젝트현황!Y:Z,2,0),"기타")</f>
        <v>서남권</v>
      </c>
      <c r="BK145" s="46" t="str">
        <f>(IF(BF145="","",BF145&amp;" "))&amp;(IF(BG145="","",BG145&amp;" "))&amp;(IF(BH145="","",BH145&amp;" "))&amp;BI145</f>
        <v>인천광역시 부평구 안남로222번길 30, 202동 307호 (산곡동, 경남아파트)</v>
      </c>
      <c r="BL145" s="47">
        <v>30</v>
      </c>
      <c r="BM145" s="47">
        <v>30</v>
      </c>
      <c r="BN145" s="48">
        <v>27000000</v>
      </c>
      <c r="BO145" s="48">
        <f>BP145*12</f>
        <v>27000120</v>
      </c>
      <c r="BP145" s="49">
        <f>SUM(BQ145:BS145)</f>
        <v>2250010</v>
      </c>
      <c r="BQ145" s="49">
        <f>ROUNDUP(BN145/12*209/(209+BU145*1.5)/BL145*BM145,-1)-BS145</f>
        <v>1957120</v>
      </c>
      <c r="BR145" s="49">
        <f>ROUNDUP(BN145/12*(BU145*1.5)/(209+BU145*1.5)/BL145*BM145,1)</f>
        <v>92890</v>
      </c>
      <c r="BS145" s="49">
        <v>200000</v>
      </c>
      <c r="BT145" s="50">
        <v>209</v>
      </c>
      <c r="BU145" s="49">
        <f>IF($BN145="","",
IFERROR(
    IF($BN145&lt;'[1]시간외시간 기준표'!$B$2,0,
        IF($BN145&gt;LOOKUP(9.9E+307,'[1]시간외시간 기준표'!$B$2:$B$999),
            LOOKUP(9.9E+307,'[1]시간외시간 기준표'!$C$2:$C$999),
            LOOKUP($BN145,'[1]시간외시간 기준표'!$B$2:$B$999,'[1]시간외시간 기준표'!$C$2:$C$999)
        )
    ),0)
)</f>
        <v>6</v>
      </c>
      <c r="BV145" s="50">
        <f>(BQ145+BS145)/209</f>
        <v>10321.148325358852</v>
      </c>
      <c r="BW145" s="51">
        <v>30</v>
      </c>
      <c r="BX145" s="51">
        <v>30</v>
      </c>
      <c r="BY145" s="52">
        <v>27000000</v>
      </c>
      <c r="BZ145" s="52">
        <f>CA145*12</f>
        <v>27000082.799999997</v>
      </c>
      <c r="CA145" s="49">
        <f>SUM(CB145:CD145)</f>
        <v>2250006.9</v>
      </c>
      <c r="CB145" s="49">
        <f>ROUNDUP(BY145/12*209/(209+CF145*1.5)/BW145*BX145,-1)-CD145</f>
        <v>1913490</v>
      </c>
      <c r="CC145" s="49">
        <f>ROUNDUP(BY145/12*(CF145*1.5)/(209+CF145*1.5)/BW145*BX145,1)</f>
        <v>136516.9</v>
      </c>
      <c r="CD145" s="49">
        <v>200000</v>
      </c>
      <c r="CE145" s="50">
        <v>209</v>
      </c>
      <c r="CF145" s="49">
        <f>IF(BY145&lt;26000000,0,IF(BY145&lt;26500000,4,IF(BY145&lt;27000000,7,IF(BY145&lt;27500000,9,IF(BY145&lt;28000000,11,IF(BY145&lt;28500000,15,IF(BY145&lt;29000000,17,IF(BY145&lt;29500000,20,IF(BY145&lt;30000000,23,IF(BY145&lt;30500000,25,IF(BY145&lt;31000000,27,IF(BY145&lt;31500000,29,IF(BY145&lt;32000000,33,IF(BY145&lt;32500000,37,IF(BY145&lt;33000000,39,IF(BY145&lt;33500000,42,IF(BY145&lt;34000000,45,IF(BY145&lt;34500000,48,IF(BY145&lt;35000000,52,52)))))))))))))))))))</f>
        <v>9</v>
      </c>
      <c r="CG145" s="50">
        <f>(CB145+CD145)/209</f>
        <v>10112.392344497608</v>
      </c>
      <c r="CH145" s="51">
        <v>30</v>
      </c>
      <c r="CI145" s="51">
        <v>30</v>
      </c>
      <c r="CJ145" s="52">
        <v>27000000</v>
      </c>
      <c r="CK145" s="52">
        <f>CL145*12</f>
        <v>27000082.799999997</v>
      </c>
      <c r="CL145" s="49">
        <f>SUM(CM145:CO145)</f>
        <v>2250006.9</v>
      </c>
      <c r="CM145" s="49">
        <f>ROUNDUP(CJ145/12*209/(209+CQ145*1.5)/CH145*CI145,-1)-CO145</f>
        <v>1913490</v>
      </c>
      <c r="CN145" s="49">
        <f>ROUNDUP(CJ145/12*(CQ145*1.5)/(209+CQ145*1.5)/CH145*CI145,1)</f>
        <v>136516.9</v>
      </c>
      <c r="CO145" s="50">
        <v>200000</v>
      </c>
      <c r="CP145" s="50">
        <v>209</v>
      </c>
      <c r="CQ145" s="50">
        <f>IF(CJ145&lt;26000000,0,IF(CJ145&lt;26500000,4,IF(CJ145&lt;27000000,7,IF(CJ145&lt;27500000,9,IF(CJ145&lt;28000000,11,IF(CJ145&lt;28500000,15,IF(CJ145&lt;29000000,17,IF(CJ145&lt;29500000,20,IF(CJ145&lt;30000000,23,IF(CJ145&lt;30500000,25,IF(CJ145&lt;31000000,27,IF(CJ145&lt;31500000,29,IF(CJ145&lt;32000000,33,IF(CJ145&lt;32500000,37,IF(CJ145&lt;33000000,39,IF(CJ145&lt;33500000,42,IF(CJ145&lt;34000000,45,IF(CJ145&lt;34500000,48,IF(CJ145&lt;35000000,52,52)))))))))))))))))))</f>
        <v>9</v>
      </c>
      <c r="CR145" s="50">
        <f>(CM145+CO145)/209</f>
        <v>10112.392344497608</v>
      </c>
      <c r="CS145" s="52"/>
      <c r="CT145" s="53"/>
      <c r="CU145" s="53"/>
      <c r="CV145" s="53"/>
      <c r="CW145" s="54"/>
      <c r="CX145" s="54"/>
      <c r="CY145" s="54"/>
      <c r="CZ145" s="55"/>
      <c r="DA145" s="55"/>
      <c r="DB145" s="56"/>
      <c r="DC145" s="57"/>
      <c r="DD145" s="58"/>
      <c r="DE145" s="58"/>
      <c r="DF145" s="57"/>
      <c r="DG145" s="59">
        <f>B145</f>
        <v>250206</v>
      </c>
      <c r="DH145" s="58"/>
      <c r="DI145" s="58"/>
      <c r="DJ145" s="60"/>
      <c r="DK145" s="58"/>
      <c r="DL145" s="61"/>
      <c r="DM145" s="24"/>
    </row>
    <row r="146" spans="1:117" ht="15" customHeight="1">
      <c r="A146" s="25">
        <f>ROW()-2</f>
        <v>144</v>
      </c>
      <c r="B146" s="26">
        <v>250207</v>
      </c>
      <c r="C146" s="27" t="s">
        <v>1833</v>
      </c>
      <c r="D146" s="27"/>
      <c r="E146" s="27" t="s">
        <v>613</v>
      </c>
      <c r="F146" s="27" t="s">
        <v>196</v>
      </c>
      <c r="G146" s="27" t="s">
        <v>240</v>
      </c>
      <c r="H146" s="27" t="s">
        <v>241</v>
      </c>
      <c r="I146" s="27" t="s">
        <v>653</v>
      </c>
      <c r="J146" s="27" t="str">
        <f>+VLOOKUP($I146,[1]프로젝트현황!$I:$N,5,0)</f>
        <v>서울시</v>
      </c>
      <c r="K146" s="27" t="str">
        <f>+VLOOKUP($I146,[1]프로젝트현황!$I:$N,6,0)</f>
        <v>강남구</v>
      </c>
      <c r="L146" s="28">
        <v>45698</v>
      </c>
      <c r="M146" s="28">
        <v>45698</v>
      </c>
      <c r="N146" s="28"/>
      <c r="O146" s="29">
        <v>46073</v>
      </c>
      <c r="P146" s="30" t="s">
        <v>1834</v>
      </c>
      <c r="Q146" s="27" t="s">
        <v>1835</v>
      </c>
      <c r="R146" s="31" t="str">
        <f>LEFT(Q146,6)</f>
        <v>040320</v>
      </c>
      <c r="S146" s="31" t="str">
        <f>MID($Q146,3,2)</f>
        <v>03</v>
      </c>
      <c r="T146" s="31" t="str">
        <f>IF(OR(MID($Q146,8,1)="1",MID($Q146,8,1)="3"),"남자",IF(OR(MID($Q146,8,1)="2",MID($Q146,8,1)="4"),"여자",""))</f>
        <v>여자</v>
      </c>
      <c r="U146" s="31">
        <f ca="1">YEAR(TODAY())-IF(OR(MID($Q146,8,1)="1",MID($Q146,8,1)="2"),19&amp;LEFT($Q146,2),IF(OR(MID($Q146,8,1)="3",MID($Q146,8,1)="4"),20&amp;LEFT($Q146,2),""))+1</f>
        <v>23</v>
      </c>
      <c r="V146" s="31" t="s">
        <v>200</v>
      </c>
      <c r="W146" s="31" t="s">
        <v>201</v>
      </c>
      <c r="X146" s="27" t="s">
        <v>1836</v>
      </c>
      <c r="Y146" s="27"/>
      <c r="Z146" s="27"/>
      <c r="AA146" s="32"/>
      <c r="AB146" s="31" t="s">
        <v>203</v>
      </c>
      <c r="AC146" s="27"/>
      <c r="AD146" s="33" t="str">
        <f ca="1">QUOTIENT(SUMPRODUCT(LEFT($AE146:$AF146,FIND("년",$AE146:$AF146)-1)*12+MID($AE146:$AF146,FIND("년",$AE146:$AF146)+1,FIND("개월",$AE146:$AF146)-FIND("년",$AE146:$AF146)-1)),12)&amp;"년"&amp;MOD(SUMPRODUCT(LEFT($AE146:$AF146,FIND("년",$AE146:$AF146)-1)*12+MID($AE146:$AF146,FIND("년",$AE146:$AF146)+1,FIND("개월",$AE146:$AF146)-FIND("년",$AE146:$AF146)-1)),12)&amp;"개월"</f>
        <v>1년0개월</v>
      </c>
      <c r="AE146" s="33" t="s">
        <v>543</v>
      </c>
      <c r="AF146" s="34" t="str">
        <f ca="1">DATEDIF($L146,TODAY(),"y")&amp;"년"&amp;DATEDIF($L146,TODAY(),"ym")&amp;"개월"</f>
        <v>1년0개월</v>
      </c>
      <c r="AG146" s="35" t="s">
        <v>906</v>
      </c>
      <c r="AH146" s="35" t="s">
        <v>1633</v>
      </c>
      <c r="AI146" s="30" t="s">
        <v>205</v>
      </c>
      <c r="AJ146" s="32">
        <v>45702</v>
      </c>
      <c r="AK146" s="36">
        <f ca="1">VALUE(LEFT($AD146,FIND("년",$AD146)-1))</f>
        <v>1</v>
      </c>
      <c r="AL146" s="31" t="str">
        <f ca="1">IF($AI146="전문학사",IF($AK146&lt;=8,"초급",IF($AK146&lt;12,"중급",IF($AK146&lt;15,"고급",IF($AK146&gt;=15,"특급")))))</f>
        <v>초급</v>
      </c>
      <c r="AM146" s="31" t="str">
        <f>IF(ISNUMBER(SEARCH("산업기사",$AT146)),IF($AK146&gt;=13,"특급",IF($AK146&gt;=10,"고급",IF($AK146&gt;=7,"중급","초급"))),IF(ISNUMBER(SEARCH("기사",$AR146)),IF($AK146&gt;=10,"특급",IF($AK146&gt;=7,"고급",IF($AK146&gt;=4,"중급","초급"))),"미해당"))</f>
        <v>미해당</v>
      </c>
      <c r="AN146" s="27"/>
      <c r="AO146" s="32"/>
      <c r="AP146" s="27"/>
      <c r="AQ146" s="32"/>
      <c r="AR146" s="27"/>
      <c r="AS146" s="27"/>
      <c r="AT146" s="37"/>
      <c r="AU146" s="27"/>
      <c r="AV146" s="38"/>
      <c r="AW146" s="39"/>
      <c r="AX146" s="39"/>
      <c r="AY146" s="40" t="s">
        <v>251</v>
      </c>
      <c r="AZ146" s="41" t="s">
        <v>252</v>
      </c>
      <c r="BA146" s="30" t="s">
        <v>230</v>
      </c>
      <c r="BB146" s="30" t="s">
        <v>1837</v>
      </c>
      <c r="BC146" s="42" t="s">
        <v>254</v>
      </c>
      <c r="BD146" s="42" t="s">
        <v>1838</v>
      </c>
      <c r="BE146" s="43" t="s">
        <v>1839</v>
      </c>
      <c r="BF146" s="42" t="s">
        <v>1688</v>
      </c>
      <c r="BG146" s="42" t="s">
        <v>1604</v>
      </c>
      <c r="BH146" s="35"/>
      <c r="BI146" s="44" t="s">
        <v>1840</v>
      </c>
      <c r="BJ146" s="45" t="str">
        <f>IFERROR(VLOOKUP($BG146,[1]프로젝트현황!Y:Z,2,0),"기타")</f>
        <v>서북권</v>
      </c>
      <c r="BK146" s="46" t="str">
        <f>(IF(BF146="","",BF146&amp;" "))&amp;(IF(BG146="","",BG146&amp;" "))&amp;(IF(BH146="","",BH146&amp;" "))&amp;BI146</f>
        <v>서울특별시 은평구 백련산로2길 19, 110동 1303호 (응암동, 백련산 힐스테이트1차)</v>
      </c>
      <c r="BL146" s="47">
        <v>30</v>
      </c>
      <c r="BM146" s="47">
        <v>30</v>
      </c>
      <c r="BN146" s="48">
        <v>27000000</v>
      </c>
      <c r="BO146" s="48">
        <f>BP146*12</f>
        <v>27000120</v>
      </c>
      <c r="BP146" s="49">
        <f>SUM(BQ146:BS146)</f>
        <v>2250010</v>
      </c>
      <c r="BQ146" s="49">
        <f>ROUNDUP(BN146/12*209/(209+BU146*1.5)/BL146*BM146,-1)-BS146</f>
        <v>1957120</v>
      </c>
      <c r="BR146" s="49">
        <f>ROUNDUP(BN146/12*(BU146*1.5)/(209+BU146*1.5)/BL146*BM146,1)</f>
        <v>92890</v>
      </c>
      <c r="BS146" s="49">
        <v>200000</v>
      </c>
      <c r="BT146" s="50">
        <v>209</v>
      </c>
      <c r="BU146" s="49">
        <f>IF($BN146="","",
IFERROR(
    IF($BN146&lt;'[1]시간외시간 기준표'!$B$2,0,
        IF($BN146&gt;LOOKUP(9.9E+307,'[1]시간외시간 기준표'!$B$2:$B$999),
            LOOKUP(9.9E+307,'[1]시간외시간 기준표'!$C$2:$C$999),
            LOOKUP($BN146,'[1]시간외시간 기준표'!$B$2:$B$999,'[1]시간외시간 기준표'!$C$2:$C$999)
        )
    ),0)
)</f>
        <v>6</v>
      </c>
      <c r="BV146" s="50">
        <f>(BQ146+BS146)/209</f>
        <v>10321.148325358852</v>
      </c>
      <c r="BW146" s="51">
        <v>30</v>
      </c>
      <c r="BX146" s="51">
        <v>30</v>
      </c>
      <c r="BY146" s="52">
        <v>27000000</v>
      </c>
      <c r="BZ146" s="52">
        <f>CA146*12</f>
        <v>27000082.799999997</v>
      </c>
      <c r="CA146" s="49">
        <f>SUM(CB146:CD146)</f>
        <v>2250006.9</v>
      </c>
      <c r="CB146" s="49">
        <f>ROUNDUP(BY146/12*209/(209+CF146*1.5)/BW146*BX146,-1)-CD146</f>
        <v>1913490</v>
      </c>
      <c r="CC146" s="49">
        <f>ROUNDUP(BY146/12*(CF146*1.5)/(209+CF146*1.5)/BW146*BX146,1)</f>
        <v>136516.9</v>
      </c>
      <c r="CD146" s="49">
        <v>200000</v>
      </c>
      <c r="CE146" s="50">
        <v>209</v>
      </c>
      <c r="CF146" s="49">
        <f>IF(BY146&lt;26000000,0,IF(BY146&lt;26500000,4,IF(BY146&lt;27000000,7,IF(BY146&lt;27500000,9,IF(BY146&lt;28000000,11,IF(BY146&lt;28500000,15,IF(BY146&lt;29000000,17,IF(BY146&lt;29500000,20,IF(BY146&lt;30000000,23,IF(BY146&lt;30500000,25,IF(BY146&lt;31000000,27,IF(BY146&lt;31500000,29,IF(BY146&lt;32000000,33,IF(BY146&lt;32500000,37,IF(BY146&lt;33000000,39,IF(BY146&lt;33500000,42,IF(BY146&lt;34000000,45,IF(BY146&lt;34500000,48,IF(BY146&lt;35000000,52,52)))))))))))))))))))</f>
        <v>9</v>
      </c>
      <c r="CG146" s="50">
        <f>(CB146+CD146)/209</f>
        <v>10112.392344497608</v>
      </c>
      <c r="CH146" s="51">
        <v>30</v>
      </c>
      <c r="CI146" s="51">
        <v>30</v>
      </c>
      <c r="CJ146" s="52">
        <v>27000000</v>
      </c>
      <c r="CK146" s="52">
        <f>CL146*12</f>
        <v>27000082.799999997</v>
      </c>
      <c r="CL146" s="49">
        <f>SUM(CM146:CO146)</f>
        <v>2250006.9</v>
      </c>
      <c r="CM146" s="49">
        <f>ROUNDUP(CJ146/12*209/(209+CQ146*1.5)/CH146*CI146,-1)-CO146</f>
        <v>1913490</v>
      </c>
      <c r="CN146" s="49">
        <f>ROUNDUP(CJ146/12*(CQ146*1.5)/(209+CQ146*1.5)/CH146*CI146,1)</f>
        <v>136516.9</v>
      </c>
      <c r="CO146" s="50">
        <v>200000</v>
      </c>
      <c r="CP146" s="50">
        <v>209</v>
      </c>
      <c r="CQ146" s="50">
        <f>IF(CJ146&lt;26000000,0,IF(CJ146&lt;26500000,4,IF(CJ146&lt;27000000,7,IF(CJ146&lt;27500000,9,IF(CJ146&lt;28000000,11,IF(CJ146&lt;28500000,15,IF(CJ146&lt;29000000,17,IF(CJ146&lt;29500000,20,IF(CJ146&lt;30000000,23,IF(CJ146&lt;30500000,25,IF(CJ146&lt;31000000,27,IF(CJ146&lt;31500000,29,IF(CJ146&lt;32000000,33,IF(CJ146&lt;32500000,37,IF(CJ146&lt;33000000,39,IF(CJ146&lt;33500000,42,IF(CJ146&lt;34000000,45,IF(CJ146&lt;34500000,48,IF(CJ146&lt;35000000,52,52)))))))))))))))))))</f>
        <v>9</v>
      </c>
      <c r="CR146" s="50">
        <f>(CM146+CO146)/209</f>
        <v>10112.392344497608</v>
      </c>
      <c r="CS146" s="52"/>
      <c r="CT146" s="53"/>
      <c r="CU146" s="53"/>
      <c r="CV146" s="53"/>
      <c r="CW146" s="54"/>
      <c r="CX146" s="54"/>
      <c r="CY146" s="54"/>
      <c r="CZ146" s="55"/>
      <c r="DA146" s="55"/>
      <c r="DB146" s="56"/>
      <c r="DC146" s="57"/>
      <c r="DD146" s="58"/>
      <c r="DE146" s="58"/>
      <c r="DF146" s="57"/>
      <c r="DG146" s="59">
        <f>B146</f>
        <v>250207</v>
      </c>
      <c r="DH146" s="58"/>
      <c r="DI146" s="58"/>
      <c r="DJ146" s="60"/>
      <c r="DK146" s="58"/>
      <c r="DL146" s="61"/>
      <c r="DM146" s="24"/>
    </row>
    <row r="147" spans="1:117" ht="15" customHeight="1">
      <c r="A147" s="25">
        <f>ROW()-2</f>
        <v>145</v>
      </c>
      <c r="B147" s="26">
        <v>250208</v>
      </c>
      <c r="C147" s="27" t="s">
        <v>1841</v>
      </c>
      <c r="D147" s="27"/>
      <c r="E147" s="27" t="s">
        <v>613</v>
      </c>
      <c r="F147" s="27" t="s">
        <v>196</v>
      </c>
      <c r="G147" s="27" t="s">
        <v>240</v>
      </c>
      <c r="H147" s="27" t="s">
        <v>241</v>
      </c>
      <c r="I147" s="27" t="s">
        <v>299</v>
      </c>
      <c r="J147" s="27" t="str">
        <f>+VLOOKUP($I147,[1]프로젝트현황!$I:$N,5,0)</f>
        <v>서울시</v>
      </c>
      <c r="K147" s="27" t="str">
        <f>+VLOOKUP($I147,[1]프로젝트현황!$I:$N,6,0)</f>
        <v>영등포구</v>
      </c>
      <c r="L147" s="28">
        <v>45698</v>
      </c>
      <c r="M147" s="28">
        <v>45698</v>
      </c>
      <c r="N147" s="28"/>
      <c r="O147" s="29"/>
      <c r="P147" s="30" t="s">
        <v>1842</v>
      </c>
      <c r="Q147" s="27" t="s">
        <v>1843</v>
      </c>
      <c r="R147" s="31" t="str">
        <f>LEFT(Q147,6)</f>
        <v>040909</v>
      </c>
      <c r="S147" s="31" t="str">
        <f>MID($Q147,3,2)</f>
        <v>09</v>
      </c>
      <c r="T147" s="31" t="str">
        <f>IF(OR(MID($Q147,8,1)="1",MID($Q147,8,1)="3"),"남자",IF(OR(MID($Q147,8,1)="2",MID($Q147,8,1)="4"),"여자",""))</f>
        <v>여자</v>
      </c>
      <c r="U147" s="31">
        <f ca="1">YEAR(TODAY())-IF(OR(MID($Q147,8,1)="1",MID($Q147,8,1)="2"),19&amp;LEFT($Q147,2),IF(OR(MID($Q147,8,1)="3",MID($Q147,8,1)="4"),20&amp;LEFT($Q147,2),""))+1</f>
        <v>23</v>
      </c>
      <c r="V147" s="31" t="s">
        <v>200</v>
      </c>
      <c r="W147" s="31" t="s">
        <v>201</v>
      </c>
      <c r="X147" s="27" t="s">
        <v>1844</v>
      </c>
      <c r="Y147" s="27"/>
      <c r="Z147" s="27"/>
      <c r="AA147" s="32"/>
      <c r="AB147" s="31" t="s">
        <v>203</v>
      </c>
      <c r="AC147" s="27"/>
      <c r="AD147" s="33" t="str">
        <f ca="1">QUOTIENT(SUMPRODUCT(LEFT($AE147:$AF147,FIND("년",$AE147:$AF147)-1)*12+MID($AE147:$AF147,FIND("년",$AE147:$AF147)+1,FIND("개월",$AE147:$AF147)-FIND("년",$AE147:$AF147)-1)),12)&amp;"년"&amp;MOD(SUMPRODUCT(LEFT($AE147:$AF147,FIND("년",$AE147:$AF147)-1)*12+MID($AE147:$AF147,FIND("년",$AE147:$AF147)+1,FIND("개월",$AE147:$AF147)-FIND("년",$AE147:$AF147)-1)),12)&amp;"개월"</f>
        <v>1년0개월</v>
      </c>
      <c r="AE147" s="33" t="s">
        <v>543</v>
      </c>
      <c r="AF147" s="34" t="str">
        <f ca="1">DATEDIF($L147,TODAY(),"y")&amp;"년"&amp;DATEDIF($L147,TODAY(),"ym")&amp;"개월"</f>
        <v>1년0개월</v>
      </c>
      <c r="AG147" s="35" t="s">
        <v>906</v>
      </c>
      <c r="AH147" s="35" t="s">
        <v>1633</v>
      </c>
      <c r="AI147" s="30" t="s">
        <v>205</v>
      </c>
      <c r="AJ147" s="32">
        <v>45702</v>
      </c>
      <c r="AK147" s="36">
        <f ca="1">VALUE(LEFT($AD147,FIND("년",$AD147)-1))</f>
        <v>1</v>
      </c>
      <c r="AL147" s="31" t="str">
        <f ca="1">IF($AI147="전문학사",IF($AK147&lt;=8,"초급",IF($AK147&lt;12,"중급",IF($AK147&lt;15,"고급",IF($AK147&gt;=15,"특급")))))</f>
        <v>초급</v>
      </c>
      <c r="AM147" s="31" t="str">
        <f>IF(ISNUMBER(SEARCH("산업기사",$AT147)),IF($AK147&gt;=13,"특급",IF($AK147&gt;=10,"고급",IF($AK147&gt;=7,"중급","초급"))),IF(ISNUMBER(SEARCH("기사",$AR147)),IF($AK147&gt;=10,"특급",IF($AK147&gt;=7,"고급",IF($AK147&gt;=4,"중급","초급"))),"미해당"))</f>
        <v>미해당</v>
      </c>
      <c r="AN147" s="27"/>
      <c r="AO147" s="32"/>
      <c r="AP147" s="27"/>
      <c r="AQ147" s="32"/>
      <c r="AR147" s="27"/>
      <c r="AS147" s="27"/>
      <c r="AT147" s="37"/>
      <c r="AU147" s="27"/>
      <c r="AV147" s="38"/>
      <c r="AW147" s="39"/>
      <c r="AX147" s="39"/>
      <c r="AY147" s="40" t="s">
        <v>251</v>
      </c>
      <c r="AZ147" s="41" t="s">
        <v>252</v>
      </c>
      <c r="BA147" s="30" t="s">
        <v>230</v>
      </c>
      <c r="BB147" s="30" t="s">
        <v>1845</v>
      </c>
      <c r="BC147" s="42"/>
      <c r="BD147" s="42"/>
      <c r="BE147" s="43" t="s">
        <v>1846</v>
      </c>
      <c r="BF147" s="42" t="s">
        <v>234</v>
      </c>
      <c r="BG147" s="42" t="s">
        <v>452</v>
      </c>
      <c r="BH147" s="35" t="s">
        <v>1847</v>
      </c>
      <c r="BI147" s="44" t="s">
        <v>1848</v>
      </c>
      <c r="BJ147" s="45" t="str">
        <f>IFERROR(VLOOKUP($BG147,[1]프로젝트현황!Y:Z,2,0),"기타")</f>
        <v>서북권</v>
      </c>
      <c r="BK147" s="46" t="str">
        <f>(IF(BF147="","",BF147&amp;" "))&amp;(IF(BG147="","",BG147&amp;" "))&amp;(IF(BH147="","",BH147&amp;" "))&amp;BI147</f>
        <v>경기도 파주시 책향기로 337, 302동 901호 (문발동, 숲속길마을 동문굿모닝힐)</v>
      </c>
      <c r="BL147" s="47">
        <v>30</v>
      </c>
      <c r="BM147" s="47">
        <v>30</v>
      </c>
      <c r="BN147" s="48">
        <v>27000000</v>
      </c>
      <c r="BO147" s="48">
        <f>BP147*12</f>
        <v>27000120</v>
      </c>
      <c r="BP147" s="49">
        <f>SUM(BQ147:BS147)</f>
        <v>2250010</v>
      </c>
      <c r="BQ147" s="49">
        <f>ROUNDUP(BN147/12*209/(209+BU147*1.5)/BL147*BM147,-1)-BS147</f>
        <v>1957120</v>
      </c>
      <c r="BR147" s="49">
        <f>ROUNDUP(BN147/12*(BU147*1.5)/(209+BU147*1.5)/BL147*BM147,1)</f>
        <v>92890</v>
      </c>
      <c r="BS147" s="49">
        <v>200000</v>
      </c>
      <c r="BT147" s="50">
        <v>209</v>
      </c>
      <c r="BU147" s="49">
        <f>IF($BN147="","",
IFERROR(
    IF($BN147&lt;'[1]시간외시간 기준표'!$B$2,0,
        IF($BN147&gt;LOOKUP(9.9E+307,'[1]시간외시간 기준표'!$B$2:$B$999),
            LOOKUP(9.9E+307,'[1]시간외시간 기준표'!$C$2:$C$999),
            LOOKUP($BN147,'[1]시간외시간 기준표'!$B$2:$B$999,'[1]시간외시간 기준표'!$C$2:$C$999)
        )
    ),0)
)</f>
        <v>6</v>
      </c>
      <c r="BV147" s="50">
        <f>(BQ147+BS147)/209</f>
        <v>10321.148325358852</v>
      </c>
      <c r="BW147" s="51">
        <v>30</v>
      </c>
      <c r="BX147" s="51">
        <v>30</v>
      </c>
      <c r="BY147" s="52">
        <v>27000000</v>
      </c>
      <c r="BZ147" s="52">
        <f>CA147*12</f>
        <v>27000082.799999997</v>
      </c>
      <c r="CA147" s="49">
        <f>SUM(CB147:CD147)</f>
        <v>2250006.9</v>
      </c>
      <c r="CB147" s="49">
        <f>ROUNDUP(BY147/12*209/(209+CF147*1.5)/BW147*BX147,-1)-CD147</f>
        <v>1913490</v>
      </c>
      <c r="CC147" s="49">
        <f>ROUNDUP(BY147/12*(CF147*1.5)/(209+CF147*1.5)/BW147*BX147,1)</f>
        <v>136516.9</v>
      </c>
      <c r="CD147" s="49">
        <v>200000</v>
      </c>
      <c r="CE147" s="50">
        <v>209</v>
      </c>
      <c r="CF147" s="49">
        <f>IF(BY147&lt;26000000,0,IF(BY147&lt;26500000,4,IF(BY147&lt;27000000,7,IF(BY147&lt;27500000,9,IF(BY147&lt;28000000,11,IF(BY147&lt;28500000,15,IF(BY147&lt;29000000,17,IF(BY147&lt;29500000,20,IF(BY147&lt;30000000,23,IF(BY147&lt;30500000,25,IF(BY147&lt;31000000,27,IF(BY147&lt;31500000,29,IF(BY147&lt;32000000,33,IF(BY147&lt;32500000,37,IF(BY147&lt;33000000,39,IF(BY147&lt;33500000,42,IF(BY147&lt;34000000,45,IF(BY147&lt;34500000,48,IF(BY147&lt;35000000,52,52)))))))))))))))))))</f>
        <v>9</v>
      </c>
      <c r="CG147" s="50">
        <f>(CB147+CD147)/209</f>
        <v>10112.392344497608</v>
      </c>
      <c r="CH147" s="51">
        <v>30</v>
      </c>
      <c r="CI147" s="51">
        <v>30</v>
      </c>
      <c r="CJ147" s="52">
        <v>27000000</v>
      </c>
      <c r="CK147" s="52">
        <f>CL147*12</f>
        <v>27000082.799999997</v>
      </c>
      <c r="CL147" s="49">
        <f>SUM(CM147:CO147)</f>
        <v>2250006.9</v>
      </c>
      <c r="CM147" s="49">
        <f>ROUNDUP(CJ147/12*209/(209+CQ147*1.5)/CH147*CI147,-1)-CO147</f>
        <v>1913490</v>
      </c>
      <c r="CN147" s="49">
        <f>ROUNDUP(CJ147/12*(CQ147*1.5)/(209+CQ147*1.5)/CH147*CI147,1)</f>
        <v>136516.9</v>
      </c>
      <c r="CO147" s="50">
        <v>200000</v>
      </c>
      <c r="CP147" s="50">
        <v>209</v>
      </c>
      <c r="CQ147" s="50">
        <f>IF(CJ147&lt;26000000,0,IF(CJ147&lt;26500000,4,IF(CJ147&lt;27000000,7,IF(CJ147&lt;27500000,9,IF(CJ147&lt;28000000,11,IF(CJ147&lt;28500000,15,IF(CJ147&lt;29000000,17,IF(CJ147&lt;29500000,20,IF(CJ147&lt;30000000,23,IF(CJ147&lt;30500000,25,IF(CJ147&lt;31000000,27,IF(CJ147&lt;31500000,29,IF(CJ147&lt;32000000,33,IF(CJ147&lt;32500000,37,IF(CJ147&lt;33000000,39,IF(CJ147&lt;33500000,42,IF(CJ147&lt;34000000,45,IF(CJ147&lt;34500000,48,IF(CJ147&lt;35000000,52,52)))))))))))))))))))</f>
        <v>9</v>
      </c>
      <c r="CR147" s="50">
        <f>(CM147+CO147)/209</f>
        <v>10112.392344497608</v>
      </c>
      <c r="CS147" s="52"/>
      <c r="CT147" s="53"/>
      <c r="CU147" s="53"/>
      <c r="CV147" s="53"/>
      <c r="CW147" s="54"/>
      <c r="CX147" s="54"/>
      <c r="CY147" s="54"/>
      <c r="CZ147" s="55"/>
      <c r="DA147" s="55"/>
      <c r="DB147" s="56"/>
      <c r="DC147" s="57"/>
      <c r="DD147" s="58"/>
      <c r="DE147" s="58"/>
      <c r="DF147" s="57"/>
      <c r="DG147" s="59">
        <f>B147</f>
        <v>250208</v>
      </c>
      <c r="DH147" s="58"/>
      <c r="DI147" s="58"/>
      <c r="DJ147" s="60"/>
      <c r="DK147" s="58"/>
      <c r="DL147" s="61"/>
      <c r="DM147" s="24"/>
    </row>
    <row r="148" spans="1:117" ht="15" customHeight="1">
      <c r="A148" s="25">
        <f>ROW()-2</f>
        <v>146</v>
      </c>
      <c r="B148" s="26">
        <v>250211</v>
      </c>
      <c r="C148" s="27" t="s">
        <v>1849</v>
      </c>
      <c r="D148" s="27"/>
      <c r="E148" s="27" t="s">
        <v>613</v>
      </c>
      <c r="F148" s="27" t="s">
        <v>196</v>
      </c>
      <c r="G148" s="27" t="s">
        <v>240</v>
      </c>
      <c r="H148" s="27" t="s">
        <v>260</v>
      </c>
      <c r="I148" s="27" t="s">
        <v>1850</v>
      </c>
      <c r="J148" s="27" t="str">
        <f>+VLOOKUP($I148,[1]프로젝트현황!$I:$N,5,0)</f>
        <v>서울시</v>
      </c>
      <c r="K148" s="27" t="str">
        <f>+VLOOKUP($I148,[1]프로젝트현황!$I:$N,6,0)</f>
        <v>구로구</v>
      </c>
      <c r="L148" s="28">
        <v>45705</v>
      </c>
      <c r="M148" s="28">
        <v>45705</v>
      </c>
      <c r="N148" s="28"/>
      <c r="O148" s="29"/>
      <c r="P148" s="30" t="s">
        <v>1851</v>
      </c>
      <c r="Q148" s="27" t="s">
        <v>1852</v>
      </c>
      <c r="R148" s="31" t="str">
        <f>LEFT(Q148,6)</f>
        <v>950427</v>
      </c>
      <c r="S148" s="31" t="str">
        <f>MID($Q148,3,2)</f>
        <v>04</v>
      </c>
      <c r="T148" s="31" t="str">
        <f>IF(OR(MID($Q148,8,1)="1",MID($Q148,8,1)="3"),"남자",IF(OR(MID($Q148,8,1)="2",MID($Q148,8,1)="4"),"여자",""))</f>
        <v>남자</v>
      </c>
      <c r="U148" s="31">
        <f ca="1">YEAR(TODAY())-IF(OR(MID($Q148,8,1)="1",MID($Q148,8,1)="2"),19&amp;LEFT($Q148,2),IF(OR(MID($Q148,8,1)="3",MID($Q148,8,1)="4"),20&amp;LEFT($Q148,2),""))+1</f>
        <v>32</v>
      </c>
      <c r="V148" s="31" t="s">
        <v>200</v>
      </c>
      <c r="W148" s="31" t="s">
        <v>201</v>
      </c>
      <c r="X148" s="27" t="s">
        <v>1853</v>
      </c>
      <c r="Y148" s="27"/>
      <c r="Z148" s="27"/>
      <c r="AA148" s="32"/>
      <c r="AB148" s="31" t="s">
        <v>203</v>
      </c>
      <c r="AC148" s="27"/>
      <c r="AD148" s="33" t="str">
        <f ca="1">QUOTIENT(SUMPRODUCT(LEFT($AE148:$AF148,FIND("년",$AE148:$AF148)-1)*12+MID($AE148:$AF148,FIND("년",$AE148:$AF148)+1,FIND("개월",$AE148:$AF148)-FIND("년",$AE148:$AF148)-1)),12)&amp;"년"&amp;MOD(SUMPRODUCT(LEFT($AE148:$AF148,FIND("년",$AE148:$AF148)-1)*12+MID($AE148:$AF148,FIND("년",$AE148:$AF148)+1,FIND("개월",$AE148:$AF148)-FIND("년",$AE148:$AF148)-1)),12)&amp;"개월"</f>
        <v>2년5개월</v>
      </c>
      <c r="AE148" s="33" t="s">
        <v>1854</v>
      </c>
      <c r="AF148" s="34" t="str">
        <f ca="1">DATEDIF($L148,TODAY(),"y")&amp;"년"&amp;DATEDIF($L148,TODAY(),"ym")&amp;"개월"</f>
        <v>0년11개월</v>
      </c>
      <c r="AG148" s="35" t="s">
        <v>1855</v>
      </c>
      <c r="AH148" s="35" t="s">
        <v>588</v>
      </c>
      <c r="AI148" s="30" t="s">
        <v>270</v>
      </c>
      <c r="AJ148" s="32">
        <v>44974</v>
      </c>
      <c r="AK148" s="36">
        <f ca="1">VALUE(LEFT($AD148,FIND("년",$AD148)-1))</f>
        <v>2</v>
      </c>
      <c r="AL148" s="31" t="str">
        <f ca="1">IF($AI148="학사",IF($AK148&lt;=8,"초급",IF($AK148&lt;12,"중급",IF($AK148&lt;15,"고급",IF($AK148&gt;=15,"특급")))))</f>
        <v>초급</v>
      </c>
      <c r="AM148" s="31" t="str">
        <f>IF(ISNUMBER(SEARCH("산업기사",$AT148)),IF($AK148&gt;=13,"특급",IF($AK148&gt;=10,"고급",IF($AK148&gt;=7,"중급","초급"))),IF(ISNUMBER(SEARCH("기사",$AR148)),IF($AK148&gt;=10,"특급",IF($AK148&gt;=7,"고급",IF($AK148&gt;=4,"중급","초급"))),"미해당"))</f>
        <v>미해당</v>
      </c>
      <c r="AN148" s="27"/>
      <c r="AO148" s="32"/>
      <c r="AP148" s="27"/>
      <c r="AQ148" s="32"/>
      <c r="AR148" s="27"/>
      <c r="AS148" s="27"/>
      <c r="AT148" s="37"/>
      <c r="AU148" s="27"/>
      <c r="AV148" s="38"/>
      <c r="AW148" s="39"/>
      <c r="AX148" s="39"/>
      <c r="AY148" s="40" t="s">
        <v>251</v>
      </c>
      <c r="AZ148" s="41" t="s">
        <v>252</v>
      </c>
      <c r="BA148" s="30" t="s">
        <v>230</v>
      </c>
      <c r="BB148" s="30" t="s">
        <v>1856</v>
      </c>
      <c r="BC148" s="42" t="s">
        <v>254</v>
      </c>
      <c r="BD148" s="42" t="s">
        <v>1857</v>
      </c>
      <c r="BE148" s="43" t="s">
        <v>1858</v>
      </c>
      <c r="BF148" s="42" t="s">
        <v>1688</v>
      </c>
      <c r="BG148" s="42" t="s">
        <v>718</v>
      </c>
      <c r="BH148" s="35"/>
      <c r="BI148" s="44" t="s">
        <v>1859</v>
      </c>
      <c r="BJ148" s="45" t="str">
        <f>IFERROR(VLOOKUP($BG148,[1]프로젝트현황!Y:Z,2,0),"기타")</f>
        <v>동북권</v>
      </c>
      <c r="BK148" s="46" t="str">
        <f>(IF(BF148="","",BF148&amp;" "))&amp;(IF(BG148="","",BG148&amp;" "))&amp;(IF(BH148="","",BH148&amp;" "))&amp;BI148</f>
        <v>서울특별시 중랑구 신내로 155, 808동 1308호 (신내동, 화성아파트)</v>
      </c>
      <c r="BL148" s="47">
        <v>30</v>
      </c>
      <c r="BM148" s="47">
        <v>30</v>
      </c>
      <c r="BN148" s="48">
        <v>29500000</v>
      </c>
      <c r="BO148" s="48">
        <f>BP148*12</f>
        <v>29500080</v>
      </c>
      <c r="BP148" s="49">
        <f>SUM(BQ148:BS148)</f>
        <v>2458340</v>
      </c>
      <c r="BQ148" s="49">
        <f>ROUNDUP(BN148/12*209/(209+BU148*1.5)/BL148*BM148,-1)-BS148</f>
        <v>1977090</v>
      </c>
      <c r="BR148" s="49">
        <f>ROUNDUP(BN148/12*(BU148*1.5)/(209+BU148*1.5)/BL148*BM148,1)</f>
        <v>281250</v>
      </c>
      <c r="BS148" s="49">
        <v>200000</v>
      </c>
      <c r="BT148" s="50">
        <v>209</v>
      </c>
      <c r="BU148" s="49">
        <f>IF($BN148="","",
IFERROR(
    IF($BN148&lt;'[1]시간외시간 기준표'!$B$2,0,
        IF($BN148&gt;LOOKUP(9.9E+307,'[1]시간외시간 기준표'!$B$2:$B$999),
            LOOKUP(9.9E+307,'[1]시간외시간 기준표'!$C$2:$C$999),
            LOOKUP($BN148,'[1]시간외시간 기준표'!$B$2:$B$999,'[1]시간외시간 기준표'!$C$2:$C$999)
        )
    ),0)
)</f>
        <v>18</v>
      </c>
      <c r="BV148" s="50">
        <f>(BQ148+BS148)/209</f>
        <v>10416.698564593302</v>
      </c>
      <c r="BW148" s="51">
        <v>30</v>
      </c>
      <c r="BX148" s="51">
        <v>30</v>
      </c>
      <c r="BY148" s="52">
        <v>29500000</v>
      </c>
      <c r="BZ148" s="52">
        <f>CA148*12</f>
        <v>29500032</v>
      </c>
      <c r="CA148" s="49">
        <f>SUM(CB148:CD148)</f>
        <v>2458336</v>
      </c>
      <c r="CB148" s="49">
        <f>ROUNDUP(BY148/12*209/(209+CF148*1.5)/BW148*BX148,-1)-CD148</f>
        <v>1910030</v>
      </c>
      <c r="CC148" s="49">
        <f>ROUNDUP(BY148/12*(CF148*1.5)/(209+CF148*1.5)/BW148*BX148,1)</f>
        <v>348306</v>
      </c>
      <c r="CD148" s="49">
        <v>200000</v>
      </c>
      <c r="CE148" s="50">
        <v>209</v>
      </c>
      <c r="CF148" s="49">
        <f>IF(BY148&lt;26000000,0,IF(BY148&lt;26500000,4,IF(BY148&lt;27000000,7,IF(BY148&lt;27500000,9,IF(BY148&lt;28000000,11,IF(BY148&lt;28500000,15,IF(BY148&lt;29000000,17,IF(BY148&lt;29500000,20,IF(BY148&lt;30000000,23,IF(BY148&lt;30500000,25,IF(BY148&lt;31000000,27,IF(BY148&lt;31500000,29,IF(BY148&lt;32000000,33,IF(BY148&lt;32500000,37,IF(BY148&lt;33000000,39,IF(BY148&lt;33500000,42,IF(BY148&lt;34000000,45,IF(BY148&lt;34500000,48,IF(BY148&lt;35000000,52,52)))))))))))))))))))</f>
        <v>23</v>
      </c>
      <c r="CG148" s="50">
        <f>(CB148+CD148)/209</f>
        <v>10095.837320574163</v>
      </c>
      <c r="CH148" s="51">
        <v>30</v>
      </c>
      <c r="CI148" s="51">
        <v>30</v>
      </c>
      <c r="CJ148" s="52">
        <v>29500000</v>
      </c>
      <c r="CK148" s="52">
        <f>CL148*12</f>
        <v>29500032</v>
      </c>
      <c r="CL148" s="49">
        <f>SUM(CM148:CO148)</f>
        <v>2458336</v>
      </c>
      <c r="CM148" s="49">
        <f>ROUNDUP(CJ148/12*209/(209+CQ148*1.5)/CH148*CI148,-1)-CO148</f>
        <v>1910030</v>
      </c>
      <c r="CN148" s="49">
        <f>ROUNDUP(CJ148/12*(CQ148*1.5)/(209+CQ148*1.5)/CH148*CI148,1)</f>
        <v>348306</v>
      </c>
      <c r="CO148" s="50">
        <v>200000</v>
      </c>
      <c r="CP148" s="50">
        <v>209</v>
      </c>
      <c r="CQ148" s="50">
        <f>IF(CJ148&lt;26000000,0,IF(CJ148&lt;26500000,4,IF(CJ148&lt;27000000,7,IF(CJ148&lt;27500000,9,IF(CJ148&lt;28000000,11,IF(CJ148&lt;28500000,15,IF(CJ148&lt;29000000,17,IF(CJ148&lt;29500000,20,IF(CJ148&lt;30000000,23,IF(CJ148&lt;30500000,25,IF(CJ148&lt;31000000,27,IF(CJ148&lt;31500000,29,IF(CJ148&lt;32000000,33,IF(CJ148&lt;32500000,37,IF(CJ148&lt;33000000,39,IF(CJ148&lt;33500000,42,IF(CJ148&lt;34000000,45,IF(CJ148&lt;34500000,48,IF(CJ148&lt;35000000,52,52)))))))))))))))))))</f>
        <v>23</v>
      </c>
      <c r="CR148" s="50">
        <f>(CM148+CO148)/209</f>
        <v>10095.837320574163</v>
      </c>
      <c r="CS148" s="52"/>
      <c r="CT148" s="53"/>
      <c r="CU148" s="53"/>
      <c r="CV148" s="53"/>
      <c r="CW148" s="54"/>
      <c r="CX148" s="54"/>
      <c r="CY148" s="54"/>
      <c r="CZ148" s="55"/>
      <c r="DA148" s="55"/>
      <c r="DB148" s="56"/>
      <c r="DC148" s="57"/>
      <c r="DD148" s="58"/>
      <c r="DE148" s="58"/>
      <c r="DF148" s="57"/>
      <c r="DG148" s="59">
        <f>B148</f>
        <v>250211</v>
      </c>
      <c r="DH148" s="58"/>
      <c r="DI148" s="58"/>
      <c r="DJ148" s="60"/>
      <c r="DK148" s="58"/>
      <c r="DL148" s="61"/>
      <c r="DM148" s="24"/>
    </row>
    <row r="149" spans="1:117" ht="15" customHeight="1">
      <c r="A149" s="25">
        <f>ROW()-2</f>
        <v>147</v>
      </c>
      <c r="B149" s="26">
        <v>250212</v>
      </c>
      <c r="C149" s="27" t="s">
        <v>1860</v>
      </c>
      <c r="D149" s="27"/>
      <c r="E149" s="27" t="s">
        <v>613</v>
      </c>
      <c r="F149" s="27" t="s">
        <v>196</v>
      </c>
      <c r="G149" s="27" t="s">
        <v>240</v>
      </c>
      <c r="H149" s="27" t="s">
        <v>241</v>
      </c>
      <c r="I149" s="27" t="s">
        <v>242</v>
      </c>
      <c r="J149" s="27" t="str">
        <f>+VLOOKUP($I149,[1]프로젝트현황!$I:$N,5,0)</f>
        <v>서울시</v>
      </c>
      <c r="K149" s="27" t="str">
        <f>+VLOOKUP($I149,[1]프로젝트현황!$I:$N,6,0)</f>
        <v>영등포구</v>
      </c>
      <c r="L149" s="28">
        <v>45713</v>
      </c>
      <c r="M149" s="28">
        <v>45713</v>
      </c>
      <c r="N149" s="28"/>
      <c r="O149" s="29"/>
      <c r="P149" s="30" t="s">
        <v>1861</v>
      </c>
      <c r="Q149" s="27" t="s">
        <v>1862</v>
      </c>
      <c r="R149" s="31" t="str">
        <f>LEFT(Q149,6)</f>
        <v>961217</v>
      </c>
      <c r="S149" s="31" t="str">
        <f>MID($Q149,3,2)</f>
        <v>12</v>
      </c>
      <c r="T149" s="31" t="str">
        <f>IF(OR(MID($Q149,8,1)="1",MID($Q149,8,1)="3"),"남자",IF(OR(MID($Q149,8,1)="2",MID($Q149,8,1)="4"),"여자",""))</f>
        <v>여자</v>
      </c>
      <c r="U149" s="31">
        <f ca="1">YEAR(TODAY())-IF(OR(MID($Q149,8,1)="1",MID($Q149,8,1)="2"),19&amp;LEFT($Q149,2),IF(OR(MID($Q149,8,1)="3",MID($Q149,8,1)="4"),20&amp;LEFT($Q149,2),""))+1</f>
        <v>31</v>
      </c>
      <c r="V149" s="31" t="s">
        <v>200</v>
      </c>
      <c r="W149" s="31" t="s">
        <v>201</v>
      </c>
      <c r="X149" s="27" t="s">
        <v>1863</v>
      </c>
      <c r="Y149" s="27"/>
      <c r="Z149" s="27"/>
      <c r="AA149" s="32"/>
      <c r="AB149" s="31" t="s">
        <v>203</v>
      </c>
      <c r="AC149" s="27"/>
      <c r="AD149" s="33" t="str">
        <f ca="1">QUOTIENT(SUMPRODUCT(LEFT($AE149:$AF149,FIND("년",$AE149:$AF149)-1)*12+MID($AE149:$AF149,FIND("년",$AE149:$AF149)+1,FIND("개월",$AE149:$AF149)-FIND("년",$AE149:$AF149)-1)),12)&amp;"년"&amp;MOD(SUMPRODUCT(LEFT($AE149:$AF149,FIND("년",$AE149:$AF149)-1)*12+MID($AE149:$AF149,FIND("년",$AE149:$AF149)+1,FIND("개월",$AE149:$AF149)-FIND("년",$AE149:$AF149)-1)),12)&amp;"개월"</f>
        <v>3년0개월</v>
      </c>
      <c r="AE149" s="33" t="s">
        <v>1495</v>
      </c>
      <c r="AF149" s="34" t="str">
        <f ca="1">DATEDIF($L149,TODAY(),"y")&amp;"년"&amp;DATEDIF($L149,TODAY(),"ym")&amp;"개월"</f>
        <v>0년11개월</v>
      </c>
      <c r="AG149" s="35" t="s">
        <v>1864</v>
      </c>
      <c r="AH149" s="35" t="s">
        <v>1865</v>
      </c>
      <c r="AI149" s="30" t="s">
        <v>205</v>
      </c>
      <c r="AJ149" s="32">
        <v>42775</v>
      </c>
      <c r="AK149" s="36">
        <f ca="1">VALUE(LEFT($AD149,FIND("년",$AD149)-1))</f>
        <v>3</v>
      </c>
      <c r="AL149" s="31" t="str">
        <f ca="1">IF($AI149="전문학사",IF($AK149&lt;=8,"초급",IF($AK149&lt;12,"중급",IF($AK149&lt;15,"고급",IF($AK149&gt;=15,"특급")))))</f>
        <v>초급</v>
      </c>
      <c r="AM149" s="31" t="str">
        <f>IF(ISNUMBER(SEARCH("산업기사",$AT149)),IF($AK149&gt;=13,"특급",IF($AK149&gt;=10,"고급",IF($AK149&gt;=7,"중급","초급"))),IF(ISNUMBER(SEARCH("기사",$AR149)),IF($AK149&gt;=10,"특급",IF($AK149&gt;=7,"고급",IF($AK149&gt;=4,"중급","초급"))),"미해당"))</f>
        <v>미해당</v>
      </c>
      <c r="AN149" s="27"/>
      <c r="AO149" s="32"/>
      <c r="AP149" s="27"/>
      <c r="AQ149" s="32"/>
      <c r="AR149" s="27"/>
      <c r="AS149" s="27"/>
      <c r="AT149" s="37"/>
      <c r="AU149" s="27"/>
      <c r="AV149" s="38"/>
      <c r="AW149" s="39"/>
      <c r="AX149" s="39"/>
      <c r="AY149" s="40" t="s">
        <v>251</v>
      </c>
      <c r="AZ149" s="41" t="s">
        <v>252</v>
      </c>
      <c r="BA149" s="30" t="s">
        <v>230</v>
      </c>
      <c r="BB149" s="30" t="s">
        <v>1866</v>
      </c>
      <c r="BC149" s="42" t="s">
        <v>254</v>
      </c>
      <c r="BD149" s="42" t="s">
        <v>1867</v>
      </c>
      <c r="BE149" s="43" t="s">
        <v>1868</v>
      </c>
      <c r="BF149" s="42" t="s">
        <v>1688</v>
      </c>
      <c r="BG149" s="42" t="s">
        <v>799</v>
      </c>
      <c r="BH149" s="35"/>
      <c r="BI149" s="44" t="s">
        <v>1869</v>
      </c>
      <c r="BJ149" s="45" t="str">
        <f>IFERROR(VLOOKUP($BG149,[1]프로젝트현황!Y:Z,2,0),"기타")</f>
        <v>서북권</v>
      </c>
      <c r="BK149" s="46" t="str">
        <f>(IF(BF149="","",BF149&amp;" "))&amp;(IF(BG149="","",BG149&amp;" "))&amp;(IF(BH149="","",BH149&amp;" "))&amp;BI149</f>
        <v>서울특별시 중구 쌍림동 151-70, 301호</v>
      </c>
      <c r="BL149" s="47">
        <v>30</v>
      </c>
      <c r="BM149" s="47">
        <v>30</v>
      </c>
      <c r="BN149" s="48">
        <v>29000000</v>
      </c>
      <c r="BO149" s="48">
        <f>BP149*12</f>
        <v>29000005.200000003</v>
      </c>
      <c r="BP149" s="49">
        <f>SUM(BQ149:BS149)</f>
        <v>2416667.1</v>
      </c>
      <c r="BQ149" s="49">
        <f>ROUNDUP(BN149/12*209/(209+BU149*1.5)/BL149*BM149,-1)-BS149</f>
        <v>1967740</v>
      </c>
      <c r="BR149" s="49">
        <f>ROUNDUP(BN149/12*(BU149*1.5)/(209+BU149*1.5)/BL149*BM149,1)</f>
        <v>248927.1</v>
      </c>
      <c r="BS149" s="49">
        <v>200000</v>
      </c>
      <c r="BT149" s="50">
        <v>209</v>
      </c>
      <c r="BU149" s="49">
        <f>IF($BN149="","",
IFERROR(
    IF($BN149&lt;'[1]시간외시간 기준표'!$B$2,0,
        IF($BN149&gt;LOOKUP(9.9E+307,'[1]시간외시간 기준표'!$B$2:$B$999),
            LOOKUP(9.9E+307,'[1]시간외시간 기준표'!$C$2:$C$999),
            LOOKUP($BN149,'[1]시간외시간 기준표'!$B$2:$B$999,'[1]시간외시간 기준표'!$C$2:$C$999)
        )
    ),0)
)</f>
        <v>16</v>
      </c>
      <c r="BV149" s="50">
        <f>(BQ149+BS149)/209</f>
        <v>10371.961722488039</v>
      </c>
      <c r="BW149" s="51">
        <v>30</v>
      </c>
      <c r="BX149" s="51">
        <v>30</v>
      </c>
      <c r="BY149" s="52">
        <v>29000000</v>
      </c>
      <c r="BZ149" s="52">
        <f>CA149*12</f>
        <v>29000007.599999998</v>
      </c>
      <c r="CA149" s="49">
        <f>SUM(CB149:CD149)</f>
        <v>2416667.2999999998</v>
      </c>
      <c r="CB149" s="49">
        <f>ROUNDUP(BY149/12*209/(209+CF149*1.5)/BW149*BX149,-1)-CD149</f>
        <v>1913320</v>
      </c>
      <c r="CC149" s="49">
        <f>ROUNDUP(BY149/12*(CF149*1.5)/(209+CF149*1.5)/BW149*BX149,1)</f>
        <v>303347.3</v>
      </c>
      <c r="CD149" s="49">
        <v>200000</v>
      </c>
      <c r="CE149" s="50">
        <v>209</v>
      </c>
      <c r="CF149" s="49">
        <f>IF(BY149&lt;26000000,0,IF(BY149&lt;26500000,4,IF(BY149&lt;27000000,7,IF(BY149&lt;27500000,9,IF(BY149&lt;28000000,11,IF(BY149&lt;28500000,15,IF(BY149&lt;29000000,17,IF(BY149&lt;29500000,20,IF(BY149&lt;30000000,23,IF(BY149&lt;30500000,25,IF(BY149&lt;31000000,27,IF(BY149&lt;31500000,29,IF(BY149&lt;32000000,33,IF(BY149&lt;32500000,37,IF(BY149&lt;33000000,39,IF(BY149&lt;33500000,42,IF(BY149&lt;34000000,45,IF(BY149&lt;34500000,48,IF(BY149&lt;35000000,52,52)))))))))))))))))))</f>
        <v>20</v>
      </c>
      <c r="CG149" s="50">
        <f>(CB149+CD149)/209</f>
        <v>10111.578947368422</v>
      </c>
      <c r="CH149" s="51">
        <v>30</v>
      </c>
      <c r="CI149" s="51">
        <v>30</v>
      </c>
      <c r="CJ149" s="52">
        <v>29000000</v>
      </c>
      <c r="CK149" s="52">
        <f>CL149*12</f>
        <v>29000007.599999998</v>
      </c>
      <c r="CL149" s="49">
        <f>SUM(CM149:CO149)</f>
        <v>2416667.2999999998</v>
      </c>
      <c r="CM149" s="49">
        <f>ROUNDUP(CJ149/12*209/(209+CQ149*1.5)/CH149*CI149,-1)-CO149</f>
        <v>1913320</v>
      </c>
      <c r="CN149" s="49">
        <f>ROUNDUP(CJ149/12*(CQ149*1.5)/(209+CQ149*1.5)/CH149*CI149,1)</f>
        <v>303347.3</v>
      </c>
      <c r="CO149" s="50">
        <v>200000</v>
      </c>
      <c r="CP149" s="50">
        <v>209</v>
      </c>
      <c r="CQ149" s="50">
        <f>IF(CJ149&lt;26000000,0,IF(CJ149&lt;26500000,4,IF(CJ149&lt;27000000,7,IF(CJ149&lt;27500000,9,IF(CJ149&lt;28000000,11,IF(CJ149&lt;28500000,15,IF(CJ149&lt;29000000,17,IF(CJ149&lt;29500000,20,IF(CJ149&lt;30000000,23,IF(CJ149&lt;30500000,25,IF(CJ149&lt;31000000,27,IF(CJ149&lt;31500000,29,IF(CJ149&lt;32000000,33,IF(CJ149&lt;32500000,37,IF(CJ149&lt;33000000,39,IF(CJ149&lt;33500000,42,IF(CJ149&lt;34000000,45,IF(CJ149&lt;34500000,48,IF(CJ149&lt;35000000,52,52)))))))))))))))))))</f>
        <v>20</v>
      </c>
      <c r="CR149" s="50">
        <f>(CM149+CO149)/209</f>
        <v>10111.578947368422</v>
      </c>
      <c r="CS149" s="52"/>
      <c r="CT149" s="53"/>
      <c r="CU149" s="53"/>
      <c r="CV149" s="53"/>
      <c r="CW149" s="54"/>
      <c r="CX149" s="54"/>
      <c r="CY149" s="54"/>
      <c r="CZ149" s="55"/>
      <c r="DA149" s="55"/>
      <c r="DB149" s="56"/>
      <c r="DC149" s="57"/>
      <c r="DD149" s="58"/>
      <c r="DE149" s="58"/>
      <c r="DF149" s="57"/>
      <c r="DG149" s="59">
        <f>B149</f>
        <v>250212</v>
      </c>
      <c r="DH149" s="58"/>
      <c r="DI149" s="58"/>
      <c r="DJ149" s="60"/>
      <c r="DK149" s="58"/>
      <c r="DL149" s="61"/>
      <c r="DM149" s="24"/>
    </row>
    <row r="150" spans="1:117" ht="15" customHeight="1">
      <c r="A150" s="25">
        <f>ROW()-2</f>
        <v>148</v>
      </c>
      <c r="B150" s="26">
        <v>250301</v>
      </c>
      <c r="C150" s="27" t="s">
        <v>1870</v>
      </c>
      <c r="D150" s="27"/>
      <c r="E150" s="27" t="s">
        <v>239</v>
      </c>
      <c r="F150" s="27" t="s">
        <v>196</v>
      </c>
      <c r="G150" s="27" t="s">
        <v>240</v>
      </c>
      <c r="H150" s="27" t="s">
        <v>260</v>
      </c>
      <c r="I150" s="27" t="s">
        <v>1540</v>
      </c>
      <c r="J150" s="27" t="str">
        <f>+VLOOKUP($I150,[1]프로젝트현황!$I:$N,5,0)</f>
        <v>서울시</v>
      </c>
      <c r="K150" s="27" t="str">
        <f>+VLOOKUP($I150,[1]프로젝트현황!$I:$N,6,0)</f>
        <v>구로구</v>
      </c>
      <c r="L150" s="28">
        <v>45720</v>
      </c>
      <c r="M150" s="28">
        <v>45720</v>
      </c>
      <c r="N150" s="28"/>
      <c r="O150" s="29"/>
      <c r="P150" s="30" t="s">
        <v>1871</v>
      </c>
      <c r="Q150" s="27" t="s">
        <v>1872</v>
      </c>
      <c r="R150" s="31" t="str">
        <f>LEFT(Q150,6)</f>
        <v>960626</v>
      </c>
      <c r="S150" s="31" t="str">
        <f>MID($Q150,3,2)</f>
        <v>06</v>
      </c>
      <c r="T150" s="31" t="str">
        <f>IF(OR(MID($Q150,8,1)="1",MID($Q150,8,1)="3"),"남자",IF(OR(MID($Q150,8,1)="2",MID($Q150,8,1)="4"),"여자",""))</f>
        <v>남자</v>
      </c>
      <c r="U150" s="31">
        <f ca="1">YEAR(TODAY())-IF(OR(MID($Q150,8,1)="1",MID($Q150,8,1)="2"),19&amp;LEFT($Q150,2),IF(OR(MID($Q150,8,1)="3",MID($Q150,8,1)="4"),20&amp;LEFT($Q150,2),""))+1</f>
        <v>31</v>
      </c>
      <c r="V150" s="31" t="s">
        <v>200</v>
      </c>
      <c r="W150" s="31" t="s">
        <v>201</v>
      </c>
      <c r="X150" s="27" t="s">
        <v>1873</v>
      </c>
      <c r="Y150" s="27"/>
      <c r="Z150" s="27"/>
      <c r="AA150" s="32"/>
      <c r="AB150" s="31" t="s">
        <v>203</v>
      </c>
      <c r="AC150" s="27"/>
      <c r="AD150" s="33" t="str">
        <f ca="1">QUOTIENT(SUMPRODUCT(LEFT($AE150:$AF150,FIND("년",$AE150:$AF150)-1)*12+MID($AE150:$AF150,FIND("년",$AE150:$AF150)+1,FIND("개월",$AE150:$AF150)-FIND("년",$AE150:$AF150)-1)),12)&amp;"년"&amp;MOD(SUMPRODUCT(LEFT($AE150:$AF150,FIND("년",$AE150:$AF150)-1)*12+MID($AE150:$AF150,FIND("년",$AE150:$AF150)+1,FIND("개월",$AE150:$AF150)-FIND("년",$AE150:$AF150)-1)),12)&amp;"개월"</f>
        <v>5년2개월</v>
      </c>
      <c r="AE150" s="33" t="s">
        <v>1874</v>
      </c>
      <c r="AF150" s="34" t="str">
        <f ca="1">DATEDIF($L150,TODAY(),"y")&amp;"년"&amp;DATEDIF($L150,TODAY(),"ym")&amp;"개월"</f>
        <v>0년11개월</v>
      </c>
      <c r="AG150" s="35" t="s">
        <v>544</v>
      </c>
      <c r="AH150" s="35" t="s">
        <v>1875</v>
      </c>
      <c r="AI150" s="30" t="s">
        <v>270</v>
      </c>
      <c r="AJ150" s="32">
        <v>44607</v>
      </c>
      <c r="AK150" s="36">
        <f ca="1">VALUE(LEFT($AD150,FIND("년",$AD150)-1))</f>
        <v>5</v>
      </c>
      <c r="AL150" s="31" t="str">
        <f ca="1">IF($AI150="학사",IF($AK150&lt;=8,"초급",IF($AK150&lt;12,"중급",IF($AK150&lt;15,"고급",IF($AK150&gt;=15,"특급")))))</f>
        <v>초급</v>
      </c>
      <c r="AM150" s="31" t="str">
        <f>IF(ISNUMBER(SEARCH("산업기사",$AT150)),IF($AK150&gt;=13,"특급",IF($AK150&gt;=10,"고급",IF($AK150&gt;=7,"중급","초급"))),IF(ISNUMBER(SEARCH("기사",$AR150)),IF($AK150&gt;=10,"특급",IF($AK150&gt;=7,"고급",IF($AK150&gt;=4,"중급","초급"))),"미해당"))</f>
        <v>미해당</v>
      </c>
      <c r="AN150" s="27"/>
      <c r="AO150" s="32"/>
      <c r="AP150" s="27"/>
      <c r="AQ150" s="32"/>
      <c r="AR150" s="27"/>
      <c r="AS150" s="27"/>
      <c r="AT150" s="37"/>
      <c r="AU150" s="27"/>
      <c r="AV150" s="38"/>
      <c r="AW150" s="39"/>
      <c r="AX150" s="39"/>
      <c r="AY150" s="40" t="s">
        <v>251</v>
      </c>
      <c r="AZ150" s="41" t="s">
        <v>252</v>
      </c>
      <c r="BA150" s="30" t="s">
        <v>230</v>
      </c>
      <c r="BB150" s="30" t="s">
        <v>1876</v>
      </c>
      <c r="BC150" s="42" t="s">
        <v>575</v>
      </c>
      <c r="BD150" s="42" t="s">
        <v>1877</v>
      </c>
      <c r="BE150" s="43" t="s">
        <v>1878</v>
      </c>
      <c r="BF150" s="42" t="s">
        <v>234</v>
      </c>
      <c r="BG150" s="42" t="s">
        <v>440</v>
      </c>
      <c r="BH150" s="35" t="s">
        <v>799</v>
      </c>
      <c r="BI150" s="44" t="s">
        <v>1879</v>
      </c>
      <c r="BJ150" s="45" t="str">
        <f>IFERROR(VLOOKUP($BG150,[1]프로젝트현황!Y:Z,2,0),"기타")</f>
        <v>서남권</v>
      </c>
      <c r="BK150" s="46" t="str">
        <f>(IF(BF150="","",BF150&amp;" "))&amp;(IF(BG150="","",BG150&amp;" "))&amp;(IF(BH150="","",BH150&amp;" "))&amp;BI150</f>
        <v>경기도 안양시 중구 관악대로359번길 10-18, 802호 (관양동, 신송프라자)</v>
      </c>
      <c r="BL150" s="47">
        <v>30</v>
      </c>
      <c r="BM150" s="47">
        <v>30</v>
      </c>
      <c r="BN150" s="48">
        <v>33000000</v>
      </c>
      <c r="BO150" s="48">
        <f>BP150*12</f>
        <v>33000069.599999998</v>
      </c>
      <c r="BP150" s="49">
        <f>SUM(BQ150:BS150)</f>
        <v>2750005.8</v>
      </c>
      <c r="BQ150" s="49">
        <f>ROUNDUP(BN150/12*209/(209+BU150*1.5)/BL150*BM150,-1)-BS150</f>
        <v>1960720</v>
      </c>
      <c r="BR150" s="49">
        <f>ROUNDUP(BN150/12*(BU150*1.5)/(209+BU150*1.5)/BL150*BM150,1)</f>
        <v>589285.79999999993</v>
      </c>
      <c r="BS150" s="49">
        <v>200000</v>
      </c>
      <c r="BT150" s="50">
        <v>209</v>
      </c>
      <c r="BU150" s="49">
        <f>IF($BN150="","",
IFERROR(
    IF($BN150&lt;'[1]시간외시간 기준표'!$B$2,0,
        IF($BN150&gt;LOOKUP(9.9E+307,'[1]시간외시간 기준표'!$B$2:$B$999),
            LOOKUP(9.9E+307,'[1]시간외시간 기준표'!$C$2:$C$999),
            LOOKUP($BN150,'[1]시간외시간 기준표'!$B$2:$B$999,'[1]시간외시간 기준표'!$C$2:$C$999)
        )
    ),0)
)</f>
        <v>38</v>
      </c>
      <c r="BV150" s="50">
        <f>(BQ150+BS150)/209</f>
        <v>10338.373205741627</v>
      </c>
      <c r="BW150" s="51">
        <v>30</v>
      </c>
      <c r="BX150" s="51">
        <v>30</v>
      </c>
      <c r="BY150" s="52">
        <v>33000000</v>
      </c>
      <c r="BZ150" s="52">
        <f>CA150*12</f>
        <v>33000103.200000003</v>
      </c>
      <c r="CA150" s="49">
        <f>SUM(CB150:CD150)</f>
        <v>2750008.6</v>
      </c>
      <c r="CB150" s="49">
        <f>ROUNDUP(BY150/12*209/(209+CF150*1.5)/BW150*BX150,-1)-CD150</f>
        <v>1913060</v>
      </c>
      <c r="CC150" s="49">
        <f>ROUNDUP(BY150/12*(CF150*1.5)/(209+CF150*1.5)/BW150*BX150,1)</f>
        <v>636948.6</v>
      </c>
      <c r="CD150" s="49">
        <v>200000</v>
      </c>
      <c r="CE150" s="50">
        <v>209</v>
      </c>
      <c r="CF150" s="49">
        <f>IF(BY150&lt;26000000,0,IF(BY150&lt;26500000,4,IF(BY150&lt;27000000,7,IF(BY150&lt;27500000,9,IF(BY150&lt;28000000,11,IF(BY150&lt;28500000,15,IF(BY150&lt;29000000,17,IF(BY150&lt;29500000,20,IF(BY150&lt;30000000,23,IF(BY150&lt;30500000,25,IF(BY150&lt;31000000,27,IF(BY150&lt;31500000,29,IF(BY150&lt;32000000,33,IF(BY150&lt;32500000,37,IF(BY150&lt;33000000,39,IF(BY150&lt;33500000,42,IF(BY150&lt;34000000,45,IF(BY150&lt;34500000,48,IF(BY150&lt;35000000,52,52)))))))))))))))))))</f>
        <v>42</v>
      </c>
      <c r="CG150" s="50">
        <f>(CB150+CD150)/209</f>
        <v>10110.334928229666</v>
      </c>
      <c r="CH150" s="66"/>
      <c r="CI150" s="66"/>
      <c r="CJ150" s="67"/>
      <c r="CK150" s="67"/>
      <c r="CL150" s="49"/>
      <c r="CM150" s="49"/>
      <c r="CN150" s="49"/>
      <c r="CO150" s="50"/>
      <c r="CP150" s="50"/>
      <c r="CQ150" s="50"/>
      <c r="CR150" s="50"/>
      <c r="CS150" s="52"/>
      <c r="CT150" s="53"/>
      <c r="CU150" s="53"/>
      <c r="CV150" s="53"/>
      <c r="CW150" s="54"/>
      <c r="CX150" s="54"/>
      <c r="CY150" s="54"/>
      <c r="CZ150" s="55"/>
      <c r="DA150" s="55"/>
      <c r="DB150" s="56"/>
      <c r="DC150" s="57"/>
      <c r="DD150" s="58"/>
      <c r="DE150" s="58"/>
      <c r="DF150" s="57"/>
      <c r="DG150" s="59">
        <f>B150</f>
        <v>250301</v>
      </c>
      <c r="DH150" s="58"/>
      <c r="DI150" s="58"/>
      <c r="DJ150" s="60"/>
      <c r="DK150" s="58"/>
      <c r="DL150" s="61"/>
      <c r="DM150" s="24"/>
    </row>
    <row r="151" spans="1:117" ht="15" customHeight="1">
      <c r="A151" s="25">
        <f>ROW()-2</f>
        <v>149</v>
      </c>
      <c r="B151" s="26">
        <v>250302</v>
      </c>
      <c r="C151" s="27" t="s">
        <v>1880</v>
      </c>
      <c r="D151" s="27"/>
      <c r="E151" s="27" t="s">
        <v>613</v>
      </c>
      <c r="F151" s="27" t="s">
        <v>196</v>
      </c>
      <c r="G151" s="27" t="s">
        <v>240</v>
      </c>
      <c r="H151" s="27" t="s">
        <v>260</v>
      </c>
      <c r="I151" s="27" t="s">
        <v>948</v>
      </c>
      <c r="J151" s="27" t="str">
        <f>+VLOOKUP($I151,[1]프로젝트현황!$I:$N,5,0)</f>
        <v>서울시</v>
      </c>
      <c r="K151" s="27" t="str">
        <f>+VLOOKUP($I151,[1]프로젝트현황!$I:$N,6,0)</f>
        <v>구로구</v>
      </c>
      <c r="L151" s="28">
        <v>45728</v>
      </c>
      <c r="M151" s="28">
        <v>45728</v>
      </c>
      <c r="N151" s="28"/>
      <c r="O151" s="29"/>
      <c r="P151" s="30" t="s">
        <v>1881</v>
      </c>
      <c r="Q151" s="27" t="s">
        <v>1882</v>
      </c>
      <c r="R151" s="31" t="str">
        <f>LEFT(Q151,6)</f>
        <v>951229</v>
      </c>
      <c r="S151" s="31" t="str">
        <f>MID($Q151,3,2)</f>
        <v>12</v>
      </c>
      <c r="T151" s="31" t="str">
        <f>IF(OR(MID($Q151,8,1)="1",MID($Q151,8,1)="3"),"남자",IF(OR(MID($Q151,8,1)="2",MID($Q151,8,1)="4"),"여자",""))</f>
        <v>남자</v>
      </c>
      <c r="U151" s="31">
        <f ca="1">YEAR(TODAY())-IF(OR(MID($Q151,8,1)="1",MID($Q151,8,1)="2"),19&amp;LEFT($Q151,2),IF(OR(MID($Q151,8,1)="3",MID($Q151,8,1)="4"),20&amp;LEFT($Q151,2),""))+1</f>
        <v>32</v>
      </c>
      <c r="V151" s="31" t="s">
        <v>200</v>
      </c>
      <c r="W151" s="31" t="s">
        <v>201</v>
      </c>
      <c r="X151" s="27" t="s">
        <v>1883</v>
      </c>
      <c r="Y151" s="27"/>
      <c r="Z151" s="27"/>
      <c r="AA151" s="32"/>
      <c r="AB151" s="31" t="s">
        <v>203</v>
      </c>
      <c r="AC151" s="27"/>
      <c r="AD151" s="33" t="str">
        <f ca="1">QUOTIENT(SUMPRODUCT(LEFT($AE151:$AF151,FIND("년",$AE151:$AF151)-1)*12+MID($AE151:$AF151,FIND("년",$AE151:$AF151)+1,FIND("개월",$AE151:$AF151)-FIND("년",$AE151:$AF151)-1)),12)&amp;"년"&amp;MOD(SUMPRODUCT(LEFT($AE151:$AF151,FIND("년",$AE151:$AF151)-1)*12+MID($AE151:$AF151,FIND("년",$AE151:$AF151)+1,FIND("개월",$AE151:$AF151)-FIND("년",$AE151:$AF151)-1)),12)&amp;"개월"</f>
        <v>2년10개월</v>
      </c>
      <c r="AE151" s="33" t="s">
        <v>1756</v>
      </c>
      <c r="AF151" s="34" t="str">
        <f ca="1">DATEDIF($L151,TODAY(),"y")&amp;"년"&amp;DATEDIF($L151,TODAY(),"ym")&amp;"개월"</f>
        <v>0년10개월</v>
      </c>
      <c r="AG151" s="35" t="s">
        <v>1884</v>
      </c>
      <c r="AH151" s="35" t="s">
        <v>321</v>
      </c>
      <c r="AI151" s="30" t="s">
        <v>205</v>
      </c>
      <c r="AJ151" s="32">
        <v>39856</v>
      </c>
      <c r="AK151" s="36">
        <f ca="1">VALUE(LEFT($AD151,FIND("년",$AD151)-1))</f>
        <v>2</v>
      </c>
      <c r="AL151" s="31" t="str">
        <f ca="1">IF($AI151="전문학사",IF($AK151&lt;=8,"초급",IF($AK151&lt;12,"중급",IF($AK151&lt;15,"고급",IF($AK151&gt;=15,"특급")))))</f>
        <v>초급</v>
      </c>
      <c r="AM151" s="31" t="str">
        <f>IF(ISNUMBER(SEARCH("산업기사",$AT151)),IF($AK151&gt;=13,"특급",IF($AK151&gt;=10,"고급",IF($AK151&gt;=7,"중급","초급"))),IF(ISNUMBER(SEARCH("기사",$AR151)),IF($AK151&gt;=10,"특급",IF($AK151&gt;=7,"고급",IF($AK151&gt;=4,"중급","초급"))),"미해당"))</f>
        <v>미해당</v>
      </c>
      <c r="AN151" s="27"/>
      <c r="AO151" s="32"/>
      <c r="AP151" s="27"/>
      <c r="AQ151" s="32"/>
      <c r="AR151" s="27"/>
      <c r="AS151" s="27"/>
      <c r="AT151" s="37"/>
      <c r="AU151" s="27"/>
      <c r="AV151" s="38"/>
      <c r="AW151" s="39"/>
      <c r="AX151" s="39"/>
      <c r="AY151" s="40" t="s">
        <v>251</v>
      </c>
      <c r="AZ151" s="41" t="s">
        <v>252</v>
      </c>
      <c r="BA151" s="30" t="s">
        <v>230</v>
      </c>
      <c r="BB151" s="30" t="s">
        <v>1885</v>
      </c>
      <c r="BC151" s="42" t="s">
        <v>254</v>
      </c>
      <c r="BD151" s="42" t="s">
        <v>1886</v>
      </c>
      <c r="BE151" s="43" t="s">
        <v>1887</v>
      </c>
      <c r="BF151" s="42" t="s">
        <v>1830</v>
      </c>
      <c r="BG151" s="42" t="s">
        <v>706</v>
      </c>
      <c r="BH151" s="35"/>
      <c r="BI151" s="44" t="s">
        <v>1888</v>
      </c>
      <c r="BJ151" s="45" t="str">
        <f>IFERROR(VLOOKUP($BG151,[1]프로젝트현황!Y:Z,2,0),"기타")</f>
        <v>서남권</v>
      </c>
      <c r="BK151" s="46" t="str">
        <f>(IF(BF151="","",BF151&amp;" "))&amp;(IF(BG151="","",BG151&amp;" "))&amp;(IF(BH151="","",BH151&amp;" "))&amp;BI151</f>
        <v>인천광역시 연수구 원인재로 59, 6동 501호</v>
      </c>
      <c r="BL151" s="47">
        <v>30</v>
      </c>
      <c r="BM151" s="47">
        <v>30</v>
      </c>
      <c r="BN151" s="48">
        <v>30000000</v>
      </c>
      <c r="BO151" s="48">
        <f>BP151*12</f>
        <v>30000109.200000003</v>
      </c>
      <c r="BP151" s="49">
        <f>SUM(BQ151:BS151)</f>
        <v>2500009.1</v>
      </c>
      <c r="BQ151" s="49">
        <f>ROUNDUP(BN151/12*209/(209+BU151*1.5)/BL151*BM151,-1)-BS151</f>
        <v>1959100</v>
      </c>
      <c r="BR151" s="49">
        <f>ROUNDUP(BN151/12*(BU151*1.5)/(209+BU151*1.5)/BL151*BM151,1)</f>
        <v>340909.1</v>
      </c>
      <c r="BS151" s="49">
        <v>200000</v>
      </c>
      <c r="BT151" s="50">
        <v>209</v>
      </c>
      <c r="BU151" s="49">
        <f>IF($BN151="","",
IFERROR(
    IF($BN151&lt;'[1]시간외시간 기준표'!$B$2,0,
        IF($BN151&gt;LOOKUP(9.9E+307,'[1]시간외시간 기준표'!$B$2:$B$999),
            LOOKUP(9.9E+307,'[1]시간외시간 기준표'!$C$2:$C$999),
            LOOKUP($BN151,'[1]시간외시간 기준표'!$B$2:$B$999,'[1]시간외시간 기준표'!$C$2:$C$999)
        )
    ),0)
)</f>
        <v>22</v>
      </c>
      <c r="BV151" s="50">
        <f>(BQ151+BS151)/209</f>
        <v>10330.622009569379</v>
      </c>
      <c r="BW151" s="51">
        <v>30</v>
      </c>
      <c r="BX151" s="51">
        <v>30</v>
      </c>
      <c r="BY151" s="52">
        <v>30000000</v>
      </c>
      <c r="BZ151" s="52">
        <f>CA151*12</f>
        <v>30000055.200000003</v>
      </c>
      <c r="CA151" s="49">
        <f>SUM(CB151:CD151)</f>
        <v>2500004.6</v>
      </c>
      <c r="CB151" s="49">
        <f>ROUNDUP(BY151/12*209/(209+CF151*1.5)/BW151*BX151,-1)-CD151</f>
        <v>1919680</v>
      </c>
      <c r="CC151" s="49">
        <f>ROUNDUP(BY151/12*(CF151*1.5)/(209+CF151*1.5)/BW151*BX151,1)</f>
        <v>380324.6</v>
      </c>
      <c r="CD151" s="49">
        <v>200000</v>
      </c>
      <c r="CE151" s="50">
        <v>209</v>
      </c>
      <c r="CF151" s="49">
        <f>IF(BY151&lt;26000000,0,IF(BY151&lt;26500000,4,IF(BY151&lt;27000000,7,IF(BY151&lt;27500000,9,IF(BY151&lt;28000000,11,IF(BY151&lt;28500000,15,IF(BY151&lt;29000000,17,IF(BY151&lt;29500000,20,IF(BY151&lt;30000000,23,IF(BY151&lt;30500000,25,IF(BY151&lt;31000000,27,IF(BY151&lt;31500000,29,IF(BY151&lt;32000000,33,IF(BY151&lt;32500000,37,IF(BY151&lt;33000000,39,IF(BY151&lt;33500000,42,IF(BY151&lt;34000000,45,IF(BY151&lt;34500000,48,IF(BY151&lt;35000000,52,52)))))))))))))))))))</f>
        <v>25</v>
      </c>
      <c r="CG151" s="50">
        <f>(CB151+CD151)/209</f>
        <v>10142.009569377991</v>
      </c>
      <c r="CH151" s="66"/>
      <c r="CI151" s="66"/>
      <c r="CJ151" s="67"/>
      <c r="CK151" s="67"/>
      <c r="CL151" s="49"/>
      <c r="CM151" s="49"/>
      <c r="CN151" s="49"/>
      <c r="CO151" s="50"/>
      <c r="CP151" s="50"/>
      <c r="CQ151" s="50"/>
      <c r="CR151" s="50"/>
      <c r="CS151" s="52"/>
      <c r="CT151" s="53"/>
      <c r="CU151" s="53"/>
      <c r="CV151" s="53"/>
      <c r="CW151" s="54"/>
      <c r="CX151" s="54"/>
      <c r="CY151" s="54"/>
      <c r="CZ151" s="55"/>
      <c r="DA151" s="55"/>
      <c r="DB151" s="56"/>
      <c r="DC151" s="57"/>
      <c r="DD151" s="58"/>
      <c r="DE151" s="58"/>
      <c r="DF151" s="57"/>
      <c r="DG151" s="59">
        <f>B151</f>
        <v>250302</v>
      </c>
      <c r="DH151" s="58"/>
      <c r="DI151" s="58"/>
      <c r="DJ151" s="60"/>
      <c r="DK151" s="58"/>
      <c r="DL151" s="61"/>
      <c r="DM151" s="24"/>
    </row>
    <row r="152" spans="1:117" ht="15" customHeight="1">
      <c r="A152" s="25">
        <f>ROW()-2</f>
        <v>150</v>
      </c>
      <c r="B152" s="26">
        <v>250303</v>
      </c>
      <c r="C152" s="27" t="s">
        <v>1889</v>
      </c>
      <c r="D152" s="27"/>
      <c r="E152" s="27" t="s">
        <v>239</v>
      </c>
      <c r="F152" s="27" t="s">
        <v>196</v>
      </c>
      <c r="G152" s="27" t="s">
        <v>240</v>
      </c>
      <c r="H152" s="27" t="s">
        <v>241</v>
      </c>
      <c r="I152" s="27" t="s">
        <v>455</v>
      </c>
      <c r="J152" s="27" t="str">
        <f>+VLOOKUP($I152,[1]프로젝트현황!$I:$N,5,0)</f>
        <v>경기도</v>
      </c>
      <c r="K152" s="27" t="str">
        <f>+VLOOKUP($I152,[1]프로젝트현황!$I:$N,6,0)</f>
        <v>성남시</v>
      </c>
      <c r="L152" s="28">
        <v>45733</v>
      </c>
      <c r="M152" s="28">
        <v>45733</v>
      </c>
      <c r="N152" s="28"/>
      <c r="O152" s="29"/>
      <c r="P152" s="30" t="s">
        <v>1890</v>
      </c>
      <c r="Q152" s="27" t="s">
        <v>1891</v>
      </c>
      <c r="R152" s="31" t="str">
        <f>LEFT(Q152,6)</f>
        <v>960207</v>
      </c>
      <c r="S152" s="31" t="str">
        <f>MID($Q152,3,2)</f>
        <v>02</v>
      </c>
      <c r="T152" s="31" t="str">
        <f>IF(OR(MID($Q152,8,1)="1",MID($Q152,8,1)="3"),"남자",IF(OR(MID($Q152,8,1)="2",MID($Q152,8,1)="4"),"여자",""))</f>
        <v>여자</v>
      </c>
      <c r="U152" s="31">
        <f ca="1">YEAR(TODAY())-IF(OR(MID($Q152,8,1)="1",MID($Q152,8,1)="2"),19&amp;LEFT($Q152,2),IF(OR(MID($Q152,8,1)="3",MID($Q152,8,1)="4"),20&amp;LEFT($Q152,2),""))+1</f>
        <v>31</v>
      </c>
      <c r="V152" s="31" t="s">
        <v>200</v>
      </c>
      <c r="W152" s="31" t="s">
        <v>201</v>
      </c>
      <c r="X152" s="27" t="s">
        <v>1892</v>
      </c>
      <c r="Y152" s="27"/>
      <c r="Z152" s="27"/>
      <c r="AA152" s="32"/>
      <c r="AB152" s="31" t="s">
        <v>203</v>
      </c>
      <c r="AC152" s="27"/>
      <c r="AD152" s="33" t="str">
        <f ca="1">QUOTIENT(SUMPRODUCT(LEFT($AE152:$AF152,FIND("년",$AE152:$AF152)-1)*12+MID($AE152:$AF152,FIND("년",$AE152:$AF152)+1,FIND("개월",$AE152:$AF152)-FIND("년",$AE152:$AF152)-1)),12)&amp;"년"&amp;MOD(SUMPRODUCT(LEFT($AE152:$AF152,FIND("년",$AE152:$AF152)-1)*12+MID($AE152:$AF152,FIND("년",$AE152:$AF152)+1,FIND("개월",$AE152:$AF152)-FIND("년",$AE152:$AF152)-1)),12)&amp;"개월"</f>
        <v>7년0개월</v>
      </c>
      <c r="AE152" s="33" t="s">
        <v>1710</v>
      </c>
      <c r="AF152" s="34" t="str">
        <f ca="1">DATEDIF($L152,TODAY(),"y")&amp;"년"&amp;DATEDIF($L152,TODAY(),"ym")&amp;"개월"</f>
        <v>0년10개월</v>
      </c>
      <c r="AG152" s="35" t="s">
        <v>407</v>
      </c>
      <c r="AH152" s="35" t="s">
        <v>1893</v>
      </c>
      <c r="AI152" s="30" t="s">
        <v>205</v>
      </c>
      <c r="AJ152" s="32">
        <v>43504</v>
      </c>
      <c r="AK152" s="36">
        <f ca="1">VALUE(LEFT($AD152,FIND("년",$AD152)-1))</f>
        <v>7</v>
      </c>
      <c r="AL152" s="31" t="str">
        <f ca="1">IF($AI152="전문학사",IF($AK152&lt;=8,"초급",IF($AK152&lt;12,"중급",IF($AK152&lt;15,"고급",IF($AK152&gt;=15,"특급")))))</f>
        <v>초급</v>
      </c>
      <c r="AM152" s="31" t="str">
        <f>IF(ISNUMBER(SEARCH("산업기사",$AT152)),IF($AK152&gt;=13,"특급",IF($AK152&gt;=10,"고급",IF($AK152&gt;=7,"중급","초급"))),IF(ISNUMBER(SEARCH("기사",$AR152)),IF($AK152&gt;=10,"특급",IF($AK152&gt;=7,"고급",IF($AK152&gt;=4,"중급","초급"))),"미해당"))</f>
        <v>미해당</v>
      </c>
      <c r="AN152" s="27"/>
      <c r="AO152" s="32"/>
      <c r="AP152" s="27"/>
      <c r="AQ152" s="32"/>
      <c r="AR152" s="27"/>
      <c r="AS152" s="27"/>
      <c r="AT152" s="37"/>
      <c r="AU152" s="27"/>
      <c r="AV152" s="38"/>
      <c r="AW152" s="39"/>
      <c r="AX152" s="39"/>
      <c r="AY152" s="40" t="s">
        <v>251</v>
      </c>
      <c r="AZ152" s="41" t="s">
        <v>252</v>
      </c>
      <c r="BA152" s="30" t="s">
        <v>230</v>
      </c>
      <c r="BB152" s="30" t="s">
        <v>1894</v>
      </c>
      <c r="BC152" s="42" t="s">
        <v>254</v>
      </c>
      <c r="BD152" s="42" t="s">
        <v>1895</v>
      </c>
      <c r="BE152" s="43" t="s">
        <v>1896</v>
      </c>
      <c r="BF152" s="42" t="s">
        <v>234</v>
      </c>
      <c r="BG152" s="42" t="s">
        <v>887</v>
      </c>
      <c r="BH152" s="35" t="s">
        <v>888</v>
      </c>
      <c r="BI152" s="44" t="s">
        <v>1897</v>
      </c>
      <c r="BJ152" s="45" t="str">
        <f>IFERROR(VLOOKUP($BG152,[1]프로젝트현황!Y:Z,2,0),"기타")</f>
        <v>동남권</v>
      </c>
      <c r="BK152" s="46" t="str">
        <f>(IF(BF152="","",BF152&amp;" "))&amp;(IF(BG152="","",BG152&amp;" "))&amp;(IF(BH152="","",BH152&amp;" "))&amp;BI152</f>
        <v>경기도 용인시 수지구 성복1로 62, 103동 303호</v>
      </c>
      <c r="BL152" s="47">
        <v>30</v>
      </c>
      <c r="BM152" s="47">
        <v>30</v>
      </c>
      <c r="BN152" s="48">
        <v>34000000</v>
      </c>
      <c r="BO152" s="48">
        <f>BP152*12</f>
        <v>34000082.400000006</v>
      </c>
      <c r="BP152" s="49">
        <f>SUM(BQ152:BS152)</f>
        <v>2833340.2</v>
      </c>
      <c r="BQ152" s="49">
        <f>ROUNDUP(BN152/12*209/(209+BU152*1.5)/BL152*BM152,-1)-BS152</f>
        <v>1965150</v>
      </c>
      <c r="BR152" s="49">
        <f>ROUNDUP(BN152/12*(BU152*1.5)/(209+BU152*1.5)/BL152*BM152,1)</f>
        <v>668190.19999999995</v>
      </c>
      <c r="BS152" s="49">
        <v>200000</v>
      </c>
      <c r="BT152" s="50">
        <v>209</v>
      </c>
      <c r="BU152" s="49">
        <f>IF($BN152="","",
IFERROR(
    IF($BN152&lt;'[1]시간외시간 기준표'!$B$2,0,
        IF($BN152&gt;LOOKUP(9.9E+307,'[1]시간외시간 기준표'!$B$2:$B$999),
            LOOKUP(9.9E+307,'[1]시간외시간 기준표'!$C$2:$C$999),
            LOOKUP($BN152,'[1]시간외시간 기준표'!$B$2:$B$999,'[1]시간외시간 기준표'!$C$2:$C$999)
        )
    ),0)
)</f>
        <v>43</v>
      </c>
      <c r="BV152" s="50">
        <f>(BQ152+BS152)/209</f>
        <v>10359.56937799043</v>
      </c>
      <c r="BW152" s="51">
        <v>30</v>
      </c>
      <c r="BX152" s="51">
        <v>30</v>
      </c>
      <c r="BY152" s="52">
        <v>34000000</v>
      </c>
      <c r="BZ152" s="52">
        <f>CA152*12</f>
        <v>34000064.400000006</v>
      </c>
      <c r="CA152" s="49">
        <f>SUM(CB152:CD152)</f>
        <v>2833338.7</v>
      </c>
      <c r="CB152" s="49">
        <f>ROUNDUP(BY152/12*209/(209+CF152*1.5)/BW152*BX152,-1)-CD152</f>
        <v>1907360</v>
      </c>
      <c r="CC152" s="49">
        <f>ROUNDUP(BY152/12*(CF152*1.5)/(209+CF152*1.5)/BW152*BX152,1)</f>
        <v>725978.7</v>
      </c>
      <c r="CD152" s="49">
        <v>200000</v>
      </c>
      <c r="CE152" s="50">
        <v>209</v>
      </c>
      <c r="CF152" s="49">
        <f>IF(BY152&lt;26000000,0,IF(BY152&lt;26500000,4,IF(BY152&lt;27000000,7,IF(BY152&lt;27500000,9,IF(BY152&lt;28000000,11,IF(BY152&lt;28500000,15,IF(BY152&lt;29000000,17,IF(BY152&lt;29500000,20,IF(BY152&lt;30000000,23,IF(BY152&lt;30500000,25,IF(BY152&lt;31000000,27,IF(BY152&lt;31500000,29,IF(BY152&lt;32000000,33,IF(BY152&lt;32500000,37,IF(BY152&lt;33000000,39,IF(BY152&lt;33500000,42,IF(BY152&lt;34000000,45,IF(BY152&lt;34500000,48,IF(BY152&lt;35000000,52,52)))))))))))))))))))</f>
        <v>48</v>
      </c>
      <c r="CG152" s="50">
        <f>(CB152+CD152)/209</f>
        <v>10083.062200956938</v>
      </c>
      <c r="CH152" s="66"/>
      <c r="CI152" s="66"/>
      <c r="CJ152" s="67"/>
      <c r="CK152" s="67"/>
      <c r="CL152" s="49"/>
      <c r="CM152" s="49"/>
      <c r="CN152" s="49"/>
      <c r="CO152" s="50"/>
      <c r="CP152" s="50"/>
      <c r="CQ152" s="50"/>
      <c r="CR152" s="50"/>
      <c r="CS152" s="52"/>
      <c r="CT152" s="53"/>
      <c r="CU152" s="53"/>
      <c r="CV152" s="53"/>
      <c r="CW152" s="54"/>
      <c r="CX152" s="54"/>
      <c r="CY152" s="54"/>
      <c r="CZ152" s="55"/>
      <c r="DA152" s="55"/>
      <c r="DB152" s="56"/>
      <c r="DC152" s="57"/>
      <c r="DD152" s="58"/>
      <c r="DE152" s="58"/>
      <c r="DF152" s="57"/>
      <c r="DG152" s="59">
        <f>B152</f>
        <v>250303</v>
      </c>
      <c r="DH152" s="58"/>
      <c r="DI152" s="58"/>
      <c r="DJ152" s="60"/>
      <c r="DK152" s="58"/>
      <c r="DL152" s="61"/>
      <c r="DM152" s="24"/>
    </row>
    <row r="153" spans="1:117" ht="15" customHeight="1">
      <c r="A153" s="25">
        <f>ROW()-2</f>
        <v>151</v>
      </c>
      <c r="B153" s="26">
        <v>250304</v>
      </c>
      <c r="C153" s="27" t="s">
        <v>1898</v>
      </c>
      <c r="D153" s="27"/>
      <c r="E153" s="27" t="s">
        <v>613</v>
      </c>
      <c r="F153" s="27" t="s">
        <v>196</v>
      </c>
      <c r="G153" s="27" t="s">
        <v>493</v>
      </c>
      <c r="H153" s="27" t="s">
        <v>494</v>
      </c>
      <c r="I153" s="27" t="s">
        <v>494</v>
      </c>
      <c r="J153" s="27" t="str">
        <f>+VLOOKUP($I153,[1]프로젝트현황!$I:$N,5,0)</f>
        <v>서울시</v>
      </c>
      <c r="K153" s="27" t="str">
        <f>+VLOOKUP($I153,[1]프로젝트현황!$I:$N,6,0)</f>
        <v>강남구</v>
      </c>
      <c r="L153" s="28">
        <v>45733</v>
      </c>
      <c r="M153" s="28">
        <v>45733</v>
      </c>
      <c r="N153" s="28"/>
      <c r="O153" s="29"/>
      <c r="P153" s="30" t="s">
        <v>1899</v>
      </c>
      <c r="Q153" s="27" t="s">
        <v>1900</v>
      </c>
      <c r="R153" s="31" t="str">
        <f>LEFT(Q153,6)</f>
        <v>970329</v>
      </c>
      <c r="S153" s="31" t="str">
        <f>MID($Q153,3,2)</f>
        <v>03</v>
      </c>
      <c r="T153" s="31" t="str">
        <f>IF(OR(MID($Q153,8,1)="1",MID($Q153,8,1)="3"),"남자",IF(OR(MID($Q153,8,1)="2",MID($Q153,8,1)="4"),"여자",""))</f>
        <v>여자</v>
      </c>
      <c r="U153" s="31">
        <f ca="1">YEAR(TODAY())-IF(OR(MID($Q153,8,1)="1",MID($Q153,8,1)="2"),19&amp;LEFT($Q153,2),IF(OR(MID($Q153,8,1)="3",MID($Q153,8,1)="4"),20&amp;LEFT($Q153,2),""))+1</f>
        <v>30</v>
      </c>
      <c r="V153" s="31" t="s">
        <v>200</v>
      </c>
      <c r="W153" s="31" t="s">
        <v>201</v>
      </c>
      <c r="X153" s="27" t="s">
        <v>1901</v>
      </c>
      <c r="Y153" s="27"/>
      <c r="Z153" s="27"/>
      <c r="AA153" s="32"/>
      <c r="AB153" s="31" t="s">
        <v>203</v>
      </c>
      <c r="AC153" s="27"/>
      <c r="AD153" s="33" t="str">
        <f ca="1">QUOTIENT(SUMPRODUCT(LEFT($AE153:$AF153,FIND("년",$AE153:$AF153)-1)*12+MID($AE153:$AF153,FIND("년",$AE153:$AF153)+1,FIND("개월",$AE153:$AF153)-FIND("년",$AE153:$AF153)-1)),12)&amp;"년"&amp;MOD(SUMPRODUCT(LEFT($AE153:$AF153,FIND("년",$AE153:$AF153)-1)*12+MID($AE153:$AF153,FIND("년",$AE153:$AF153)+1,FIND("개월",$AE153:$AF153)-FIND("년",$AE153:$AF153)-1)),12)&amp;"개월"</f>
        <v>3년5개월</v>
      </c>
      <c r="AE153" s="33" t="s">
        <v>1902</v>
      </c>
      <c r="AF153" s="34" t="str">
        <f ca="1">DATEDIF($L153,TODAY(),"y")&amp;"년"&amp;DATEDIF($L153,TODAY(),"ym")&amp;"개월"</f>
        <v>0년10개월</v>
      </c>
      <c r="AG153" s="35" t="s">
        <v>1903</v>
      </c>
      <c r="AH153" s="35" t="s">
        <v>1904</v>
      </c>
      <c r="AI153" s="30" t="s">
        <v>270</v>
      </c>
      <c r="AJ153" s="32">
        <v>44060</v>
      </c>
      <c r="AK153" s="36">
        <f ca="1">VALUE(LEFT($AD153,FIND("년",$AD153)-1))</f>
        <v>3</v>
      </c>
      <c r="AL153" s="31" t="str">
        <f ca="1">IF($AI153="학사",IF($AK153&lt;=8,"초급",IF($AK153&lt;12,"중급",IF($AK153&lt;15,"고급",IF($AK153&gt;=15,"특급")))))</f>
        <v>초급</v>
      </c>
      <c r="AM153" s="31" t="str">
        <f>IF(ISNUMBER(SEARCH("산업기사",$AT153)),IF($AK153&gt;=13,"특급",IF($AK153&gt;=10,"고급",IF($AK153&gt;=7,"중급","초급"))),IF(ISNUMBER(SEARCH("기사",$AR153)),IF($AK153&gt;=10,"특급",IF($AK153&gt;=7,"고급",IF($AK153&gt;=4,"중급","초급"))),"미해당"))</f>
        <v>미해당</v>
      </c>
      <c r="AN153" s="27"/>
      <c r="AO153" s="32"/>
      <c r="AP153" s="27"/>
      <c r="AQ153" s="32"/>
      <c r="AR153" s="27"/>
      <c r="AS153" s="27"/>
      <c r="AT153" s="37"/>
      <c r="AU153" s="27"/>
      <c r="AV153" s="38"/>
      <c r="AW153" s="39"/>
      <c r="AX153" s="39"/>
      <c r="AY153" s="40" t="s">
        <v>251</v>
      </c>
      <c r="AZ153" s="41" t="s">
        <v>252</v>
      </c>
      <c r="BA153" s="30" t="s">
        <v>230</v>
      </c>
      <c r="BB153" s="30" t="s">
        <v>1905</v>
      </c>
      <c r="BC153" s="42"/>
      <c r="BD153" s="42"/>
      <c r="BE153" s="43" t="s">
        <v>1906</v>
      </c>
      <c r="BF153" s="42" t="s">
        <v>1830</v>
      </c>
      <c r="BG153" s="42" t="s">
        <v>763</v>
      </c>
      <c r="BH153" s="35" t="s">
        <v>1907</v>
      </c>
      <c r="BI153" s="44" t="s">
        <v>1908</v>
      </c>
      <c r="BJ153" s="45" t="str">
        <f>IFERROR(VLOOKUP($BG153,[1]프로젝트현황!Y:Z,2,0),"기타")</f>
        <v>서남권</v>
      </c>
      <c r="BK153" s="46" t="str">
        <f>(IF(BF153="","",BF153&amp;" "))&amp;(IF(BG153="","",BG153&amp;" "))&amp;(IF(BH153="","",BH153&amp;" "))&amp;BI153</f>
        <v>인천광역시 서구 중봉대로586번길 22, 103동 2006호 (청라동, 청라엑슬루타워)</v>
      </c>
      <c r="BL153" s="47">
        <v>30</v>
      </c>
      <c r="BM153" s="47">
        <v>30</v>
      </c>
      <c r="BN153" s="48">
        <v>39000000</v>
      </c>
      <c r="BO153" s="48">
        <f>BP153*12</f>
        <v>39000063.599999994</v>
      </c>
      <c r="BP153" s="49">
        <f>SUM(BQ153:BS153)</f>
        <v>3250005.3</v>
      </c>
      <c r="BQ153" s="49">
        <f>ROUNDUP(BN153/12*209/(209+BU153*1.5)/BL153*BM153,-1)-BS153</f>
        <v>2166730</v>
      </c>
      <c r="BR153" s="49">
        <f>ROUNDUP(BN153/12*(BU153*1.5)/(209+BU153*1.5)/BL153*BM153,1)</f>
        <v>883275.29999999993</v>
      </c>
      <c r="BS153" s="49">
        <v>200000</v>
      </c>
      <c r="BT153" s="50">
        <v>209</v>
      </c>
      <c r="BU153" s="49">
        <f>IF($BN153="","",
IFERROR(
    IF($BN153&lt;'[1]시간외시간 기준표'!$B$2,0,
        IF($BN153&gt;LOOKUP(9.9E+307,'[1]시간외시간 기준표'!$B$2:$B$999),
            LOOKUP(9.9E+307,'[1]시간외시간 기준표'!$C$2:$C$999),
            LOOKUP($BN153,'[1]시간외시간 기준표'!$B$2:$B$999,'[1]시간외시간 기준표'!$C$2:$C$999)
        )
    ),0)
)</f>
        <v>52</v>
      </c>
      <c r="BV153" s="50">
        <f>(BQ153+BS153)/209</f>
        <v>11324.066985645934</v>
      </c>
      <c r="BW153" s="51">
        <v>30</v>
      </c>
      <c r="BX153" s="51">
        <v>30</v>
      </c>
      <c r="BY153" s="52">
        <v>39000000</v>
      </c>
      <c r="BZ153" s="52">
        <f>CA153*12</f>
        <v>39000063.599999994</v>
      </c>
      <c r="CA153" s="49">
        <f>SUM(CB153:CD153)</f>
        <v>3250005.3</v>
      </c>
      <c r="CB153" s="49">
        <f>ROUNDUP(BY153/12*209/(209+CF153*1.5)/BW153*BX153,-1)-CD153</f>
        <v>2166730</v>
      </c>
      <c r="CC153" s="49">
        <f>ROUNDUP(BY153/12*(CF153*1.5)/(209+CF153*1.5)/BW153*BX153,1)</f>
        <v>883275.29999999993</v>
      </c>
      <c r="CD153" s="49">
        <v>200000</v>
      </c>
      <c r="CE153" s="50">
        <v>209</v>
      </c>
      <c r="CF153" s="49">
        <f>IF(BY153&lt;26000000,0,IF(BY153&lt;26500000,4,IF(BY153&lt;27000000,7,IF(BY153&lt;27500000,9,IF(BY153&lt;28000000,11,IF(BY153&lt;28500000,15,IF(BY153&lt;29000000,17,IF(BY153&lt;29500000,20,IF(BY153&lt;30000000,23,IF(BY153&lt;30500000,25,IF(BY153&lt;31000000,27,IF(BY153&lt;31500000,29,IF(BY153&lt;32000000,33,IF(BY153&lt;32500000,37,IF(BY153&lt;33000000,39,IF(BY153&lt;33500000,42,IF(BY153&lt;34000000,45,IF(BY153&lt;34500000,48,IF(BY153&lt;35000000,52,52)))))))))))))))))))</f>
        <v>52</v>
      </c>
      <c r="CG153" s="50">
        <f>(CB153+CD153)/209</f>
        <v>11324.066985645934</v>
      </c>
      <c r="CH153" s="66"/>
      <c r="CI153" s="66"/>
      <c r="CJ153" s="67"/>
      <c r="CK153" s="67"/>
      <c r="CL153" s="49"/>
      <c r="CM153" s="49"/>
      <c r="CN153" s="49"/>
      <c r="CO153" s="50"/>
      <c r="CP153" s="50"/>
      <c r="CQ153" s="50"/>
      <c r="CR153" s="50"/>
      <c r="CS153" s="52"/>
      <c r="CT153" s="53"/>
      <c r="CU153" s="53"/>
      <c r="CV153" s="53"/>
      <c r="CW153" s="54"/>
      <c r="CX153" s="54"/>
      <c r="CY153" s="54"/>
      <c r="CZ153" s="55"/>
      <c r="DA153" s="55"/>
      <c r="DB153" s="56"/>
      <c r="DC153" s="57"/>
      <c r="DD153" s="58"/>
      <c r="DE153" s="58"/>
      <c r="DF153" s="57"/>
      <c r="DG153" s="59">
        <f>B153</f>
        <v>250304</v>
      </c>
      <c r="DH153" s="58"/>
      <c r="DI153" s="58"/>
      <c r="DJ153" s="60"/>
      <c r="DK153" s="58"/>
      <c r="DL153" s="61"/>
      <c r="DM153" s="24"/>
    </row>
    <row r="154" spans="1:117" ht="15" customHeight="1">
      <c r="A154" s="25">
        <f>ROW()-2</f>
        <v>152</v>
      </c>
      <c r="B154" s="26">
        <v>250305</v>
      </c>
      <c r="C154" s="27" t="s">
        <v>1909</v>
      </c>
      <c r="D154" s="27"/>
      <c r="E154" s="27" t="s">
        <v>613</v>
      </c>
      <c r="F154" s="27" t="s">
        <v>196</v>
      </c>
      <c r="G154" s="27" t="s">
        <v>240</v>
      </c>
      <c r="H154" s="27" t="s">
        <v>241</v>
      </c>
      <c r="I154" s="27" t="s">
        <v>675</v>
      </c>
      <c r="J154" s="27" t="str">
        <f>+VLOOKUP($I154,[1]프로젝트현황!$I:$N,5,0)</f>
        <v>경기도</v>
      </c>
      <c r="K154" s="27" t="str">
        <f>+VLOOKUP($I154,[1]프로젝트현황!$I:$N,6,0)</f>
        <v>성남시</v>
      </c>
      <c r="L154" s="28">
        <v>45740</v>
      </c>
      <c r="M154" s="28">
        <v>45740</v>
      </c>
      <c r="N154" s="28"/>
      <c r="O154" s="29"/>
      <c r="P154" s="30" t="s">
        <v>1861</v>
      </c>
      <c r="Q154" s="27" t="s">
        <v>1910</v>
      </c>
      <c r="R154" s="31" t="str">
        <f>LEFT(Q154,6)</f>
        <v>040714</v>
      </c>
      <c r="S154" s="31" t="str">
        <f>MID($Q154,3,2)</f>
        <v>07</v>
      </c>
      <c r="T154" s="31" t="str">
        <f>IF(OR(MID($Q154,8,1)="1",MID($Q154,8,1)="3"),"남자",IF(OR(MID($Q154,8,1)="2",MID($Q154,8,1)="4"),"여자",""))</f>
        <v>여자</v>
      </c>
      <c r="U154" s="31">
        <f ca="1">YEAR(TODAY())-IF(OR(MID($Q154,8,1)="1",MID($Q154,8,1)="2"),19&amp;LEFT($Q154,2),IF(OR(MID($Q154,8,1)="3",MID($Q154,8,1)="4"),20&amp;LEFT($Q154,2),""))+1</f>
        <v>23</v>
      </c>
      <c r="V154" s="31" t="s">
        <v>200</v>
      </c>
      <c r="W154" s="31" t="s">
        <v>201</v>
      </c>
      <c r="X154" s="27" t="s">
        <v>1911</v>
      </c>
      <c r="Y154" s="27"/>
      <c r="Z154" s="27"/>
      <c r="AA154" s="32"/>
      <c r="AB154" s="31" t="s">
        <v>203</v>
      </c>
      <c r="AC154" s="27"/>
      <c r="AD154" s="33" t="str">
        <f ca="1">QUOTIENT(SUMPRODUCT(LEFT($AE154:$AF154,FIND("년",$AE154:$AF154)-1)*12+MID($AE154:$AF154,FIND("년",$AE154:$AF154)+1,FIND("개월",$AE154:$AF154)-FIND("년",$AE154:$AF154)-1)),12)&amp;"년"&amp;MOD(SUMPRODUCT(LEFT($AE154:$AF154,FIND("년",$AE154:$AF154)-1)*12+MID($AE154:$AF154,FIND("년",$AE154:$AF154)+1,FIND("개월",$AE154:$AF154)-FIND("년",$AE154:$AF154)-1)),12)&amp;"개월"</f>
        <v>0년10개월</v>
      </c>
      <c r="AE154" s="33" t="s">
        <v>543</v>
      </c>
      <c r="AF154" s="34" t="str">
        <f ca="1">DATEDIF($L154,TODAY(),"y")&amp;"년"&amp;DATEDIF($L154,TODAY(),"ym")&amp;"개월"</f>
        <v>0년10개월</v>
      </c>
      <c r="AG154" s="35" t="s">
        <v>906</v>
      </c>
      <c r="AH154" s="35" t="s">
        <v>1633</v>
      </c>
      <c r="AI154" s="30" t="s">
        <v>205</v>
      </c>
      <c r="AJ154" s="32">
        <v>45702</v>
      </c>
      <c r="AK154" s="36">
        <f ca="1">VALUE(LEFT($AD154,FIND("년",$AD154)-1))</f>
        <v>0</v>
      </c>
      <c r="AL154" s="31" t="str">
        <f ca="1">IF($AI154="전문학사",IF($AK154&lt;=8,"초급",IF($AK154&lt;12,"중급",IF($AK154&lt;15,"고급",IF($AK154&gt;=15,"특급")))))</f>
        <v>초급</v>
      </c>
      <c r="AM154" s="31" t="str">
        <f>IF(ISNUMBER(SEARCH("산업기사",$AT154)),IF($AK154&gt;=13,"특급",IF($AK154&gt;=10,"고급",IF($AK154&gt;=7,"중급","초급"))),IF(ISNUMBER(SEARCH("기사",$AR154)),IF($AK154&gt;=10,"특급",IF($AK154&gt;=7,"고급",IF($AK154&gt;=4,"중급","초급"))),"미해당"))</f>
        <v>미해당</v>
      </c>
      <c r="AN154" s="27"/>
      <c r="AO154" s="32"/>
      <c r="AP154" s="27"/>
      <c r="AQ154" s="32"/>
      <c r="AR154" s="27"/>
      <c r="AS154" s="27"/>
      <c r="AT154" s="37"/>
      <c r="AU154" s="27"/>
      <c r="AV154" s="38"/>
      <c r="AW154" s="39"/>
      <c r="AX154" s="39"/>
      <c r="AY154" s="40" t="s">
        <v>251</v>
      </c>
      <c r="AZ154" s="41" t="s">
        <v>252</v>
      </c>
      <c r="BA154" s="30" t="s">
        <v>230</v>
      </c>
      <c r="BB154" s="30" t="s">
        <v>1912</v>
      </c>
      <c r="BC154" s="42" t="s">
        <v>275</v>
      </c>
      <c r="BD154" s="42" t="s">
        <v>1913</v>
      </c>
      <c r="BE154" s="43" t="s">
        <v>1914</v>
      </c>
      <c r="BF154" s="42" t="s">
        <v>1688</v>
      </c>
      <c r="BG154" s="42" t="s">
        <v>371</v>
      </c>
      <c r="BH154" s="35"/>
      <c r="BI154" s="44" t="s">
        <v>1915</v>
      </c>
      <c r="BJ154" s="45" t="str">
        <f>IFERROR(VLOOKUP($BG154,[1]프로젝트현황!Y:Z,2,0),"기타")</f>
        <v>서남권</v>
      </c>
      <c r="BK154" s="46" t="str">
        <f>(IF(BF154="","",BF154&amp;" "))&amp;(IF(BG154="","",BG154&amp;" "))&amp;(IF(BH154="","",BH154&amp;" "))&amp;BI154</f>
        <v>서울특별시 관악구 난곡로16길 27 (신림동)</v>
      </c>
      <c r="BL154" s="47">
        <v>30</v>
      </c>
      <c r="BM154" s="47">
        <v>30</v>
      </c>
      <c r="BN154" s="48">
        <v>27000000</v>
      </c>
      <c r="BO154" s="48">
        <f>BP154*12</f>
        <v>27000120</v>
      </c>
      <c r="BP154" s="49">
        <f>SUM(BQ154:BS154)</f>
        <v>2250010</v>
      </c>
      <c r="BQ154" s="49">
        <f>ROUNDUP(BN154/12*209/(209+BU154*1.5)/BL154*BM154,-1)-BS154</f>
        <v>1957120</v>
      </c>
      <c r="BR154" s="49">
        <f>ROUNDUP(BN154/12*(BU154*1.5)/(209+BU154*1.5)/BL154*BM154,1)</f>
        <v>92890</v>
      </c>
      <c r="BS154" s="49">
        <v>200000</v>
      </c>
      <c r="BT154" s="50">
        <v>209</v>
      </c>
      <c r="BU154" s="49">
        <f>IF($BN154="","",
IFERROR(
    IF($BN154&lt;'[1]시간외시간 기준표'!$B$2,0,
        IF($BN154&gt;LOOKUP(9.9E+307,'[1]시간외시간 기준표'!$B$2:$B$999),
            LOOKUP(9.9E+307,'[1]시간외시간 기준표'!$C$2:$C$999),
            LOOKUP($BN154,'[1]시간외시간 기준표'!$B$2:$B$999,'[1]시간외시간 기준표'!$C$2:$C$999)
        )
    ),0)
)</f>
        <v>6</v>
      </c>
      <c r="BV154" s="50">
        <f>(BQ154+BS154)/209</f>
        <v>10321.148325358852</v>
      </c>
      <c r="BW154" s="51">
        <v>30</v>
      </c>
      <c r="BX154" s="51">
        <v>30</v>
      </c>
      <c r="BY154" s="52">
        <v>27000000</v>
      </c>
      <c r="BZ154" s="52">
        <f>CA154*12</f>
        <v>27000082.799999997</v>
      </c>
      <c r="CA154" s="49">
        <f>SUM(CB154:CD154)</f>
        <v>2250006.9</v>
      </c>
      <c r="CB154" s="49">
        <f>ROUNDUP(BY154/12*209/(209+CF154*1.5)/BW154*BX154,-1)-CD154</f>
        <v>1913490</v>
      </c>
      <c r="CC154" s="49">
        <f>ROUNDUP(BY154/12*(CF154*1.5)/(209+CF154*1.5)/BW154*BX154,1)</f>
        <v>136516.9</v>
      </c>
      <c r="CD154" s="49">
        <v>200000</v>
      </c>
      <c r="CE154" s="50">
        <v>209</v>
      </c>
      <c r="CF154" s="49">
        <f>IF(BY154&lt;26000000,0,IF(BY154&lt;26500000,4,IF(BY154&lt;27000000,7,IF(BY154&lt;27500000,9,IF(BY154&lt;28000000,11,IF(BY154&lt;28500000,15,IF(BY154&lt;29000000,17,IF(BY154&lt;29500000,20,IF(BY154&lt;30000000,23,IF(BY154&lt;30500000,25,IF(BY154&lt;31000000,27,IF(BY154&lt;31500000,29,IF(BY154&lt;32000000,33,IF(BY154&lt;32500000,37,IF(BY154&lt;33000000,39,IF(BY154&lt;33500000,42,IF(BY154&lt;34000000,45,IF(BY154&lt;34500000,48,IF(BY154&lt;35000000,52,52)))))))))))))))))))</f>
        <v>9</v>
      </c>
      <c r="CG154" s="50">
        <f>(CB154+CD154)/209</f>
        <v>10112.392344497608</v>
      </c>
      <c r="CH154" s="66"/>
      <c r="CI154" s="66"/>
      <c r="CJ154" s="67"/>
      <c r="CK154" s="67"/>
      <c r="CL154" s="49"/>
      <c r="CM154" s="49"/>
      <c r="CN154" s="49"/>
      <c r="CO154" s="50"/>
      <c r="CP154" s="50"/>
      <c r="CQ154" s="50"/>
      <c r="CR154" s="50"/>
      <c r="CS154" s="52"/>
      <c r="CT154" s="53"/>
      <c r="CU154" s="53"/>
      <c r="CV154" s="53"/>
      <c r="CW154" s="54"/>
      <c r="CX154" s="54"/>
      <c r="CY154" s="54"/>
      <c r="CZ154" s="55"/>
      <c r="DA154" s="55"/>
      <c r="DB154" s="56"/>
      <c r="DC154" s="57"/>
      <c r="DD154" s="58"/>
      <c r="DE154" s="58"/>
      <c r="DF154" s="57"/>
      <c r="DG154" s="59">
        <f>B154</f>
        <v>250305</v>
      </c>
      <c r="DH154" s="58"/>
      <c r="DI154" s="58"/>
      <c r="DJ154" s="60"/>
      <c r="DK154" s="58"/>
      <c r="DL154" s="61"/>
      <c r="DM154" s="24"/>
    </row>
    <row r="155" spans="1:117" ht="15" customHeight="1">
      <c r="A155" s="25">
        <f>ROW()-2</f>
        <v>153</v>
      </c>
      <c r="B155" s="26">
        <v>250306</v>
      </c>
      <c r="C155" s="27" t="s">
        <v>1916</v>
      </c>
      <c r="D155" s="27"/>
      <c r="E155" s="27" t="s">
        <v>239</v>
      </c>
      <c r="F155" s="27" t="s">
        <v>196</v>
      </c>
      <c r="G155" s="27" t="s">
        <v>240</v>
      </c>
      <c r="H155" s="27" t="s">
        <v>241</v>
      </c>
      <c r="I155" s="27" t="s">
        <v>675</v>
      </c>
      <c r="J155" s="27" t="str">
        <f>+VLOOKUP($I155,[1]프로젝트현황!$I:$N,5,0)</f>
        <v>경기도</v>
      </c>
      <c r="K155" s="27" t="str">
        <f>+VLOOKUP($I155,[1]프로젝트현황!$I:$N,6,0)</f>
        <v>성남시</v>
      </c>
      <c r="L155" s="28">
        <v>45740</v>
      </c>
      <c r="M155" s="28">
        <v>45740</v>
      </c>
      <c r="N155" s="28"/>
      <c r="O155" s="29"/>
      <c r="P155" s="30" t="s">
        <v>1917</v>
      </c>
      <c r="Q155" s="27" t="s">
        <v>1918</v>
      </c>
      <c r="R155" s="31" t="str">
        <f>LEFT(Q155,6)</f>
        <v>890317</v>
      </c>
      <c r="S155" s="31" t="str">
        <f>MID($Q155,3,2)</f>
        <v>03</v>
      </c>
      <c r="T155" s="31" t="str">
        <f>IF(OR(MID($Q155,8,1)="1",MID($Q155,8,1)="3"),"남자",IF(OR(MID($Q155,8,1)="2",MID($Q155,8,1)="4"),"여자",""))</f>
        <v>남자</v>
      </c>
      <c r="U155" s="31">
        <f ca="1">YEAR(TODAY())-IF(OR(MID($Q155,8,1)="1",MID($Q155,8,1)="2"),19&amp;LEFT($Q155,2),IF(OR(MID($Q155,8,1)="3",MID($Q155,8,1)="4"),20&amp;LEFT($Q155,2),""))+1</f>
        <v>38</v>
      </c>
      <c r="V155" s="31" t="s">
        <v>200</v>
      </c>
      <c r="W155" s="31" t="s">
        <v>201</v>
      </c>
      <c r="X155" s="27" t="s">
        <v>1919</v>
      </c>
      <c r="Y155" s="27"/>
      <c r="Z155" s="27"/>
      <c r="AA155" s="32"/>
      <c r="AB155" s="31" t="s">
        <v>203</v>
      </c>
      <c r="AC155" s="27"/>
      <c r="AD155" s="33" t="str">
        <f ca="1">QUOTIENT(SUMPRODUCT(LEFT($AE155:$AF155,FIND("년",$AE155:$AF155)-1)*12+MID($AE155:$AF155,FIND("년",$AE155:$AF155)+1,FIND("개월",$AE155:$AF155)-FIND("년",$AE155:$AF155)-1)),12)&amp;"년"&amp;MOD(SUMPRODUCT(LEFT($AE155:$AF155,FIND("년",$AE155:$AF155)-1)*12+MID($AE155:$AF155,FIND("년",$AE155:$AF155)+1,FIND("개월",$AE155:$AF155)-FIND("년",$AE155:$AF155)-1)),12)&amp;"개월"</f>
        <v>9년5개월</v>
      </c>
      <c r="AE155" s="33" t="s">
        <v>1920</v>
      </c>
      <c r="AF155" s="34" t="str">
        <f ca="1">DATEDIF($L155,TODAY(),"y")&amp;"년"&amp;DATEDIF($L155,TODAY(),"ym")&amp;"개월"</f>
        <v>0년10개월</v>
      </c>
      <c r="AG155" s="35" t="s">
        <v>1921</v>
      </c>
      <c r="AH155" s="35" t="s">
        <v>1235</v>
      </c>
      <c r="AI155" s="30" t="s">
        <v>270</v>
      </c>
      <c r="AJ155" s="32">
        <v>42422</v>
      </c>
      <c r="AK155" s="36">
        <f ca="1">VALUE(LEFT($AD155,FIND("년",$AD155)-1))</f>
        <v>9</v>
      </c>
      <c r="AL155" s="31" t="str">
        <f ca="1">IF($AI155="학사",IF($AK155&lt;=8,"초급",IF($AK155&lt;12,"중급",IF($AK155&lt;15,"고급",IF($AK155&gt;=15,"특급")))))</f>
        <v>중급</v>
      </c>
      <c r="AM155" s="31" t="str">
        <f>IF(ISNUMBER(SEARCH("산업기사",$AT155)),IF($AK155&gt;=13,"특급",IF($AK155&gt;=10,"고급",IF($AK155&gt;=7,"중급","초급"))),IF(ISNUMBER(SEARCH("기사",$AR155)),IF($AK155&gt;=10,"특급",IF($AK155&gt;=7,"고급",IF($AK155&gt;=4,"중급","초급"))),"미해당"))</f>
        <v>미해당</v>
      </c>
      <c r="AN155" s="27"/>
      <c r="AO155" s="32"/>
      <c r="AP155" s="27"/>
      <c r="AQ155" s="32"/>
      <c r="AR155" s="27"/>
      <c r="AS155" s="27"/>
      <c r="AT155" s="37"/>
      <c r="AU155" s="27"/>
      <c r="AV155" s="38"/>
      <c r="AW155" s="39"/>
      <c r="AX155" s="39"/>
      <c r="AY155" s="40" t="s">
        <v>251</v>
      </c>
      <c r="AZ155" s="41" t="s">
        <v>252</v>
      </c>
      <c r="BA155" s="30" t="s">
        <v>230</v>
      </c>
      <c r="BB155" s="30" t="s">
        <v>1922</v>
      </c>
      <c r="BC155" s="42" t="s">
        <v>254</v>
      </c>
      <c r="BD155" s="42" t="s">
        <v>1923</v>
      </c>
      <c r="BE155" s="43" t="s">
        <v>1924</v>
      </c>
      <c r="BF155" s="42" t="s">
        <v>1688</v>
      </c>
      <c r="BG155" s="42" t="s">
        <v>875</v>
      </c>
      <c r="BH155" s="35"/>
      <c r="BI155" s="44" t="s">
        <v>1925</v>
      </c>
      <c r="BJ155" s="45" t="str">
        <f>IFERROR(VLOOKUP($BG155,[1]프로젝트현황!Y:Z,2,0),"기타")</f>
        <v>서남권</v>
      </c>
      <c r="BK155" s="46" t="str">
        <f>(IF(BF155="","",BF155&amp;" "))&amp;(IF(BG155="","",BG155&amp;" "))&amp;(IF(BH155="","",BH155&amp;" "))&amp;BI155</f>
        <v>서울특별시 양천구 곰달래로13길 8 (신월동)</v>
      </c>
      <c r="BL155" s="47">
        <v>30</v>
      </c>
      <c r="BM155" s="47">
        <v>30</v>
      </c>
      <c r="BN155" s="48">
        <v>38000000</v>
      </c>
      <c r="BO155" s="48">
        <f>BP155*12</f>
        <v>38000006.400000006</v>
      </c>
      <c r="BP155" s="49">
        <f>SUM(BQ155:BS155)</f>
        <v>3166667.2</v>
      </c>
      <c r="BQ155" s="49">
        <f>ROUNDUP(BN155/12*209/(209+BU155*1.5)/BL155*BM155,-1)-BS155</f>
        <v>2106040</v>
      </c>
      <c r="BR155" s="49">
        <f>ROUNDUP(BN155/12*(BU155*1.5)/(209+BU155*1.5)/BL155*BM155,1)</f>
        <v>860627.2</v>
      </c>
      <c r="BS155" s="49">
        <v>200000</v>
      </c>
      <c r="BT155" s="50">
        <v>209</v>
      </c>
      <c r="BU155" s="49">
        <f>IF($BN155="","",
IFERROR(
    IF($BN155&lt;'[1]시간외시간 기준표'!$B$2,0,
        IF($BN155&gt;LOOKUP(9.9E+307,'[1]시간외시간 기준표'!$B$2:$B$999),
            LOOKUP(9.9E+307,'[1]시간외시간 기준표'!$C$2:$C$999),
            LOOKUP($BN155,'[1]시간외시간 기준표'!$B$2:$B$999,'[1]시간외시간 기준표'!$C$2:$C$999)
        )
    ),0)
)</f>
        <v>52</v>
      </c>
      <c r="BV155" s="50">
        <f>(BQ155+BS155)/209</f>
        <v>11033.684210526315</v>
      </c>
      <c r="BW155" s="51">
        <v>30</v>
      </c>
      <c r="BX155" s="51">
        <v>30</v>
      </c>
      <c r="BY155" s="52">
        <v>38000000</v>
      </c>
      <c r="BZ155" s="52">
        <f>CA155*12</f>
        <v>38000006.400000006</v>
      </c>
      <c r="CA155" s="49">
        <f>SUM(CB155:CD155)</f>
        <v>3166667.2</v>
      </c>
      <c r="CB155" s="49">
        <f>ROUNDUP(BY155/12*209/(209+CF155*1.5)/BW155*BX155,-1)-CD155</f>
        <v>2106040</v>
      </c>
      <c r="CC155" s="49">
        <f>ROUNDUP(BY155/12*(CF155*1.5)/(209+CF155*1.5)/BW155*BX155,1)</f>
        <v>860627.2</v>
      </c>
      <c r="CD155" s="49">
        <v>200000</v>
      </c>
      <c r="CE155" s="50">
        <v>209</v>
      </c>
      <c r="CF155" s="49">
        <f>IF(BY155&lt;26000000,0,IF(BY155&lt;26500000,4,IF(BY155&lt;27000000,7,IF(BY155&lt;27500000,9,IF(BY155&lt;28000000,11,IF(BY155&lt;28500000,15,IF(BY155&lt;29000000,17,IF(BY155&lt;29500000,20,IF(BY155&lt;30000000,23,IF(BY155&lt;30500000,25,IF(BY155&lt;31000000,27,IF(BY155&lt;31500000,29,IF(BY155&lt;32000000,33,IF(BY155&lt;32500000,37,IF(BY155&lt;33000000,39,IF(BY155&lt;33500000,42,IF(BY155&lt;34000000,45,IF(BY155&lt;34500000,48,IF(BY155&lt;35000000,52,52)))))))))))))))))))</f>
        <v>52</v>
      </c>
      <c r="CG155" s="50">
        <f>(CB155+CD155)/209</f>
        <v>11033.684210526315</v>
      </c>
      <c r="CH155" s="66"/>
      <c r="CI155" s="66"/>
      <c r="CJ155" s="67"/>
      <c r="CK155" s="67"/>
      <c r="CL155" s="49"/>
      <c r="CM155" s="49"/>
      <c r="CN155" s="49"/>
      <c r="CO155" s="50"/>
      <c r="CP155" s="50"/>
      <c r="CQ155" s="50"/>
      <c r="CR155" s="50"/>
      <c r="CS155" s="52"/>
      <c r="CT155" s="53"/>
      <c r="CU155" s="53"/>
      <c r="CV155" s="53"/>
      <c r="CW155" s="54"/>
      <c r="CX155" s="54"/>
      <c r="CY155" s="54"/>
      <c r="CZ155" s="55"/>
      <c r="DA155" s="55"/>
      <c r="DB155" s="56"/>
      <c r="DC155" s="57"/>
      <c r="DD155" s="58"/>
      <c r="DE155" s="58"/>
      <c r="DF155" s="57"/>
      <c r="DG155" s="59">
        <f>B155</f>
        <v>250306</v>
      </c>
      <c r="DH155" s="58"/>
      <c r="DI155" s="58"/>
      <c r="DJ155" s="60"/>
      <c r="DK155" s="58"/>
      <c r="DL155" s="61"/>
      <c r="DM155" s="24"/>
    </row>
    <row r="156" spans="1:117" ht="15" customHeight="1">
      <c r="A156" s="25">
        <f>ROW()-2</f>
        <v>154</v>
      </c>
      <c r="B156" s="26">
        <v>250307</v>
      </c>
      <c r="C156" s="27" t="s">
        <v>1926</v>
      </c>
      <c r="D156" s="27"/>
      <c r="E156" s="27" t="s">
        <v>239</v>
      </c>
      <c r="F156" s="27" t="s">
        <v>196</v>
      </c>
      <c r="G156" s="27" t="s">
        <v>240</v>
      </c>
      <c r="H156" s="27" t="s">
        <v>260</v>
      </c>
      <c r="I156" s="27" t="s">
        <v>1850</v>
      </c>
      <c r="J156" s="27" t="str">
        <f>+VLOOKUP($I156,[1]프로젝트현황!$I:$N,5,0)</f>
        <v>서울시</v>
      </c>
      <c r="K156" s="27" t="str">
        <f>+VLOOKUP($I156,[1]프로젝트현황!$I:$N,6,0)</f>
        <v>구로구</v>
      </c>
      <c r="L156" s="28">
        <v>45741</v>
      </c>
      <c r="M156" s="28">
        <v>45741</v>
      </c>
      <c r="N156" s="28"/>
      <c r="O156" s="29"/>
      <c r="P156" s="30" t="s">
        <v>1927</v>
      </c>
      <c r="Q156" s="27" t="s">
        <v>1928</v>
      </c>
      <c r="R156" s="31" t="str">
        <f>LEFT(Q156,6)</f>
        <v>910712</v>
      </c>
      <c r="S156" s="31" t="str">
        <f>MID($Q156,3,2)</f>
        <v>07</v>
      </c>
      <c r="T156" s="31" t="str">
        <f>IF(OR(MID($Q156,8,1)="1",MID($Q156,8,1)="3"),"남자",IF(OR(MID($Q156,8,1)="2",MID($Q156,8,1)="4"),"여자",""))</f>
        <v>남자</v>
      </c>
      <c r="U156" s="31">
        <f ca="1">YEAR(TODAY())-IF(OR(MID($Q156,8,1)="1",MID($Q156,8,1)="2"),19&amp;LEFT($Q156,2),IF(OR(MID($Q156,8,1)="3",MID($Q156,8,1)="4"),20&amp;LEFT($Q156,2),""))+1</f>
        <v>36</v>
      </c>
      <c r="V156" s="31" t="s">
        <v>200</v>
      </c>
      <c r="W156" s="31" t="s">
        <v>201</v>
      </c>
      <c r="X156" s="27" t="s">
        <v>1929</v>
      </c>
      <c r="Y156" s="27"/>
      <c r="Z156" s="27"/>
      <c r="AA156" s="32"/>
      <c r="AB156" s="31" t="s">
        <v>203</v>
      </c>
      <c r="AC156" s="27"/>
      <c r="AD156" s="33" t="str">
        <f ca="1">QUOTIENT(SUMPRODUCT(LEFT($AE156:$AF156,FIND("년",$AE156:$AF156)-1)*12+MID($AE156:$AF156,FIND("년",$AE156:$AF156)+1,FIND("개월",$AE156:$AF156)-FIND("년",$AE156:$AF156)-1)),12)&amp;"년"&amp;MOD(SUMPRODUCT(LEFT($AE156:$AF156,FIND("년",$AE156:$AF156)-1)*12+MID($AE156:$AF156,FIND("년",$AE156:$AF156)+1,FIND("개월",$AE156:$AF156)-FIND("년",$AE156:$AF156)-1)),12)&amp;"개월"</f>
        <v>5년8개월</v>
      </c>
      <c r="AE156" s="33" t="s">
        <v>1930</v>
      </c>
      <c r="AF156" s="34" t="str">
        <f ca="1">DATEDIF($L156,TODAY(),"y")&amp;"년"&amp;DATEDIF($L156,TODAY(),"ym")&amp;"개월"</f>
        <v>0년10개월</v>
      </c>
      <c r="AG156" s="35" t="s">
        <v>1931</v>
      </c>
      <c r="AH156" s="35" t="s">
        <v>702</v>
      </c>
      <c r="AI156" s="30" t="s">
        <v>270</v>
      </c>
      <c r="AJ156" s="32">
        <v>42598</v>
      </c>
      <c r="AK156" s="36">
        <f ca="1">VALUE(LEFT($AD156,FIND("년",$AD156)-1))</f>
        <v>5</v>
      </c>
      <c r="AL156" s="31" t="str">
        <f ca="1">IF($AI156="학사",IF($AK156&lt;=8,"초급",IF($AK156&lt;12,"중급",IF($AK156&lt;15,"고급",IF($AK156&gt;=15,"특급")))))</f>
        <v>초급</v>
      </c>
      <c r="AM156" s="31" t="str">
        <f>IF(ISNUMBER(SEARCH("산업기사",$AT156)),IF($AK156&gt;=13,"특급",IF($AK156&gt;=10,"고급",IF($AK156&gt;=7,"중급","초급"))),IF(ISNUMBER(SEARCH("기사",$AR156)),IF($AK156&gt;=10,"특급",IF($AK156&gt;=7,"고급",IF($AK156&gt;=4,"중급","초급"))),"미해당"))</f>
        <v>미해당</v>
      </c>
      <c r="AN156" s="27"/>
      <c r="AO156" s="32"/>
      <c r="AP156" s="27"/>
      <c r="AQ156" s="32"/>
      <c r="AR156" s="27"/>
      <c r="AS156" s="27"/>
      <c r="AT156" s="37"/>
      <c r="AU156" s="27"/>
      <c r="AV156" s="38"/>
      <c r="AW156" s="39"/>
      <c r="AX156" s="39"/>
      <c r="AY156" s="40" t="s">
        <v>251</v>
      </c>
      <c r="AZ156" s="41" t="s">
        <v>252</v>
      </c>
      <c r="BA156" s="30" t="s">
        <v>230</v>
      </c>
      <c r="BB156" s="30" t="s">
        <v>1932</v>
      </c>
      <c r="BC156" s="42"/>
      <c r="BD156" s="42"/>
      <c r="BE156" s="43" t="s">
        <v>1933</v>
      </c>
      <c r="BF156" s="42" t="s">
        <v>1688</v>
      </c>
      <c r="BG156" s="42" t="s">
        <v>341</v>
      </c>
      <c r="BH156" s="35"/>
      <c r="BI156" s="44" t="s">
        <v>1934</v>
      </c>
      <c r="BJ156" s="45" t="str">
        <f>IFERROR(VLOOKUP($BG156,[1]프로젝트현황!Y:Z,2,0),"기타")</f>
        <v>서남권</v>
      </c>
      <c r="BK156" s="46" t="str">
        <f>(IF(BF156="","",BF156&amp;" "))&amp;(IF(BG156="","",BG156&amp;" "))&amp;(IF(BH156="","",BH156&amp;" "))&amp;BI156</f>
        <v>서울특별시 구로구 도림로20길 30, 가동 810호 (구로동, 성락아파트)</v>
      </c>
      <c r="BL156" s="47">
        <v>30</v>
      </c>
      <c r="BM156" s="47">
        <v>30</v>
      </c>
      <c r="BN156" s="48">
        <v>35000000</v>
      </c>
      <c r="BO156" s="48">
        <f>BP156*12</f>
        <v>35000035.200000003</v>
      </c>
      <c r="BP156" s="49">
        <f>SUM(BQ156:BS156)</f>
        <v>2916669.6</v>
      </c>
      <c r="BQ156" s="49">
        <f>ROUNDUP(BN156/12*209/(209+BU156*1.5)/BL156*BM156,-1)-BS156</f>
        <v>1957820</v>
      </c>
      <c r="BR156" s="49">
        <f>ROUNDUP(BN156/12*(BU156*1.5)/(209+BU156*1.5)/BL156*BM156,1)</f>
        <v>758849.6</v>
      </c>
      <c r="BS156" s="49">
        <v>200000</v>
      </c>
      <c r="BT156" s="50">
        <v>209</v>
      </c>
      <c r="BU156" s="49">
        <f>IF($BN156="","",
IFERROR(
    IF($BN156&lt;'[1]시간외시간 기준표'!$B$2,0,
        IF($BN156&gt;LOOKUP(9.9E+307,'[1]시간외시간 기준표'!$B$2:$B$999),
            LOOKUP(9.9E+307,'[1]시간외시간 기준표'!$C$2:$C$999),
            LOOKUP($BN156,'[1]시간외시간 기준표'!$B$2:$B$999,'[1]시간외시간 기준표'!$C$2:$C$999)
        )
    ),0)
)</f>
        <v>49</v>
      </c>
      <c r="BV156" s="50">
        <f>(BQ156+BS156)/209</f>
        <v>10324.497607655503</v>
      </c>
      <c r="BW156" s="51">
        <v>30</v>
      </c>
      <c r="BX156" s="51">
        <v>30</v>
      </c>
      <c r="BY156" s="52">
        <v>35000000</v>
      </c>
      <c r="BZ156" s="52">
        <f>CA156*12</f>
        <v>35000076</v>
      </c>
      <c r="CA156" s="49">
        <f>SUM(CB156:CD156)</f>
        <v>2916673</v>
      </c>
      <c r="CB156" s="49">
        <f>ROUNDUP(BY156/12*209/(209+CF156*1.5)/BW156*BX156,-1)-CD156</f>
        <v>1923990</v>
      </c>
      <c r="CC156" s="49">
        <f>ROUNDUP(BY156/12*(CF156*1.5)/(209+CF156*1.5)/BW156*BX156,1)</f>
        <v>792683</v>
      </c>
      <c r="CD156" s="49">
        <v>200000</v>
      </c>
      <c r="CE156" s="50">
        <v>209</v>
      </c>
      <c r="CF156" s="49">
        <f>IF(BY156&lt;26000000,0,IF(BY156&lt;26500000,4,IF(BY156&lt;27000000,7,IF(BY156&lt;27500000,9,IF(BY156&lt;28000000,11,IF(BY156&lt;28500000,15,IF(BY156&lt;29000000,17,IF(BY156&lt;29500000,20,IF(BY156&lt;30000000,23,IF(BY156&lt;30500000,25,IF(BY156&lt;31000000,27,IF(BY156&lt;31500000,29,IF(BY156&lt;32000000,33,IF(BY156&lt;32500000,37,IF(BY156&lt;33000000,39,IF(BY156&lt;33500000,42,IF(BY156&lt;34000000,45,IF(BY156&lt;34500000,48,IF(BY156&lt;35000000,52,52)))))))))))))))))))</f>
        <v>52</v>
      </c>
      <c r="CG156" s="50">
        <f>(CB156+CD156)/209</f>
        <v>10162.631578947368</v>
      </c>
      <c r="CH156" s="66"/>
      <c r="CI156" s="66"/>
      <c r="CJ156" s="67"/>
      <c r="CK156" s="67"/>
      <c r="CL156" s="49"/>
      <c r="CM156" s="49"/>
      <c r="CN156" s="49"/>
      <c r="CO156" s="50"/>
      <c r="CP156" s="50"/>
      <c r="CQ156" s="50"/>
      <c r="CR156" s="50"/>
      <c r="CS156" s="52"/>
      <c r="CT156" s="53"/>
      <c r="CU156" s="53"/>
      <c r="CV156" s="53"/>
      <c r="CW156" s="54"/>
      <c r="CX156" s="54"/>
      <c r="CY156" s="54"/>
      <c r="CZ156" s="55"/>
      <c r="DA156" s="55"/>
      <c r="DB156" s="56"/>
      <c r="DC156" s="57"/>
      <c r="DD156" s="58"/>
      <c r="DE156" s="58"/>
      <c r="DF156" s="57"/>
      <c r="DG156" s="59">
        <f>B156</f>
        <v>250307</v>
      </c>
      <c r="DH156" s="58"/>
      <c r="DI156" s="58"/>
      <c r="DJ156" s="60"/>
      <c r="DK156" s="58"/>
      <c r="DL156" s="61"/>
      <c r="DM156" s="24"/>
    </row>
    <row r="157" spans="1:117" ht="15" customHeight="1">
      <c r="A157" s="25">
        <v>208</v>
      </c>
      <c r="B157" s="26">
        <v>250308</v>
      </c>
      <c r="C157" s="27" t="s">
        <v>1935</v>
      </c>
      <c r="D157" s="27" t="s">
        <v>282</v>
      </c>
      <c r="E157" s="27" t="s">
        <v>283</v>
      </c>
      <c r="F157" s="27" t="s">
        <v>196</v>
      </c>
      <c r="G157" s="27" t="s">
        <v>240</v>
      </c>
      <c r="H157" s="27" t="s">
        <v>241</v>
      </c>
      <c r="I157" s="27" t="s">
        <v>1936</v>
      </c>
      <c r="J157" s="27" t="str">
        <f>+VLOOKUP($I157,[1]프로젝트현황!$I:$N,5,0)</f>
        <v>서울시</v>
      </c>
      <c r="K157" s="27" t="str">
        <f>+VLOOKUP($I157,[1]프로젝트현황!$I:$N,6,0)</f>
        <v>마포구</v>
      </c>
      <c r="L157" s="28">
        <v>45742</v>
      </c>
      <c r="M157" s="28">
        <v>45742</v>
      </c>
      <c r="N157" s="28"/>
      <c r="O157" s="29"/>
      <c r="P157" s="30" t="s">
        <v>1937</v>
      </c>
      <c r="Q157" s="27" t="s">
        <v>1938</v>
      </c>
      <c r="R157" s="31" t="str">
        <f>LEFT(Q157,6)</f>
        <v>810119</v>
      </c>
      <c r="S157" s="31" t="str">
        <f>MID($Q157,3,2)</f>
        <v>01</v>
      </c>
      <c r="T157" s="31" t="str">
        <f>IF(OR(MID($Q157,8,1)="1",MID($Q157,8,1)="3"),"남자",IF(OR(MID($Q157,8,1)="2",MID($Q157,8,1)="4"),"여자",""))</f>
        <v>남자</v>
      </c>
      <c r="U157" s="31">
        <f ca="1">YEAR(TODAY())-IF(OR(MID($Q157,8,1)="1",MID($Q157,8,1)="2"),19&amp;LEFT($Q157,2),IF(OR(MID($Q157,8,1)="3",MID($Q157,8,1)="4"),20&amp;LEFT($Q157,2),""))+1</f>
        <v>46</v>
      </c>
      <c r="V157" s="31" t="s">
        <v>200</v>
      </c>
      <c r="W157" s="31" t="s">
        <v>201</v>
      </c>
      <c r="X157" s="27" t="s">
        <v>1939</v>
      </c>
      <c r="Y157" s="27"/>
      <c r="Z157" s="27"/>
      <c r="AA157" s="32"/>
      <c r="AB157" s="31" t="s">
        <v>203</v>
      </c>
      <c r="AC157" s="27"/>
      <c r="AD157" s="33" t="str">
        <f ca="1">QUOTIENT(SUMPRODUCT(LEFT($AE157:$AF157,FIND("년",$AE157:$AF157)-1)*12+MID($AE157:$AF157,FIND("년",$AE157:$AF157)+1,FIND("개월",$AE157:$AF157)-FIND("년",$AE157:$AF157)-1)),12)&amp;"년"&amp;MOD(SUMPRODUCT(LEFT($AE157:$AF157,FIND("년",$AE157:$AF157)-1)*12+MID($AE157:$AF157,FIND("년",$AE157:$AF157)+1,FIND("개월",$AE157:$AF157)-FIND("년",$AE157:$AF157)-1)),12)&amp;"개월"</f>
        <v>19년9개월</v>
      </c>
      <c r="AE157" s="33" t="s">
        <v>1940</v>
      </c>
      <c r="AF157" s="34" t="str">
        <f ca="1">DATEDIF($L157,TODAY(),"y")&amp;"년"&amp;DATEDIF($L157,TODAY(),"ym")&amp;"개월"</f>
        <v>0년10개월</v>
      </c>
      <c r="AG157" s="35" t="s">
        <v>1941</v>
      </c>
      <c r="AH157" s="35" t="s">
        <v>702</v>
      </c>
      <c r="AI157" s="30" t="s">
        <v>270</v>
      </c>
      <c r="AJ157" s="32">
        <v>38766</v>
      </c>
      <c r="AK157" s="36">
        <f ca="1">VALUE(LEFT($AD157,FIND("년",$AD157)-1))</f>
        <v>19</v>
      </c>
      <c r="AL157" s="31" t="str">
        <f ca="1">IF($AI157="학사",IF($AK157&lt;=8,"초급",IF($AK157&lt;12,"중급",IF($AK157&lt;15,"고급",IF($AK157&gt;=15,"특급")))))</f>
        <v>특급</v>
      </c>
      <c r="AM157" s="31" t="str">
        <f>IF(ISNUMBER(SEARCH("산업기사",$AT157)),IF($AK157&gt;=13,"특급",IF($AK157&gt;=10,"고급",IF($AK157&gt;=7,"중급","초급"))),IF(ISNUMBER(SEARCH("기사",$AR157)),IF($AK157&gt;=10,"특급",IF($AK157&gt;=7,"고급",IF($AK157&gt;=4,"중급","초급"))),"미해당"))</f>
        <v>미해당</v>
      </c>
      <c r="AN157" s="27"/>
      <c r="AO157" s="32"/>
      <c r="AP157" s="27"/>
      <c r="AQ157" s="32"/>
      <c r="AR157" s="27"/>
      <c r="AS157" s="27"/>
      <c r="AT157" s="37"/>
      <c r="AU157" s="27"/>
      <c r="AV157" s="38"/>
      <c r="AW157" s="39"/>
      <c r="AX157" s="39"/>
      <c r="AY157" s="40" t="s">
        <v>251</v>
      </c>
      <c r="AZ157" s="41" t="s">
        <v>252</v>
      </c>
      <c r="BA157" s="30" t="s">
        <v>230</v>
      </c>
      <c r="BB157" s="30" t="s">
        <v>1942</v>
      </c>
      <c r="BC157" s="42" t="s">
        <v>1665</v>
      </c>
      <c r="BD157" s="42" t="s">
        <v>1943</v>
      </c>
      <c r="BE157" s="43" t="s">
        <v>1944</v>
      </c>
      <c r="BF157" s="42" t="s">
        <v>1688</v>
      </c>
      <c r="BG157" s="42" t="s">
        <v>650</v>
      </c>
      <c r="BH157" s="35"/>
      <c r="BI157" s="44" t="s">
        <v>1945</v>
      </c>
      <c r="BJ157" s="45" t="str">
        <f>IFERROR(VLOOKUP($BG157,[1]프로젝트현황!Y:Z,2,0),"기타")</f>
        <v>동북권</v>
      </c>
      <c r="BK157" s="46" t="str">
        <f>(IF(BF157="","",BF157&amp;" "))&amp;(IF(BG157="","",BG157&amp;" "))&amp;(IF(BH157="","",BH157&amp;" "))&amp;BI157</f>
        <v>서울특별시 광진구 천호대로134길 46, 602호</v>
      </c>
      <c r="BL157" s="47">
        <v>30</v>
      </c>
      <c r="BM157" s="47">
        <v>30</v>
      </c>
      <c r="BN157" s="48">
        <v>48000000</v>
      </c>
      <c r="BO157" s="48">
        <f>BP157*12</f>
        <v>48000097.200000003</v>
      </c>
      <c r="BP157" s="49">
        <f>SUM(BQ157:BS157)</f>
        <v>4000008.1</v>
      </c>
      <c r="BQ157" s="49">
        <f>ROUNDUP(BN157/12*209/(209+BU157*1.5)/BL157*BM157,-1)-BS157</f>
        <v>2712900</v>
      </c>
      <c r="BR157" s="49">
        <f>ROUNDUP(BN157/12*(BU157*1.5)/(209+BU157*1.5)/BL157*BM157,1)</f>
        <v>1087108.1000000001</v>
      </c>
      <c r="BS157" s="49">
        <v>200000</v>
      </c>
      <c r="BT157" s="50">
        <v>209</v>
      </c>
      <c r="BU157" s="49">
        <f>IF($BN157="","",
IFERROR(
    IF($BN157&lt;'[1]시간외시간 기준표'!$B$2,0,
        IF($BN157&gt;LOOKUP(9.9E+307,'[1]시간외시간 기준표'!$B$2:$B$999),
            LOOKUP(9.9E+307,'[1]시간외시간 기준표'!$C$2:$C$999),
            LOOKUP($BN157,'[1]시간외시간 기준표'!$B$2:$B$999,'[1]시간외시간 기준표'!$C$2:$C$999)
        )
    ),0)
)</f>
        <v>52</v>
      </c>
      <c r="BV157" s="50">
        <f>(BQ157+BS157)/209</f>
        <v>13937.320574162679</v>
      </c>
      <c r="BW157" s="51">
        <v>30</v>
      </c>
      <c r="BX157" s="51">
        <v>30</v>
      </c>
      <c r="BY157" s="52">
        <v>48000000</v>
      </c>
      <c r="BZ157" s="52">
        <f>CA157*12</f>
        <v>48000097.200000003</v>
      </c>
      <c r="CA157" s="49">
        <f>SUM(CB157:CD157)</f>
        <v>4000008.1</v>
      </c>
      <c r="CB157" s="49">
        <f>ROUNDUP(BY157/12*209/(209+CF157*1.5)/BW157*BX157,-1)-CD157</f>
        <v>2712900</v>
      </c>
      <c r="CC157" s="49">
        <f>ROUNDUP(BY157/12*(CF157*1.5)/(209+CF157*1.5)/BW157*BX157,1)</f>
        <v>1087108.1000000001</v>
      </c>
      <c r="CD157" s="49">
        <v>200000</v>
      </c>
      <c r="CE157" s="50">
        <v>209</v>
      </c>
      <c r="CF157" s="49">
        <f>IF(BY157&lt;26000000,0,IF(BY157&lt;26500000,4,IF(BY157&lt;27000000,7,IF(BY157&lt;27500000,9,IF(BY157&lt;28000000,11,IF(BY157&lt;28500000,15,IF(BY157&lt;29000000,17,IF(BY157&lt;29500000,20,IF(BY157&lt;30000000,23,IF(BY157&lt;30500000,25,IF(BY157&lt;31000000,27,IF(BY157&lt;31500000,29,IF(BY157&lt;32000000,33,IF(BY157&lt;32500000,37,IF(BY157&lt;33000000,39,IF(BY157&lt;33500000,42,IF(BY157&lt;34000000,45,IF(BY157&lt;34500000,48,IF(BY157&lt;35000000,52,52)))))))))))))))))))</f>
        <v>52</v>
      </c>
      <c r="CG157" s="50">
        <f>(CB157+CD157)/209</f>
        <v>13937.320574162679</v>
      </c>
      <c r="CH157" s="66"/>
      <c r="CI157" s="66"/>
      <c r="CJ157" s="67"/>
      <c r="CK157" s="67"/>
      <c r="CL157" s="49"/>
      <c r="CM157" s="49"/>
      <c r="CN157" s="49"/>
      <c r="CO157" s="50"/>
      <c r="CP157" s="50"/>
      <c r="CQ157" s="50"/>
      <c r="CR157" s="50"/>
      <c r="CS157" s="52"/>
      <c r="CT157" s="53"/>
      <c r="CU157" s="53"/>
      <c r="CV157" s="53"/>
      <c r="CW157" s="54"/>
      <c r="CX157" s="54"/>
      <c r="CY157" s="54"/>
      <c r="CZ157" s="55"/>
      <c r="DA157" s="55"/>
      <c r="DB157" s="56"/>
      <c r="DC157" s="57"/>
      <c r="DD157" s="58"/>
      <c r="DE157" s="58"/>
      <c r="DF157" s="57"/>
      <c r="DG157" s="59">
        <f>B157</f>
        <v>250308</v>
      </c>
      <c r="DH157" s="58"/>
      <c r="DI157" s="58"/>
      <c r="DJ157" s="60"/>
      <c r="DK157" s="58"/>
      <c r="DL157" s="61"/>
      <c r="DM157" s="24"/>
    </row>
    <row r="158" spans="1:117" ht="15" customHeight="1">
      <c r="A158" s="25">
        <f>ROW()-2</f>
        <v>156</v>
      </c>
      <c r="B158" s="26">
        <v>250401</v>
      </c>
      <c r="C158" s="27" t="s">
        <v>1946</v>
      </c>
      <c r="D158" s="27"/>
      <c r="E158" s="27" t="s">
        <v>283</v>
      </c>
      <c r="F158" s="27" t="s">
        <v>196</v>
      </c>
      <c r="G158" s="27" t="s">
        <v>240</v>
      </c>
      <c r="H158" s="27" t="s">
        <v>260</v>
      </c>
      <c r="I158" s="27" t="s">
        <v>948</v>
      </c>
      <c r="J158" s="27" t="str">
        <f>+VLOOKUP($I158,[1]프로젝트현황!$I:$N,5,0)</f>
        <v>서울시</v>
      </c>
      <c r="K158" s="27" t="str">
        <f>+VLOOKUP($I158,[1]프로젝트현황!$I:$N,6,0)</f>
        <v>구로구</v>
      </c>
      <c r="L158" s="28">
        <v>45748</v>
      </c>
      <c r="M158" s="28">
        <v>45748</v>
      </c>
      <c r="N158" s="28"/>
      <c r="O158" s="29"/>
      <c r="P158" s="30" t="s">
        <v>1947</v>
      </c>
      <c r="Q158" s="27" t="s">
        <v>1948</v>
      </c>
      <c r="R158" s="31" t="str">
        <f>LEFT(Q158,6)</f>
        <v>851119</v>
      </c>
      <c r="S158" s="31" t="str">
        <f>MID($Q158,3,2)</f>
        <v>11</v>
      </c>
      <c r="T158" s="31" t="str">
        <f>IF(OR(MID($Q158,8,1)="1",MID($Q158,8,1)="3"),"남자",IF(OR(MID($Q158,8,1)="2",MID($Q158,8,1)="4"),"여자",""))</f>
        <v>남자</v>
      </c>
      <c r="U158" s="31">
        <f ca="1">YEAR(TODAY())-IF(OR(MID($Q158,8,1)="1",MID($Q158,8,1)="2"),19&amp;LEFT($Q158,2),IF(OR(MID($Q158,8,1)="3",MID($Q158,8,1)="4"),20&amp;LEFT($Q158,2),""))+1</f>
        <v>42</v>
      </c>
      <c r="V158" s="31" t="s">
        <v>200</v>
      </c>
      <c r="W158" s="31" t="s">
        <v>201</v>
      </c>
      <c r="X158" s="27" t="s">
        <v>1949</v>
      </c>
      <c r="Y158" s="27"/>
      <c r="Z158" s="27"/>
      <c r="AA158" s="32"/>
      <c r="AB158" s="31" t="s">
        <v>203</v>
      </c>
      <c r="AC158" s="27"/>
      <c r="AD158" s="33" t="str">
        <f ca="1">QUOTIENT(SUMPRODUCT(LEFT($AE158:$AF158,FIND("년",$AE158:$AF158)-1)*12+MID($AE158:$AF158,FIND("년",$AE158:$AF158)+1,FIND("개월",$AE158:$AF158)-FIND("년",$AE158:$AF158)-1)),12)&amp;"년"&amp;MOD(SUMPRODUCT(LEFT($AE158:$AF158,FIND("년",$AE158:$AF158)-1)*12+MID($AE158:$AF158,FIND("년",$AE158:$AF158)+1,FIND("개월",$AE158:$AF158)-FIND("년",$AE158:$AF158)-1)),12)&amp;"개월"</f>
        <v>13년4개월</v>
      </c>
      <c r="AE158" s="33" t="s">
        <v>1950</v>
      </c>
      <c r="AF158" s="34" t="str">
        <f ca="1">DATEDIF($L158,TODAY(),"y")&amp;"년"&amp;DATEDIF($L158,TODAY(),"ym")&amp;"개월"</f>
        <v>0년10개월</v>
      </c>
      <c r="AG158" s="35" t="s">
        <v>447</v>
      </c>
      <c r="AH158" s="35" t="s">
        <v>1601</v>
      </c>
      <c r="AI158" s="30" t="s">
        <v>205</v>
      </c>
      <c r="AJ158" s="32">
        <v>40220</v>
      </c>
      <c r="AK158" s="36">
        <f ca="1">VALUE(LEFT($AD158,FIND("년",$AD158)-1))</f>
        <v>13</v>
      </c>
      <c r="AL158" s="31" t="str">
        <f ca="1">IF($AI158="전문학사",IF($AK158&lt;=8,"초급",IF($AK158&lt;12,"중급",IF($AK158&lt;15,"고급",IF($AK158&gt;=15,"특급")))))</f>
        <v>고급</v>
      </c>
      <c r="AM158" s="31" t="str">
        <f>IF(ISNUMBER(SEARCH("산업기사",$AT158)),IF($AK158&gt;=13,"특급",IF($AK158&gt;=10,"고급",IF($AK158&gt;=7,"중급","초급"))),IF(ISNUMBER(SEARCH("기사",$AR158)),IF($AK158&gt;=10,"특급",IF($AK158&gt;=7,"고급",IF($AK158&gt;=4,"중급","초급"))),"미해당"))</f>
        <v>미해당</v>
      </c>
      <c r="AN158" s="27"/>
      <c r="AO158" s="32"/>
      <c r="AP158" s="27"/>
      <c r="AQ158" s="32"/>
      <c r="AR158" s="27"/>
      <c r="AS158" s="27"/>
      <c r="AT158" s="37"/>
      <c r="AU158" s="27"/>
      <c r="AV158" s="38"/>
      <c r="AW158" s="39"/>
      <c r="AX158" s="39"/>
      <c r="AY158" s="40" t="s">
        <v>251</v>
      </c>
      <c r="AZ158" s="41" t="s">
        <v>252</v>
      </c>
      <c r="BA158" s="30" t="s">
        <v>230</v>
      </c>
      <c r="BB158" s="30" t="s">
        <v>1951</v>
      </c>
      <c r="BC158" s="42"/>
      <c r="BD158" s="42"/>
      <c r="BE158" s="43" t="s">
        <v>1952</v>
      </c>
      <c r="BF158" s="42" t="s">
        <v>1688</v>
      </c>
      <c r="BG158" s="42" t="s">
        <v>899</v>
      </c>
      <c r="BH158" s="35"/>
      <c r="BI158" s="44" t="s">
        <v>1953</v>
      </c>
      <c r="BJ158" s="45" t="str">
        <f>IFERROR(VLOOKUP($BG158,[1]프로젝트현황!Y:Z,2,0),"기타")</f>
        <v>서남권</v>
      </c>
      <c r="BK158" s="46" t="str">
        <f>(IF(BF158="","",BF158&amp;" "))&amp;(IF(BG158="","",BG158&amp;" "))&amp;(IF(BH158="","",BH158&amp;" "))&amp;BI158</f>
        <v>서울특별시 동작구 신대방14가길 7-3, 303호 (신대방동, 대방아트빌)</v>
      </c>
      <c r="BL158" s="47">
        <v>30</v>
      </c>
      <c r="BM158" s="47">
        <v>30</v>
      </c>
      <c r="BN158" s="48">
        <v>50000000</v>
      </c>
      <c r="BO158" s="48">
        <f>BP158*12</f>
        <v>50000090.400000006</v>
      </c>
      <c r="BP158" s="49">
        <f>SUM(BQ158:BS158)</f>
        <v>4166674.2</v>
      </c>
      <c r="BQ158" s="49">
        <f>ROUNDUP(BN158/12*209/(209+BU158*1.5)/BL158*BM158,-1)-BS158</f>
        <v>2834270</v>
      </c>
      <c r="BR158" s="49">
        <f>ROUNDUP(BN158/12*(BU158*1.5)/(209+BU158*1.5)/BL158*BM158,1)</f>
        <v>1132404.2000000002</v>
      </c>
      <c r="BS158" s="49">
        <v>200000</v>
      </c>
      <c r="BT158" s="50">
        <v>209</v>
      </c>
      <c r="BU158" s="49">
        <f>IF($BN158="","",
IFERROR(
    IF($BN158&lt;'[1]시간외시간 기준표'!$B$2,0,
        IF($BN158&gt;LOOKUP(9.9E+307,'[1]시간외시간 기준표'!$B$2:$B$999),
            LOOKUP(9.9E+307,'[1]시간외시간 기준표'!$C$2:$C$999),
            LOOKUP($BN158,'[1]시간외시간 기준표'!$B$2:$B$999,'[1]시간외시간 기준표'!$C$2:$C$999)
        )
    ),0)
)</f>
        <v>52</v>
      </c>
      <c r="BV158" s="50">
        <f>(BQ158+BS158)/209</f>
        <v>14518.038277511961</v>
      </c>
      <c r="BW158" s="51">
        <v>30</v>
      </c>
      <c r="BX158" s="51">
        <v>30</v>
      </c>
      <c r="BY158" s="52">
        <v>50000000</v>
      </c>
      <c r="BZ158" s="52">
        <f>CA158*12</f>
        <v>50000090.400000006</v>
      </c>
      <c r="CA158" s="49">
        <f>SUM(CB158:CD158)</f>
        <v>4166674.2</v>
      </c>
      <c r="CB158" s="49">
        <f>ROUNDUP(BY158/12*209/(209+CF158*1.5)/BW158*BX158,-1)-CD158</f>
        <v>2834270</v>
      </c>
      <c r="CC158" s="49">
        <f>ROUNDUP(BY158/12*(CF158*1.5)/(209+CF158*1.5)/BW158*BX158,1)</f>
        <v>1132404.2000000002</v>
      </c>
      <c r="CD158" s="49">
        <v>200000</v>
      </c>
      <c r="CE158" s="50">
        <v>209</v>
      </c>
      <c r="CF158" s="49">
        <f>IF(BY158&lt;26000000,0,IF(BY158&lt;26500000,4,IF(BY158&lt;27000000,7,IF(BY158&lt;27500000,9,IF(BY158&lt;28000000,11,IF(BY158&lt;28500000,15,IF(BY158&lt;29000000,17,IF(BY158&lt;29500000,20,IF(BY158&lt;30000000,23,IF(BY158&lt;30500000,25,IF(BY158&lt;31000000,27,IF(BY158&lt;31500000,29,IF(BY158&lt;32000000,33,IF(BY158&lt;32500000,37,IF(BY158&lt;33000000,39,IF(BY158&lt;33500000,42,IF(BY158&lt;34000000,45,IF(BY158&lt;34500000,48,IF(BY158&lt;35000000,52,52)))))))))))))))))))</f>
        <v>52</v>
      </c>
      <c r="CG158" s="50">
        <f>(CB158+CD158)/209</f>
        <v>14518.038277511961</v>
      </c>
      <c r="CH158" s="66"/>
      <c r="CI158" s="66"/>
      <c r="CJ158" s="67"/>
      <c r="CK158" s="67"/>
      <c r="CL158" s="49"/>
      <c r="CM158" s="49"/>
      <c r="CN158" s="49"/>
      <c r="CO158" s="50"/>
      <c r="CP158" s="50"/>
      <c r="CQ158" s="50"/>
      <c r="CR158" s="50"/>
      <c r="CS158" s="52"/>
      <c r="CT158" s="53"/>
      <c r="CU158" s="53"/>
      <c r="CV158" s="53"/>
      <c r="CW158" s="54"/>
      <c r="CX158" s="54"/>
      <c r="CY158" s="54"/>
      <c r="CZ158" s="55"/>
      <c r="DA158" s="55"/>
      <c r="DB158" s="56"/>
      <c r="DC158" s="57"/>
      <c r="DD158" s="58"/>
      <c r="DE158" s="58"/>
      <c r="DF158" s="57"/>
      <c r="DG158" s="59">
        <f>B158</f>
        <v>250401</v>
      </c>
      <c r="DH158" s="58"/>
      <c r="DI158" s="58"/>
      <c r="DJ158" s="60"/>
      <c r="DK158" s="58"/>
      <c r="DL158" s="61"/>
      <c r="DM158" s="24"/>
    </row>
    <row r="159" spans="1:117" ht="15" customHeight="1">
      <c r="A159" s="25">
        <f>ROW()-2</f>
        <v>157</v>
      </c>
      <c r="B159" s="26">
        <v>250402</v>
      </c>
      <c r="C159" s="27" t="s">
        <v>1954</v>
      </c>
      <c r="D159" s="27"/>
      <c r="E159" s="27" t="s">
        <v>613</v>
      </c>
      <c r="F159" s="27" t="s">
        <v>196</v>
      </c>
      <c r="G159" s="27" t="s">
        <v>493</v>
      </c>
      <c r="H159" s="27" t="s">
        <v>494</v>
      </c>
      <c r="I159" s="27" t="s">
        <v>494</v>
      </c>
      <c r="J159" s="27" t="str">
        <f>+VLOOKUP($I159,[1]프로젝트현황!$I:$N,5,0)</f>
        <v>서울시</v>
      </c>
      <c r="K159" s="27" t="str">
        <f>+VLOOKUP($I159,[1]프로젝트현황!$I:$N,6,0)</f>
        <v>강남구</v>
      </c>
      <c r="L159" s="28">
        <v>45754</v>
      </c>
      <c r="M159" s="28">
        <v>45754</v>
      </c>
      <c r="N159" s="28"/>
      <c r="O159" s="29"/>
      <c r="P159" s="30" t="s">
        <v>1955</v>
      </c>
      <c r="Q159" s="27" t="s">
        <v>1956</v>
      </c>
      <c r="R159" s="31" t="str">
        <f>LEFT(Q159,6)</f>
        <v>960503</v>
      </c>
      <c r="S159" s="31" t="str">
        <f>MID($Q159,3,2)</f>
        <v>05</v>
      </c>
      <c r="T159" s="31" t="str">
        <f>IF(OR(MID($Q159,8,1)="1",MID($Q159,8,1)="3"),"남자",IF(OR(MID($Q159,8,1)="2",MID($Q159,8,1)="4"),"여자",""))</f>
        <v>남자</v>
      </c>
      <c r="U159" s="31">
        <f ca="1">YEAR(TODAY())-IF(OR(MID($Q159,8,1)="1",MID($Q159,8,1)="2"),19&amp;LEFT($Q159,2),IF(OR(MID($Q159,8,1)="3",MID($Q159,8,1)="4"),20&amp;LEFT($Q159,2),""))+1</f>
        <v>31</v>
      </c>
      <c r="V159" s="31" t="s">
        <v>200</v>
      </c>
      <c r="W159" s="31" t="s">
        <v>201</v>
      </c>
      <c r="X159" s="27" t="s">
        <v>1957</v>
      </c>
      <c r="Y159" s="27"/>
      <c r="Z159" s="27"/>
      <c r="AA159" s="32"/>
      <c r="AB159" s="31" t="s">
        <v>203</v>
      </c>
      <c r="AC159" s="27"/>
      <c r="AD159" s="33" t="str">
        <f ca="1">QUOTIENT(SUMPRODUCT(LEFT($AE159:$AF159,FIND("년",$AE159:$AF159)-1)*12+MID($AE159:$AF159,FIND("년",$AE159:$AF159)+1,FIND("개월",$AE159:$AF159)-FIND("년",$AE159:$AF159)-1)),12)&amp;"년"&amp;MOD(SUMPRODUCT(LEFT($AE159:$AF159,FIND("년",$AE159:$AF159)-1)*12+MID($AE159:$AF159,FIND("년",$AE159:$AF159)+1,FIND("개월",$AE159:$AF159)-FIND("년",$AE159:$AF159)-1)),12)&amp;"개월"</f>
        <v>2년9개월</v>
      </c>
      <c r="AE159" s="33" t="s">
        <v>1958</v>
      </c>
      <c r="AF159" s="34" t="str">
        <f ca="1">DATEDIF($L159,TODAY(),"y")&amp;"년"&amp;DATEDIF($L159,TODAY(),"ym")&amp;"개월"</f>
        <v>0년10개월</v>
      </c>
      <c r="AG159" s="35" t="s">
        <v>1959</v>
      </c>
      <c r="AH159" s="35" t="s">
        <v>1960</v>
      </c>
      <c r="AI159" s="30" t="s">
        <v>270</v>
      </c>
      <c r="AJ159" s="32">
        <v>44608</v>
      </c>
      <c r="AK159" s="36">
        <f ca="1">VALUE(LEFT($AD159,FIND("년",$AD159)-1))</f>
        <v>2</v>
      </c>
      <c r="AL159" s="31" t="str">
        <f ca="1">IF($AI159="학사",IF($AK159&lt;=8,"초급",IF($AK159&lt;12,"중급",IF($AK159&lt;15,"고급",IF($AK159&gt;=15,"특급")))))</f>
        <v>초급</v>
      </c>
      <c r="AM159" s="31" t="str">
        <f>IF(ISNUMBER(SEARCH("산업기사",$AT159)),IF($AK159&gt;=13,"특급",IF($AK159&gt;=10,"고급",IF($AK159&gt;=7,"중급","초급"))),IF(ISNUMBER(SEARCH("기사",$AR159)),IF($AK159&gt;=10,"특급",IF($AK159&gt;=7,"고급",IF($AK159&gt;=4,"중급","초급"))),"미해당"))</f>
        <v>미해당</v>
      </c>
      <c r="AN159" s="27"/>
      <c r="AO159" s="32"/>
      <c r="AP159" s="27"/>
      <c r="AQ159" s="32"/>
      <c r="AR159" s="27"/>
      <c r="AS159" s="27"/>
      <c r="AT159" s="37"/>
      <c r="AU159" s="27"/>
      <c r="AV159" s="38"/>
      <c r="AW159" s="39"/>
      <c r="AX159" s="39"/>
      <c r="AY159" s="40" t="s">
        <v>251</v>
      </c>
      <c r="AZ159" s="41" t="s">
        <v>252</v>
      </c>
      <c r="BA159" s="30" t="s">
        <v>230</v>
      </c>
      <c r="BB159" s="30" t="s">
        <v>1961</v>
      </c>
      <c r="BC159" s="42" t="s">
        <v>254</v>
      </c>
      <c r="BD159" s="42" t="s">
        <v>1962</v>
      </c>
      <c r="BE159" s="43" t="s">
        <v>1963</v>
      </c>
      <c r="BF159" s="42" t="s">
        <v>1688</v>
      </c>
      <c r="BG159" s="42" t="s">
        <v>371</v>
      </c>
      <c r="BH159" s="35"/>
      <c r="BI159" s="44" t="s">
        <v>1964</v>
      </c>
      <c r="BJ159" s="45" t="str">
        <f>IFERROR(VLOOKUP($BG159,[1]프로젝트현황!Y:Z,2,0),"기타")</f>
        <v>서남권</v>
      </c>
      <c r="BK159" s="46" t="str">
        <f>(IF(BF159="","",BF159&amp;" "))&amp;(IF(BG159="","",BG159&amp;" "))&amp;(IF(BH159="","",BH159&amp;" "))&amp;BI159</f>
        <v>서울특별시 관악구 조원로13길 66, 204호 (신림동, 로얄럭스시티)</v>
      </c>
      <c r="BL159" s="47">
        <v>30</v>
      </c>
      <c r="BM159" s="47">
        <v>30</v>
      </c>
      <c r="BN159" s="48">
        <v>35000000</v>
      </c>
      <c r="BO159" s="48">
        <f>BP159*12</f>
        <v>35000035.200000003</v>
      </c>
      <c r="BP159" s="49">
        <f>SUM(BQ159:BS159)</f>
        <v>2916669.6</v>
      </c>
      <c r="BQ159" s="49">
        <f>ROUNDUP(BN159/12*209/(209+BU159*1.5)/BL159*BM159,-1)-BS159</f>
        <v>1957820</v>
      </c>
      <c r="BR159" s="49">
        <f>ROUNDUP(BN159/12*(BU159*1.5)/(209+BU159*1.5)/BL159*BM159,1)</f>
        <v>758849.6</v>
      </c>
      <c r="BS159" s="49">
        <v>200000</v>
      </c>
      <c r="BT159" s="50">
        <v>209</v>
      </c>
      <c r="BU159" s="49">
        <f>IF($BN159="","",
IFERROR(
    IF($BN159&lt;'[1]시간외시간 기준표'!$B$2,0,
        IF($BN159&gt;LOOKUP(9.9E+307,'[1]시간외시간 기준표'!$B$2:$B$999),
            LOOKUP(9.9E+307,'[1]시간외시간 기준표'!$C$2:$C$999),
            LOOKUP($BN159,'[1]시간외시간 기준표'!$B$2:$B$999,'[1]시간외시간 기준표'!$C$2:$C$999)
        )
    ),0)
)</f>
        <v>49</v>
      </c>
      <c r="BV159" s="50">
        <f>(BQ159+BS159)/209</f>
        <v>10324.497607655503</v>
      </c>
      <c r="BW159" s="51">
        <v>30</v>
      </c>
      <c r="BX159" s="51">
        <v>30</v>
      </c>
      <c r="BY159" s="52">
        <v>35000000</v>
      </c>
      <c r="BZ159" s="52">
        <f>CA159*12</f>
        <v>35000076</v>
      </c>
      <c r="CA159" s="49">
        <f>SUM(CB159:CD159)</f>
        <v>2916673</v>
      </c>
      <c r="CB159" s="49">
        <f>ROUNDUP(BY159/12*209/(209+CF159*1.5)/BW159*BX159,-1)-CD159</f>
        <v>1923990</v>
      </c>
      <c r="CC159" s="49">
        <f>ROUNDUP(BY159/12*(CF159*1.5)/(209+CF159*1.5)/BW159*BX159,1)</f>
        <v>792683</v>
      </c>
      <c r="CD159" s="49">
        <v>200000</v>
      </c>
      <c r="CE159" s="50">
        <v>209</v>
      </c>
      <c r="CF159" s="49">
        <f>IF(BY159&lt;26000000,0,IF(BY159&lt;26500000,4,IF(BY159&lt;27000000,7,IF(BY159&lt;27500000,9,IF(BY159&lt;28000000,11,IF(BY159&lt;28500000,15,IF(BY159&lt;29000000,17,IF(BY159&lt;29500000,20,IF(BY159&lt;30000000,23,IF(BY159&lt;30500000,25,IF(BY159&lt;31000000,27,IF(BY159&lt;31500000,29,IF(BY159&lt;32000000,33,IF(BY159&lt;32500000,37,IF(BY159&lt;33000000,39,IF(BY159&lt;33500000,42,IF(BY159&lt;34000000,45,IF(BY159&lt;34500000,48,IF(BY159&lt;35000000,52,52)))))))))))))))))))</f>
        <v>52</v>
      </c>
      <c r="CG159" s="50">
        <f>(CB159+CD159)/209</f>
        <v>10162.631578947368</v>
      </c>
      <c r="CH159" s="66"/>
      <c r="CI159" s="66"/>
      <c r="CJ159" s="67"/>
      <c r="CK159" s="67"/>
      <c r="CL159" s="49"/>
      <c r="CM159" s="49"/>
      <c r="CN159" s="49"/>
      <c r="CO159" s="50"/>
      <c r="CP159" s="50"/>
      <c r="CQ159" s="50"/>
      <c r="CR159" s="50"/>
      <c r="CS159" s="52"/>
      <c r="CT159" s="53"/>
      <c r="CU159" s="53"/>
      <c r="CV159" s="53"/>
      <c r="CW159" s="54"/>
      <c r="CX159" s="54"/>
      <c r="CY159" s="54"/>
      <c r="CZ159" s="55"/>
      <c r="DA159" s="55"/>
      <c r="DB159" s="56"/>
      <c r="DC159" s="57"/>
      <c r="DD159" s="58"/>
      <c r="DE159" s="58"/>
      <c r="DF159" s="57"/>
      <c r="DG159" s="59">
        <f>B159</f>
        <v>250402</v>
      </c>
      <c r="DH159" s="58"/>
      <c r="DI159" s="58"/>
      <c r="DJ159" s="60"/>
      <c r="DK159" s="58"/>
      <c r="DL159" s="61"/>
      <c r="DM159" s="24"/>
    </row>
    <row r="160" spans="1:117" ht="15" customHeight="1">
      <c r="A160" s="25">
        <f>ROW()-2</f>
        <v>158</v>
      </c>
      <c r="B160" s="26">
        <v>250404</v>
      </c>
      <c r="C160" s="27" t="s">
        <v>1965</v>
      </c>
      <c r="D160" s="27"/>
      <c r="E160" s="27" t="s">
        <v>613</v>
      </c>
      <c r="F160" s="27" t="s">
        <v>196</v>
      </c>
      <c r="G160" s="27" t="s">
        <v>240</v>
      </c>
      <c r="H160" s="27" t="s">
        <v>260</v>
      </c>
      <c r="I160" s="27" t="s">
        <v>948</v>
      </c>
      <c r="J160" s="27" t="str">
        <f>+VLOOKUP($I160,[1]프로젝트현황!$I:$N,5,0)</f>
        <v>서울시</v>
      </c>
      <c r="K160" s="27" t="str">
        <f>+VLOOKUP($I160,[1]프로젝트현황!$I:$N,6,0)</f>
        <v>구로구</v>
      </c>
      <c r="L160" s="28">
        <v>45768</v>
      </c>
      <c r="M160" s="28">
        <v>45768</v>
      </c>
      <c r="N160" s="28"/>
      <c r="O160" s="29"/>
      <c r="P160" s="30" t="s">
        <v>1966</v>
      </c>
      <c r="Q160" s="27" t="s">
        <v>1967</v>
      </c>
      <c r="R160" s="31" t="str">
        <f>LEFT(Q160,6)</f>
        <v>910831</v>
      </c>
      <c r="S160" s="31" t="str">
        <f>MID($Q160,3,2)</f>
        <v>08</v>
      </c>
      <c r="T160" s="31" t="str">
        <f>IF(OR(MID($Q160,8,1)="1",MID($Q160,8,1)="3"),"남자",IF(OR(MID($Q160,8,1)="2",MID($Q160,8,1)="4"),"여자",""))</f>
        <v>남자</v>
      </c>
      <c r="U160" s="31">
        <f ca="1">YEAR(TODAY())-IF(OR(MID($Q160,8,1)="1",MID($Q160,8,1)="2"),19&amp;LEFT($Q160,2),IF(OR(MID($Q160,8,1)="3",MID($Q160,8,1)="4"),20&amp;LEFT($Q160,2),""))+1</f>
        <v>36</v>
      </c>
      <c r="V160" s="31" t="s">
        <v>200</v>
      </c>
      <c r="W160" s="31" t="s">
        <v>201</v>
      </c>
      <c r="X160" s="27" t="s">
        <v>1968</v>
      </c>
      <c r="Y160" s="27"/>
      <c r="Z160" s="27"/>
      <c r="AA160" s="32"/>
      <c r="AB160" s="31" t="s">
        <v>203</v>
      </c>
      <c r="AC160" s="27"/>
      <c r="AD160" s="33" t="str">
        <f ca="1">QUOTIENT(SUMPRODUCT(LEFT($AE160:$AF160,FIND("년",$AE160:$AF160)-1)*12+MID($AE160:$AF160,FIND("년",$AE160:$AF160)+1,FIND("개월",$AE160:$AF160)-FIND("년",$AE160:$AF160)-1)),12)&amp;"년"&amp;MOD(SUMPRODUCT(LEFT($AE160:$AF160,FIND("년",$AE160:$AF160)-1)*12+MID($AE160:$AF160,FIND("년",$AE160:$AF160)+1,FIND("개월",$AE160:$AF160)-FIND("년",$AE160:$AF160)-1)),12)&amp;"개월"</f>
        <v>0년9개월</v>
      </c>
      <c r="AE160" s="33" t="s">
        <v>543</v>
      </c>
      <c r="AF160" s="34" t="str">
        <f ca="1">DATEDIF($L160,TODAY(),"y")&amp;"년"&amp;DATEDIF($L160,TODAY(),"ym")&amp;"개월"</f>
        <v>0년9개월</v>
      </c>
      <c r="AG160" s="35" t="s">
        <v>544</v>
      </c>
      <c r="AH160" s="35" t="s">
        <v>1969</v>
      </c>
      <c r="AI160" s="30" t="s">
        <v>205</v>
      </c>
      <c r="AJ160" s="32">
        <v>41683</v>
      </c>
      <c r="AK160" s="36">
        <f ca="1">VALUE(LEFT($AD160,FIND("년",$AD160)-1))</f>
        <v>0</v>
      </c>
      <c r="AL160" s="31" t="str">
        <f ca="1">IF($AI160="전문학사",IF($AK160&lt;=8,"초급",IF($AK160&lt;12,"중급",IF($AK160&lt;15,"고급",IF($AK160&gt;=15,"특급")))))</f>
        <v>초급</v>
      </c>
      <c r="AM160" s="31" t="str">
        <f>IF(ISNUMBER(SEARCH("산업기사",$AT160)),IF($AK160&gt;=13,"특급",IF($AK160&gt;=10,"고급",IF($AK160&gt;=7,"중급","초급"))),IF(ISNUMBER(SEARCH("기사",$AR160)),IF($AK160&gt;=10,"특급",IF($AK160&gt;=7,"고급",IF($AK160&gt;=4,"중급","초급"))),"미해당"))</f>
        <v>미해당</v>
      </c>
      <c r="AN160" s="27"/>
      <c r="AO160" s="32"/>
      <c r="AP160" s="27"/>
      <c r="AQ160" s="32"/>
      <c r="AR160" s="27"/>
      <c r="AS160" s="27"/>
      <c r="AT160" s="37"/>
      <c r="AU160" s="27"/>
      <c r="AV160" s="38"/>
      <c r="AW160" s="39"/>
      <c r="AX160" s="39"/>
      <c r="AY160" s="40" t="s">
        <v>251</v>
      </c>
      <c r="AZ160" s="41" t="s">
        <v>252</v>
      </c>
      <c r="BA160" s="30" t="s">
        <v>230</v>
      </c>
      <c r="BB160" s="30" t="s">
        <v>1970</v>
      </c>
      <c r="BC160" s="42" t="s">
        <v>275</v>
      </c>
      <c r="BD160" s="42" t="s">
        <v>1971</v>
      </c>
      <c r="BE160" s="43" t="s">
        <v>1972</v>
      </c>
      <c r="BF160" s="42" t="s">
        <v>1688</v>
      </c>
      <c r="BG160" s="42" t="s">
        <v>341</v>
      </c>
      <c r="BH160" s="35"/>
      <c r="BI160" s="44" t="s">
        <v>1973</v>
      </c>
      <c r="BJ160" s="45" t="str">
        <f>IFERROR(VLOOKUP($BG160,[1]프로젝트현황!Y:Z,2,0),"기타")</f>
        <v>서남권</v>
      </c>
      <c r="BK160" s="46" t="str">
        <f>(IF(BF160="","",BF160&amp;" "))&amp;(IF(BG160="","",BG160&amp;" "))&amp;(IF(BH160="","",BH160&amp;" "))&amp;BI160</f>
        <v>서울특별시 구로구 구로중앙로12길 13-15 (구로동)</v>
      </c>
      <c r="BL160" s="47">
        <v>30</v>
      </c>
      <c r="BM160" s="47">
        <v>30</v>
      </c>
      <c r="BN160" s="48">
        <v>27000000</v>
      </c>
      <c r="BO160" s="48">
        <f>BP160*12</f>
        <v>27000120</v>
      </c>
      <c r="BP160" s="49">
        <f>SUM(BQ160:BS160)</f>
        <v>2250010</v>
      </c>
      <c r="BQ160" s="49">
        <f>ROUNDUP(BN160/12*209/(209+BU160*1.5)/BL160*BM160,-1)-BS160</f>
        <v>1957120</v>
      </c>
      <c r="BR160" s="49">
        <f>ROUNDUP(BN160/12*(BU160*1.5)/(209+BU160*1.5)/BL160*BM160,1)</f>
        <v>92890</v>
      </c>
      <c r="BS160" s="49">
        <v>200000</v>
      </c>
      <c r="BT160" s="50">
        <v>209</v>
      </c>
      <c r="BU160" s="49">
        <f>IF($BN160="","",
IFERROR(
    IF($BN160&lt;'[1]시간외시간 기준표'!$B$2,0,
        IF($BN160&gt;LOOKUP(9.9E+307,'[1]시간외시간 기준표'!$B$2:$B$999),
            LOOKUP(9.9E+307,'[1]시간외시간 기준표'!$C$2:$C$999),
            LOOKUP($BN160,'[1]시간외시간 기준표'!$B$2:$B$999,'[1]시간외시간 기준표'!$C$2:$C$999)
        )
    ),0)
)</f>
        <v>6</v>
      </c>
      <c r="BV160" s="50">
        <f>(BQ160+BS160)/209</f>
        <v>10321.148325358852</v>
      </c>
      <c r="BW160" s="51">
        <v>30</v>
      </c>
      <c r="BX160" s="51">
        <v>30</v>
      </c>
      <c r="BY160" s="52">
        <v>27000000</v>
      </c>
      <c r="BZ160" s="52">
        <f>CA160*12</f>
        <v>27000082.799999997</v>
      </c>
      <c r="CA160" s="49">
        <f>SUM(CB160:CD160)</f>
        <v>2250006.9</v>
      </c>
      <c r="CB160" s="49">
        <f>ROUNDUP(BY160/12*209/(209+CF160*1.5)/BW160*BX160,-1)-CD160</f>
        <v>1913490</v>
      </c>
      <c r="CC160" s="49">
        <f>ROUNDUP(BY160/12*(CF160*1.5)/(209+CF160*1.5)/BW160*BX160,1)</f>
        <v>136516.9</v>
      </c>
      <c r="CD160" s="49">
        <v>200000</v>
      </c>
      <c r="CE160" s="50">
        <v>209</v>
      </c>
      <c r="CF160" s="49">
        <f>IF(BY160&lt;26000000,0,IF(BY160&lt;26500000,4,IF(BY160&lt;27000000,7,IF(BY160&lt;27500000,9,IF(BY160&lt;28000000,11,IF(BY160&lt;28500000,15,IF(BY160&lt;29000000,17,IF(BY160&lt;29500000,20,IF(BY160&lt;30000000,23,IF(BY160&lt;30500000,25,IF(BY160&lt;31000000,27,IF(BY160&lt;31500000,29,IF(BY160&lt;32000000,33,IF(BY160&lt;32500000,37,IF(BY160&lt;33000000,39,IF(BY160&lt;33500000,42,IF(BY160&lt;34000000,45,IF(BY160&lt;34500000,48,IF(BY160&lt;35000000,52,52)))))))))))))))))))</f>
        <v>9</v>
      </c>
      <c r="CG160" s="50">
        <f>(CB160+CD160)/209</f>
        <v>10112.392344497608</v>
      </c>
      <c r="CH160" s="66"/>
      <c r="CI160" s="66"/>
      <c r="CJ160" s="67"/>
      <c r="CK160" s="67"/>
      <c r="CL160" s="49"/>
      <c r="CM160" s="49"/>
      <c r="CN160" s="49"/>
      <c r="CO160" s="50"/>
      <c r="CP160" s="50"/>
      <c r="CQ160" s="50"/>
      <c r="CR160" s="50"/>
      <c r="CS160" s="52"/>
      <c r="CT160" s="53"/>
      <c r="CU160" s="53"/>
      <c r="CV160" s="53"/>
      <c r="CW160" s="54"/>
      <c r="CX160" s="54"/>
      <c r="CY160" s="54"/>
      <c r="CZ160" s="55"/>
      <c r="DA160" s="55"/>
      <c r="DB160" s="56"/>
      <c r="DC160" s="57"/>
      <c r="DD160" s="58"/>
      <c r="DE160" s="58"/>
      <c r="DF160" s="57"/>
      <c r="DG160" s="59">
        <f>B160</f>
        <v>250404</v>
      </c>
      <c r="DH160" s="58"/>
      <c r="DI160" s="58"/>
      <c r="DJ160" s="60"/>
      <c r="DK160" s="58"/>
      <c r="DL160" s="61"/>
      <c r="DM160" s="24"/>
    </row>
    <row r="161" spans="1:117" ht="15" customHeight="1">
      <c r="A161" s="25">
        <f>ROW()-2</f>
        <v>159</v>
      </c>
      <c r="B161" s="26">
        <v>250501</v>
      </c>
      <c r="C161" s="27" t="s">
        <v>1974</v>
      </c>
      <c r="D161" s="27"/>
      <c r="E161" s="27" t="s">
        <v>239</v>
      </c>
      <c r="F161" s="27" t="s">
        <v>196</v>
      </c>
      <c r="G161" s="27" t="s">
        <v>240</v>
      </c>
      <c r="H161" s="27" t="s">
        <v>260</v>
      </c>
      <c r="I161" s="27" t="s">
        <v>948</v>
      </c>
      <c r="J161" s="27" t="str">
        <f>+VLOOKUP($I161,[1]프로젝트현황!$I:$N,5,0)</f>
        <v>서울시</v>
      </c>
      <c r="K161" s="27" t="str">
        <f>+VLOOKUP($I161,[1]프로젝트현황!$I:$N,6,0)</f>
        <v>구로구</v>
      </c>
      <c r="L161" s="28">
        <v>45779</v>
      </c>
      <c r="M161" s="28">
        <v>45779</v>
      </c>
      <c r="N161" s="28"/>
      <c r="O161" s="29"/>
      <c r="P161" s="30" t="s">
        <v>1975</v>
      </c>
      <c r="Q161" s="27" t="s">
        <v>1976</v>
      </c>
      <c r="R161" s="31" t="str">
        <f>LEFT(Q161,6)</f>
        <v>980704</v>
      </c>
      <c r="S161" s="31" t="str">
        <f>MID($Q161,3,2)</f>
        <v>07</v>
      </c>
      <c r="T161" s="31" t="str">
        <f>IF(OR(MID($Q161,8,1)="1",MID($Q161,8,1)="3"),"남자",IF(OR(MID($Q161,8,1)="2",MID($Q161,8,1)="4"),"여자",""))</f>
        <v>여자</v>
      </c>
      <c r="U161" s="31">
        <f ca="1">YEAR(TODAY())-IF(OR(MID($Q161,8,1)="1",MID($Q161,8,1)="2"),19&amp;LEFT($Q161,2),IF(OR(MID($Q161,8,1)="3",MID($Q161,8,1)="4"),20&amp;LEFT($Q161,2),""))+1</f>
        <v>29</v>
      </c>
      <c r="V161" s="31" t="s">
        <v>200</v>
      </c>
      <c r="W161" s="31" t="s">
        <v>201</v>
      </c>
      <c r="X161" s="27" t="s">
        <v>1977</v>
      </c>
      <c r="Y161" s="27"/>
      <c r="Z161" s="27"/>
      <c r="AA161" s="32"/>
      <c r="AB161" s="31" t="s">
        <v>203</v>
      </c>
      <c r="AC161" s="27"/>
      <c r="AD161" s="33" t="str">
        <f ca="1">QUOTIENT(SUMPRODUCT(LEFT($AE161:$AF161,FIND("년",$AE161:$AF161)-1)*12+MID($AE161:$AF161,FIND("년",$AE161:$AF161)+1,FIND("개월",$AE161:$AF161)-FIND("년",$AE161:$AF161)-1)),12)&amp;"년"&amp;MOD(SUMPRODUCT(LEFT($AE161:$AF161,FIND("년",$AE161:$AF161)-1)*12+MID($AE161:$AF161,FIND("년",$AE161:$AF161)+1,FIND("개월",$AE161:$AF161)-FIND("년",$AE161:$AF161)-1)),12)&amp;"개월"</f>
        <v>6년3개월</v>
      </c>
      <c r="AE161" s="33" t="s">
        <v>1978</v>
      </c>
      <c r="AF161" s="34" t="str">
        <f ca="1">DATEDIF($L161,TODAY(),"y")&amp;"년"&amp;DATEDIF($L161,TODAY(),"ym")&amp;"개월"</f>
        <v>0년9개월</v>
      </c>
      <c r="AG161" s="35" t="s">
        <v>906</v>
      </c>
      <c r="AH161" s="35" t="s">
        <v>1136</v>
      </c>
      <c r="AI161" s="30" t="s">
        <v>270</v>
      </c>
      <c r="AJ161" s="32">
        <v>44246</v>
      </c>
      <c r="AK161" s="36">
        <f ca="1">VALUE(LEFT($AD161,FIND("년",$AD161)-1))</f>
        <v>6</v>
      </c>
      <c r="AL161" s="31" t="str">
        <f ca="1">IF($AI161="학사",IF($AK161&lt;=8,"초급",IF($AK161&lt;12,"중급",IF($AK161&lt;15,"고급",IF($AK161&gt;=15,"특급")))))</f>
        <v>초급</v>
      </c>
      <c r="AM161" s="31" t="str">
        <f>IF(ISNUMBER(SEARCH("산업기사",$AT161)),IF($AK161&gt;=13,"특급",IF($AK161&gt;=10,"고급",IF($AK161&gt;=7,"중급","초급"))),IF(ISNUMBER(SEARCH("기사",$AR161)),IF($AK161&gt;=10,"특급",IF($AK161&gt;=7,"고급",IF($AK161&gt;=4,"중급","초급"))),"미해당"))</f>
        <v>미해당</v>
      </c>
      <c r="AN161" s="27"/>
      <c r="AO161" s="32"/>
      <c r="AP161" s="27"/>
      <c r="AQ161" s="32"/>
      <c r="AR161" s="27"/>
      <c r="AS161" s="27"/>
      <c r="AT161" s="37"/>
      <c r="AU161" s="27"/>
      <c r="AV161" s="38"/>
      <c r="AW161" s="39"/>
      <c r="AX161" s="39"/>
      <c r="AY161" s="40" t="s">
        <v>251</v>
      </c>
      <c r="AZ161" s="41" t="s">
        <v>252</v>
      </c>
      <c r="BA161" s="30" t="s">
        <v>230</v>
      </c>
      <c r="BB161" s="30" t="s">
        <v>1979</v>
      </c>
      <c r="BC161" s="42" t="s">
        <v>254</v>
      </c>
      <c r="BD161" s="42" t="s">
        <v>1980</v>
      </c>
      <c r="BE161" s="43" t="s">
        <v>1981</v>
      </c>
      <c r="BF161" s="42" t="s">
        <v>1688</v>
      </c>
      <c r="BG161" s="42" t="s">
        <v>623</v>
      </c>
      <c r="BH161" s="35"/>
      <c r="BI161" s="44" t="s">
        <v>1982</v>
      </c>
      <c r="BJ161" s="45" t="str">
        <f>IFERROR(VLOOKUP($BG161,[1]프로젝트현황!Y:Z,2,0),"기타")</f>
        <v>동북권</v>
      </c>
      <c r="BK161" s="46" t="str">
        <f>(IF(BF161="","",BF161&amp;" "))&amp;(IF(BG161="","",BG161&amp;" "))&amp;(IF(BH161="","",BH161&amp;" "))&amp;BI161</f>
        <v>서울특별시 강북구 덕릉로 193-11</v>
      </c>
      <c r="BL161" s="47">
        <v>30</v>
      </c>
      <c r="BM161" s="47">
        <v>30</v>
      </c>
      <c r="BN161" s="48">
        <v>33000000</v>
      </c>
      <c r="BO161" s="48">
        <f>BP161*12</f>
        <v>33000069.599999998</v>
      </c>
      <c r="BP161" s="49">
        <f>SUM(BQ161:BS161)</f>
        <v>2750005.8</v>
      </c>
      <c r="BQ161" s="49">
        <f>ROUNDUP(BN161/12*209/(209+BU161*1.5)/BL161*BM161,-1)-BS161</f>
        <v>1960720</v>
      </c>
      <c r="BR161" s="49">
        <f>ROUNDUP(BN161/12*(BU161*1.5)/(209+BU161*1.5)/BL161*BM161,1)</f>
        <v>589285.79999999993</v>
      </c>
      <c r="BS161" s="49">
        <v>200000</v>
      </c>
      <c r="BT161" s="50">
        <v>209</v>
      </c>
      <c r="BU161" s="49">
        <f>IF($BN161="","",
IFERROR(
    IF($BN161&lt;'[1]시간외시간 기준표'!$B$2,0,
        IF($BN161&gt;LOOKUP(9.9E+307,'[1]시간외시간 기준표'!$B$2:$B$999),
            LOOKUP(9.9E+307,'[1]시간외시간 기준표'!$C$2:$C$999),
            LOOKUP($BN161,'[1]시간외시간 기준표'!$B$2:$B$999,'[1]시간외시간 기준표'!$C$2:$C$999)
        )
    ),0)
)</f>
        <v>38</v>
      </c>
      <c r="BV161" s="50">
        <f>(BQ161+BS161)/209</f>
        <v>10338.373205741627</v>
      </c>
      <c r="BW161" s="51">
        <v>30</v>
      </c>
      <c r="BX161" s="51">
        <v>30</v>
      </c>
      <c r="BY161" s="52">
        <v>33000000</v>
      </c>
      <c r="BZ161" s="52">
        <f>CA161*12</f>
        <v>33000103.200000003</v>
      </c>
      <c r="CA161" s="49">
        <f>SUM(CB161:CD161)</f>
        <v>2750008.6</v>
      </c>
      <c r="CB161" s="49">
        <f>ROUNDUP(BY161/12*209/(209+CF161*1.5)/BW161*BX161,-1)-CD161</f>
        <v>1913060</v>
      </c>
      <c r="CC161" s="49">
        <f>ROUNDUP(BY161/12*(CF161*1.5)/(209+CF161*1.5)/BW161*BX161,1)</f>
        <v>636948.6</v>
      </c>
      <c r="CD161" s="49">
        <v>200000</v>
      </c>
      <c r="CE161" s="50">
        <v>209</v>
      </c>
      <c r="CF161" s="49">
        <f>IF(BY161&lt;26000000,0,IF(BY161&lt;26500000,4,IF(BY161&lt;27000000,7,IF(BY161&lt;27500000,9,IF(BY161&lt;28000000,11,IF(BY161&lt;28500000,15,IF(BY161&lt;29000000,17,IF(BY161&lt;29500000,20,IF(BY161&lt;30000000,23,IF(BY161&lt;30500000,25,IF(BY161&lt;31000000,27,IF(BY161&lt;31500000,29,IF(BY161&lt;32000000,33,IF(BY161&lt;32500000,37,IF(BY161&lt;33000000,39,IF(BY161&lt;33500000,42,IF(BY161&lt;34000000,45,IF(BY161&lt;34500000,48,IF(BY161&lt;35000000,52,52)))))))))))))))))))</f>
        <v>42</v>
      </c>
      <c r="CG161" s="50">
        <f>(CB161+CD161)/209</f>
        <v>10110.334928229666</v>
      </c>
      <c r="CH161" s="66"/>
      <c r="CI161" s="66"/>
      <c r="CJ161" s="67"/>
      <c r="CK161" s="67"/>
      <c r="CL161" s="49"/>
      <c r="CM161" s="49"/>
      <c r="CN161" s="49"/>
      <c r="CO161" s="50"/>
      <c r="CP161" s="50"/>
      <c r="CQ161" s="50"/>
      <c r="CR161" s="50"/>
      <c r="CS161" s="52"/>
      <c r="CT161" s="53"/>
      <c r="CU161" s="53"/>
      <c r="CV161" s="53"/>
      <c r="CW161" s="54"/>
      <c r="CX161" s="54"/>
      <c r="CY161" s="54"/>
      <c r="CZ161" s="55"/>
      <c r="DA161" s="55"/>
      <c r="DB161" s="56"/>
      <c r="DC161" s="57"/>
      <c r="DD161" s="58"/>
      <c r="DE161" s="58"/>
      <c r="DF161" s="57"/>
      <c r="DG161" s="59">
        <f>B161</f>
        <v>250501</v>
      </c>
      <c r="DH161" s="58"/>
      <c r="DI161" s="58"/>
      <c r="DJ161" s="60"/>
      <c r="DK161" s="58"/>
      <c r="DL161" s="61"/>
      <c r="DM161" s="24"/>
    </row>
    <row r="162" spans="1:117" ht="15" customHeight="1">
      <c r="A162" s="25">
        <f>ROW()-2</f>
        <v>160</v>
      </c>
      <c r="B162" s="26">
        <v>250502</v>
      </c>
      <c r="C162" s="27" t="s">
        <v>1983</v>
      </c>
      <c r="D162" s="27" t="s">
        <v>282</v>
      </c>
      <c r="E162" s="27" t="s">
        <v>283</v>
      </c>
      <c r="F162" s="27" t="s">
        <v>196</v>
      </c>
      <c r="G162" s="27" t="s">
        <v>240</v>
      </c>
      <c r="H162" s="27" t="s">
        <v>260</v>
      </c>
      <c r="I162" s="27" t="s">
        <v>261</v>
      </c>
      <c r="J162" s="27" t="str">
        <f>+VLOOKUP($I162,[1]프로젝트현황!$I:$N,5,0)</f>
        <v>서울시</v>
      </c>
      <c r="K162" s="27" t="str">
        <f>+VLOOKUP($I162,[1]프로젝트현황!$I:$N,6,0)</f>
        <v>중구</v>
      </c>
      <c r="L162" s="28">
        <v>45789</v>
      </c>
      <c r="M162" s="28">
        <v>45789</v>
      </c>
      <c r="N162" s="28"/>
      <c r="O162" s="29"/>
      <c r="P162" s="30" t="s">
        <v>1984</v>
      </c>
      <c r="Q162" s="27" t="s">
        <v>1985</v>
      </c>
      <c r="R162" s="31" t="str">
        <f>LEFT(Q162,6)</f>
        <v>861122</v>
      </c>
      <c r="S162" s="31" t="str">
        <f>MID($Q162,3,2)</f>
        <v>11</v>
      </c>
      <c r="T162" s="31" t="str">
        <f>IF(OR(MID($Q162,8,1)="1",MID($Q162,8,1)="3"),"남자",IF(OR(MID($Q162,8,1)="2",MID($Q162,8,1)="4"),"여자",""))</f>
        <v>남자</v>
      </c>
      <c r="U162" s="31">
        <f ca="1">YEAR(TODAY())-IF(OR(MID($Q162,8,1)="1",MID($Q162,8,1)="2"),19&amp;LEFT($Q162,2),IF(OR(MID($Q162,8,1)="3",MID($Q162,8,1)="4"),20&amp;LEFT($Q162,2),""))+1</f>
        <v>41</v>
      </c>
      <c r="V162" s="31" t="s">
        <v>200</v>
      </c>
      <c r="W162" s="31" t="s">
        <v>201</v>
      </c>
      <c r="X162" s="27" t="s">
        <v>1986</v>
      </c>
      <c r="Y162" s="27"/>
      <c r="Z162" s="27"/>
      <c r="AA162" s="32"/>
      <c r="AB162" s="31" t="s">
        <v>203</v>
      </c>
      <c r="AC162" s="27"/>
      <c r="AD162" s="33" t="str">
        <f ca="1">QUOTIENT(SUMPRODUCT(LEFT($AE162:$AF162,FIND("년",$AE162:$AF162)-1)*12+MID($AE162:$AF162,FIND("년",$AE162:$AF162)+1,FIND("개월",$AE162:$AF162)-FIND("년",$AE162:$AF162)-1)),12)&amp;"년"&amp;MOD(SUMPRODUCT(LEFT($AE162:$AF162,FIND("년",$AE162:$AF162)-1)*12+MID($AE162:$AF162,FIND("년",$AE162:$AF162)+1,FIND("개월",$AE162:$AF162)-FIND("년",$AE162:$AF162)-1)),12)&amp;"개월"</f>
        <v>11년11개월</v>
      </c>
      <c r="AE162" s="33" t="s">
        <v>484</v>
      </c>
      <c r="AF162" s="34" t="str">
        <f ca="1">DATEDIF($L162,TODAY(),"y")&amp;"년"&amp;DATEDIF($L162,TODAY(),"ym")&amp;"개월"</f>
        <v>0년8개월</v>
      </c>
      <c r="AG162" s="35" t="s">
        <v>394</v>
      </c>
      <c r="AH162" s="35" t="s">
        <v>1987</v>
      </c>
      <c r="AI162" s="30" t="s">
        <v>205</v>
      </c>
      <c r="AJ162" s="32">
        <v>40592</v>
      </c>
      <c r="AK162" s="36">
        <f ca="1">VALUE(LEFT($AD162,FIND("년",$AD162)-1))</f>
        <v>11</v>
      </c>
      <c r="AL162" s="31" t="str">
        <f ca="1">IF($AI162="전문학사",IF($AK162&lt;=8,"초급",IF($AK162&lt;12,"중급",IF($AK162&lt;15,"고급",IF($AK162&gt;=15,"특급")))))</f>
        <v>중급</v>
      </c>
      <c r="AM162" s="31" t="str">
        <f>IF(ISNUMBER(SEARCH("산업기사",$AT162)),IF($AK162&gt;=13,"특급",IF($AK162&gt;=10,"고급",IF($AK162&gt;=7,"중급","초급"))),IF(ISNUMBER(SEARCH("기사",$AR162)),IF($AK162&gt;=10,"특급",IF($AK162&gt;=7,"고급",IF($AK162&gt;=4,"중급","초급"))),"미해당"))</f>
        <v>미해당</v>
      </c>
      <c r="AN162" s="27"/>
      <c r="AO162" s="32"/>
      <c r="AP162" s="27"/>
      <c r="AQ162" s="32"/>
      <c r="AR162" s="27"/>
      <c r="AS162" s="27"/>
      <c r="AT162" s="37"/>
      <c r="AU162" s="27"/>
      <c r="AV162" s="38"/>
      <c r="AW162" s="39"/>
      <c r="AX162" s="39"/>
      <c r="AY162" s="40" t="s">
        <v>251</v>
      </c>
      <c r="AZ162" s="41" t="s">
        <v>252</v>
      </c>
      <c r="BA162" s="30" t="s">
        <v>230</v>
      </c>
      <c r="BB162" s="30" t="s">
        <v>1988</v>
      </c>
      <c r="BC162" s="42" t="s">
        <v>1665</v>
      </c>
      <c r="BD162" s="42" t="s">
        <v>1989</v>
      </c>
      <c r="BE162" s="43" t="s">
        <v>1990</v>
      </c>
      <c r="BF162" s="42" t="s">
        <v>1688</v>
      </c>
      <c r="BG162" s="42" t="s">
        <v>650</v>
      </c>
      <c r="BH162" s="35"/>
      <c r="BI162" s="44" t="s">
        <v>1991</v>
      </c>
      <c r="BJ162" s="45" t="str">
        <f>IFERROR(VLOOKUP($BG162,[1]프로젝트현황!Y:Z,2,0),"기타")</f>
        <v>동북권</v>
      </c>
      <c r="BK162" s="46" t="str">
        <f>(IF(BF162="","",BF162&amp;" "))&amp;(IF(BG162="","",BG162&amp;" "))&amp;(IF(BH162="","",BH162&amp;" "))&amp;BI162</f>
        <v>서울특별시 광진구 자양로44길 45, 402호 (구의동)</v>
      </c>
      <c r="BL162" s="47">
        <v>30</v>
      </c>
      <c r="BM162" s="47">
        <v>30</v>
      </c>
      <c r="BN162" s="48">
        <v>46000000</v>
      </c>
      <c r="BO162" s="48">
        <f>BP162*12</f>
        <v>46000102.799999997</v>
      </c>
      <c r="BP162" s="49">
        <f>SUM(BQ162:BS162)</f>
        <v>3833341.9</v>
      </c>
      <c r="BQ162" s="49">
        <f>ROUNDUP(BN162/12*209/(209+BU162*1.5)/BL162*BM162,-1)-BS162</f>
        <v>2591530</v>
      </c>
      <c r="BR162" s="49">
        <f>ROUNDUP(BN162/12*(BU162*1.5)/(209+BU162*1.5)/BL162*BM162,1)</f>
        <v>1041811.9</v>
      </c>
      <c r="BS162" s="49">
        <v>200000</v>
      </c>
      <c r="BT162" s="50">
        <v>209</v>
      </c>
      <c r="BU162" s="49">
        <f>IF($BN162="","",
IFERROR(
    IF($BN162&lt;'[1]시간외시간 기준표'!$B$2,0,
        IF($BN162&gt;LOOKUP(9.9E+307,'[1]시간외시간 기준표'!$B$2:$B$999),
            LOOKUP(9.9E+307,'[1]시간외시간 기준표'!$C$2:$C$999),
            LOOKUP($BN162,'[1]시간외시간 기준표'!$B$2:$B$999,'[1]시간외시간 기준표'!$C$2:$C$999)
        )
    ),0)
)</f>
        <v>52</v>
      </c>
      <c r="BV162" s="50">
        <f>(BQ162+BS162)/209</f>
        <v>13356.602870813396</v>
      </c>
      <c r="BW162" s="51">
        <v>30</v>
      </c>
      <c r="BX162" s="51">
        <v>30</v>
      </c>
      <c r="BY162" s="52">
        <v>46000000</v>
      </c>
      <c r="BZ162" s="52">
        <f>CA162*12</f>
        <v>46000102.799999997</v>
      </c>
      <c r="CA162" s="49">
        <f>SUM(CB162:CD162)</f>
        <v>3833341.9</v>
      </c>
      <c r="CB162" s="49">
        <f>ROUNDUP(BY162/12*209/(209+CF162*1.5)/BW162*BX162,-1)-CD162</f>
        <v>2591530</v>
      </c>
      <c r="CC162" s="49">
        <f>ROUNDUP(BY162/12*(CF162*1.5)/(209+CF162*1.5)/BW162*BX162,1)</f>
        <v>1041811.9</v>
      </c>
      <c r="CD162" s="49">
        <v>200000</v>
      </c>
      <c r="CE162" s="50">
        <v>209</v>
      </c>
      <c r="CF162" s="49">
        <f>IF(BY162&lt;26000000,0,IF(BY162&lt;26500000,4,IF(BY162&lt;27000000,7,IF(BY162&lt;27500000,9,IF(BY162&lt;28000000,11,IF(BY162&lt;28500000,15,IF(BY162&lt;29000000,17,IF(BY162&lt;29500000,20,IF(BY162&lt;30000000,23,IF(BY162&lt;30500000,25,IF(BY162&lt;31000000,27,IF(BY162&lt;31500000,29,IF(BY162&lt;32000000,33,IF(BY162&lt;32500000,37,IF(BY162&lt;33000000,39,IF(BY162&lt;33500000,42,IF(BY162&lt;34000000,45,IF(BY162&lt;34500000,48,IF(BY162&lt;35000000,52,52)))))))))))))))))))</f>
        <v>52</v>
      </c>
      <c r="CG162" s="50">
        <f>(CB162+CD162)/209</f>
        <v>13356.602870813396</v>
      </c>
      <c r="CH162" s="66"/>
      <c r="CI162" s="66"/>
      <c r="CJ162" s="67"/>
      <c r="CK162" s="67"/>
      <c r="CL162" s="49"/>
      <c r="CM162" s="49"/>
      <c r="CN162" s="49"/>
      <c r="CO162" s="50"/>
      <c r="CP162" s="50"/>
      <c r="CQ162" s="50"/>
      <c r="CR162" s="50"/>
      <c r="CS162" s="52"/>
      <c r="CT162" s="53"/>
      <c r="CU162" s="53"/>
      <c r="CV162" s="53"/>
      <c r="CW162" s="54"/>
      <c r="CX162" s="54"/>
      <c r="CY162" s="54"/>
      <c r="CZ162" s="55"/>
      <c r="DA162" s="55"/>
      <c r="DB162" s="56"/>
      <c r="DC162" s="57"/>
      <c r="DD162" s="58"/>
      <c r="DE162" s="58"/>
      <c r="DF162" s="57"/>
      <c r="DG162" s="59">
        <f>B162</f>
        <v>250502</v>
      </c>
      <c r="DH162" s="58"/>
      <c r="DI162" s="58"/>
      <c r="DJ162" s="60"/>
      <c r="DK162" s="58"/>
      <c r="DL162" s="61"/>
      <c r="DM162" s="63"/>
    </row>
    <row r="163" spans="1:117" ht="15" customHeight="1">
      <c r="A163" s="25">
        <f>ROW()-2</f>
        <v>161</v>
      </c>
      <c r="B163" s="26">
        <v>250503</v>
      </c>
      <c r="C163" s="27" t="s">
        <v>1992</v>
      </c>
      <c r="D163" s="27"/>
      <c r="E163" s="27" t="s">
        <v>613</v>
      </c>
      <c r="F163" s="27" t="s">
        <v>196</v>
      </c>
      <c r="G163" s="27" t="s">
        <v>240</v>
      </c>
      <c r="H163" s="27" t="s">
        <v>217</v>
      </c>
      <c r="I163" s="27" t="s">
        <v>479</v>
      </c>
      <c r="J163" s="27" t="str">
        <f>+VLOOKUP($I163,[1]프로젝트현황!$I:$N,5,0)</f>
        <v>경기도</v>
      </c>
      <c r="K163" s="27" t="str">
        <f>+VLOOKUP($I163,[1]프로젝트현황!$I:$N,6,0)</f>
        <v>성남시</v>
      </c>
      <c r="L163" s="28">
        <v>45789</v>
      </c>
      <c r="M163" s="28">
        <v>45789</v>
      </c>
      <c r="N163" s="28"/>
      <c r="O163" s="29"/>
      <c r="P163" s="30" t="s">
        <v>1993</v>
      </c>
      <c r="Q163" s="27" t="s">
        <v>1994</v>
      </c>
      <c r="R163" s="31" t="str">
        <f>LEFT(Q163,6)</f>
        <v>941012</v>
      </c>
      <c r="S163" s="31" t="str">
        <f>MID($Q163,3,2)</f>
        <v>10</v>
      </c>
      <c r="T163" s="31" t="str">
        <f>IF(OR(MID($Q163,8,1)="1",MID($Q163,8,1)="3"),"남자",IF(OR(MID($Q163,8,1)="2",MID($Q163,8,1)="4"),"여자",""))</f>
        <v>남자</v>
      </c>
      <c r="U163" s="31">
        <f ca="1">YEAR(TODAY())-IF(OR(MID($Q163,8,1)="1",MID($Q163,8,1)="2"),19&amp;LEFT($Q163,2),IF(OR(MID($Q163,8,1)="3",MID($Q163,8,1)="4"),20&amp;LEFT($Q163,2),""))+1</f>
        <v>33</v>
      </c>
      <c r="V163" s="31" t="s">
        <v>200</v>
      </c>
      <c r="W163" s="31" t="s">
        <v>201</v>
      </c>
      <c r="X163" s="27" t="s">
        <v>1995</v>
      </c>
      <c r="Y163" s="27"/>
      <c r="Z163" s="27"/>
      <c r="AA163" s="32"/>
      <c r="AB163" s="31" t="s">
        <v>203</v>
      </c>
      <c r="AC163" s="27"/>
      <c r="AD163" s="33" t="str">
        <f ca="1">QUOTIENT(SUMPRODUCT(LEFT($AE163:$AF163,FIND("년",$AE163:$AF163)-1)*12+MID($AE163:$AF163,FIND("년",$AE163:$AF163)+1,FIND("개월",$AE163:$AF163)-FIND("년",$AE163:$AF163)-1)),12)&amp;"년"&amp;MOD(SUMPRODUCT(LEFT($AE163:$AF163,FIND("년",$AE163:$AF163)-1)*12+MID($AE163:$AF163,FIND("년",$AE163:$AF163)+1,FIND("개월",$AE163:$AF163)-FIND("년",$AE163:$AF163)-1)),12)&amp;"개월"</f>
        <v>3년2개월</v>
      </c>
      <c r="AE163" s="33" t="s">
        <v>1996</v>
      </c>
      <c r="AF163" s="34" t="str">
        <f ca="1">DATEDIF($L163,TODAY(),"y")&amp;"년"&amp;DATEDIF($L163,TODAY(),"ym")&amp;"개월"</f>
        <v>0년8개월</v>
      </c>
      <c r="AG163" s="35" t="s">
        <v>1161</v>
      </c>
      <c r="AH163" s="35" t="s">
        <v>501</v>
      </c>
      <c r="AI163" s="30" t="s">
        <v>270</v>
      </c>
      <c r="AJ163" s="32">
        <v>44071</v>
      </c>
      <c r="AK163" s="36">
        <f ca="1">VALUE(LEFT($AD163,FIND("년",$AD163)-1))</f>
        <v>3</v>
      </c>
      <c r="AL163" s="31" t="str">
        <f ca="1">IF($AI163="학사",IF($AK163&lt;=8,"초급",IF($AK163&lt;12,"중급",IF($AK163&lt;15,"고급",IF($AK163&gt;=15,"특급")))))</f>
        <v>초급</v>
      </c>
      <c r="AM163" s="31" t="str">
        <f>IF(ISNUMBER(SEARCH("산업기사",$AT163)),IF($AK163&gt;=13,"특급",IF($AK163&gt;=10,"고급",IF($AK163&gt;=7,"중급","초급"))),IF(ISNUMBER(SEARCH("기사",$AR163)),IF($AK163&gt;=10,"특급",IF($AK163&gt;=7,"고급",IF($AK163&gt;=4,"중급","초급"))),"미해당"))</f>
        <v>미해당</v>
      </c>
      <c r="AN163" s="27"/>
      <c r="AO163" s="32"/>
      <c r="AP163" s="27" t="s">
        <v>137</v>
      </c>
      <c r="AQ163" s="32">
        <v>2021.03</v>
      </c>
      <c r="AR163" s="27"/>
      <c r="AS163" s="27"/>
      <c r="AT163" s="37"/>
      <c r="AU163" s="27"/>
      <c r="AV163" s="38"/>
      <c r="AW163" s="39"/>
      <c r="AX163" s="39"/>
      <c r="AY163" s="40" t="s">
        <v>251</v>
      </c>
      <c r="AZ163" s="41" t="s">
        <v>252</v>
      </c>
      <c r="BA163" s="30" t="s">
        <v>230</v>
      </c>
      <c r="BB163" s="30" t="s">
        <v>1997</v>
      </c>
      <c r="BC163" s="42" t="s">
        <v>254</v>
      </c>
      <c r="BD163" s="42" t="s">
        <v>1998</v>
      </c>
      <c r="BE163" s="43" t="s">
        <v>1999</v>
      </c>
      <c r="BF163" s="42" t="s">
        <v>1688</v>
      </c>
      <c r="BG163" s="42" t="s">
        <v>1239</v>
      </c>
      <c r="BH163" s="35"/>
      <c r="BI163" s="44" t="s">
        <v>2000</v>
      </c>
      <c r="BJ163" s="45" t="str">
        <f>IFERROR(VLOOKUP($BG163,[1]프로젝트현황!Y:Z,2,0),"기타")</f>
        <v>동남권</v>
      </c>
      <c r="BK163" s="46" t="str">
        <f>(IF(BF163="","",BF163&amp;" "))&amp;(IF(BG163="","",BG163&amp;" "))&amp;(IF(BH163="","",BH163&amp;" "))&amp;BI163</f>
        <v>서울특별시 송파구 오금로20길 4-4, 203동 (송파동)</v>
      </c>
      <c r="BL163" s="47">
        <v>30</v>
      </c>
      <c r="BM163" s="47">
        <v>30</v>
      </c>
      <c r="BN163" s="48">
        <v>28000000</v>
      </c>
      <c r="BO163" s="48">
        <f>BP163*12</f>
        <v>28000101.599999998</v>
      </c>
      <c r="BP163" s="49">
        <f>SUM(BQ163:BS163)</f>
        <v>2333341.7999999998</v>
      </c>
      <c r="BQ163" s="49">
        <f>ROUNDUP(BN163/12*209/(209+BU163*1.5)/BL163*BM163,-1)-BS163</f>
        <v>1962610</v>
      </c>
      <c r="BR163" s="49">
        <f>ROUNDUP(BN163/12*(BU163*1.5)/(209+BU163*1.5)/BL163*BM163,1)</f>
        <v>170731.80000000002</v>
      </c>
      <c r="BS163" s="49">
        <v>200000</v>
      </c>
      <c r="BT163" s="50">
        <v>209</v>
      </c>
      <c r="BU163" s="49">
        <f>IF($BN163="","",
IFERROR(
    IF($BN163&lt;'[1]시간외시간 기준표'!$B$2,0,
        IF($BN163&gt;LOOKUP(9.9E+307,'[1]시간외시간 기준표'!$B$2:$B$999),
            LOOKUP(9.9E+307,'[1]시간외시간 기준표'!$C$2:$C$999),
            LOOKUP($BN163,'[1]시간외시간 기준표'!$B$2:$B$999,'[1]시간외시간 기준표'!$C$2:$C$999)
        )
    ),0)
)</f>
        <v>11</v>
      </c>
      <c r="BV163" s="50">
        <f>(BQ163+BS163)/209</f>
        <v>10347.416267942584</v>
      </c>
      <c r="BW163" s="51">
        <v>30</v>
      </c>
      <c r="BX163" s="51">
        <v>30</v>
      </c>
      <c r="BY163" s="52">
        <v>28000000</v>
      </c>
      <c r="BZ163" s="52">
        <f>CA163*12</f>
        <v>28000102.799999997</v>
      </c>
      <c r="CA163" s="49">
        <f>SUM(CB163:CD163)</f>
        <v>2333341.9</v>
      </c>
      <c r="CB163" s="49">
        <f>ROUNDUP(BY163/12*209/(209+CF163*1.5)/BW163*BX163,-1)-CD163</f>
        <v>1906560</v>
      </c>
      <c r="CC163" s="49">
        <f>ROUNDUP(BY163/12*(CF163*1.5)/(209+CF163*1.5)/BW163*BX163,1)</f>
        <v>226781.9</v>
      </c>
      <c r="CD163" s="49">
        <v>200000</v>
      </c>
      <c r="CE163" s="50">
        <v>209</v>
      </c>
      <c r="CF163" s="49">
        <f>IF(BY163&lt;26000000,0,IF(BY163&lt;26500000,4,IF(BY163&lt;27000000,7,IF(BY163&lt;27500000,9,IF(BY163&lt;28000000,11,IF(BY163&lt;28500000,15,IF(BY163&lt;29000000,17,IF(BY163&lt;29500000,20,IF(BY163&lt;30000000,23,IF(BY163&lt;30500000,25,IF(BY163&lt;31000000,27,IF(BY163&lt;31500000,29,IF(BY163&lt;32000000,33,IF(BY163&lt;32500000,37,IF(BY163&lt;33000000,39,IF(BY163&lt;33500000,42,IF(BY163&lt;34000000,45,IF(BY163&lt;34500000,48,IF(BY163&lt;35000000,52,52)))))))))))))))))))</f>
        <v>15</v>
      </c>
      <c r="CG163" s="50">
        <f>(CB163+CD163)/209</f>
        <v>10079.234449760766</v>
      </c>
      <c r="CH163" s="66"/>
      <c r="CI163" s="66"/>
      <c r="CJ163" s="67"/>
      <c r="CK163" s="67"/>
      <c r="CL163" s="49"/>
      <c r="CM163" s="49"/>
      <c r="CN163" s="49"/>
      <c r="CO163" s="50"/>
      <c r="CP163" s="50"/>
      <c r="CQ163" s="50"/>
      <c r="CR163" s="50"/>
      <c r="CS163" s="52"/>
      <c r="CT163" s="53"/>
      <c r="CU163" s="53"/>
      <c r="CV163" s="53"/>
      <c r="CW163" s="54"/>
      <c r="CX163" s="54"/>
      <c r="CY163" s="54"/>
      <c r="CZ163" s="55"/>
      <c r="DA163" s="55"/>
      <c r="DB163" s="56"/>
      <c r="DC163" s="57"/>
      <c r="DD163" s="58"/>
      <c r="DE163" s="58"/>
      <c r="DF163" s="57"/>
      <c r="DG163" s="59">
        <f>B163</f>
        <v>250503</v>
      </c>
      <c r="DH163" s="58"/>
      <c r="DI163" s="58"/>
      <c r="DJ163" s="60"/>
      <c r="DK163" s="58"/>
      <c r="DL163" s="61"/>
      <c r="DM163" s="24"/>
    </row>
    <row r="164" spans="1:117" ht="15" customHeight="1">
      <c r="A164" s="25">
        <f>ROW()-2</f>
        <v>162</v>
      </c>
      <c r="B164" s="26">
        <v>250504</v>
      </c>
      <c r="C164" s="27" t="s">
        <v>2001</v>
      </c>
      <c r="D164" s="27"/>
      <c r="E164" s="27" t="s">
        <v>613</v>
      </c>
      <c r="F164" s="27" t="s">
        <v>196</v>
      </c>
      <c r="G164" s="27" t="s">
        <v>240</v>
      </c>
      <c r="H164" s="27" t="s">
        <v>260</v>
      </c>
      <c r="I164" s="27" t="s">
        <v>1540</v>
      </c>
      <c r="J164" s="27" t="str">
        <f>+VLOOKUP($I164,[1]프로젝트현황!$I:$N,5,0)</f>
        <v>서울시</v>
      </c>
      <c r="K164" s="27" t="str">
        <f>+VLOOKUP($I164,[1]프로젝트현황!$I:$N,6,0)</f>
        <v>구로구</v>
      </c>
      <c r="L164" s="28">
        <v>45789</v>
      </c>
      <c r="M164" s="28">
        <v>45789</v>
      </c>
      <c r="N164" s="28"/>
      <c r="O164" s="29"/>
      <c r="P164" s="30" t="s">
        <v>2002</v>
      </c>
      <c r="Q164" s="27" t="s">
        <v>2003</v>
      </c>
      <c r="R164" s="31" t="str">
        <f>LEFT(Q164,6)</f>
        <v>941120</v>
      </c>
      <c r="S164" s="31" t="str">
        <f>MID($Q164,3,2)</f>
        <v>11</v>
      </c>
      <c r="T164" s="31" t="str">
        <f>IF(OR(MID($Q164,8,1)="1",MID($Q164,8,1)="3"),"남자",IF(OR(MID($Q164,8,1)="2",MID($Q164,8,1)="4"),"여자",""))</f>
        <v>남자</v>
      </c>
      <c r="U164" s="31">
        <f ca="1">YEAR(TODAY())-IF(OR(MID($Q164,8,1)="1",MID($Q164,8,1)="2"),19&amp;LEFT($Q164,2),IF(OR(MID($Q164,8,1)="3",MID($Q164,8,1)="4"),20&amp;LEFT($Q164,2),""))+1</f>
        <v>33</v>
      </c>
      <c r="V164" s="31" t="s">
        <v>200</v>
      </c>
      <c r="W164" s="31" t="s">
        <v>201</v>
      </c>
      <c r="X164" s="27" t="s">
        <v>2004</v>
      </c>
      <c r="Y164" s="27"/>
      <c r="Z164" s="27"/>
      <c r="AA164" s="32"/>
      <c r="AB164" s="31" t="s">
        <v>203</v>
      </c>
      <c r="AC164" s="27"/>
      <c r="AD164" s="33" t="str">
        <f ca="1">QUOTIENT(SUMPRODUCT(LEFT($AE164:$AF164,FIND("년",$AE164:$AF164)-1)*12+MID($AE164:$AF164,FIND("년",$AE164:$AF164)+1,FIND("개월",$AE164:$AF164)-FIND("년",$AE164:$AF164)-1)),12)&amp;"년"&amp;MOD(SUMPRODUCT(LEFT($AE164:$AF164,FIND("년",$AE164:$AF164)-1)*12+MID($AE164:$AF164,FIND("년",$AE164:$AF164)+1,FIND("개월",$AE164:$AF164)-FIND("년",$AE164:$AF164)-1)),12)&amp;"개월"</f>
        <v>0년8개월</v>
      </c>
      <c r="AE164" s="33" t="s">
        <v>543</v>
      </c>
      <c r="AF164" s="34" t="str">
        <f ca="1">DATEDIF($L164,TODAY(),"y")&amp;"년"&amp;DATEDIF($L164,TODAY(),"ym")&amp;"개월"</f>
        <v>0년8개월</v>
      </c>
      <c r="AG164" s="35" t="s">
        <v>2005</v>
      </c>
      <c r="AH164" s="35" t="s">
        <v>2006</v>
      </c>
      <c r="AI164" s="30" t="s">
        <v>365</v>
      </c>
      <c r="AJ164" s="32">
        <v>41312</v>
      </c>
      <c r="AK164" s="36">
        <f ca="1">VALUE(LEFT($AD164,FIND("년",$AD164)-1))</f>
        <v>0</v>
      </c>
      <c r="AL164" s="31" t="str">
        <f ca="1">IF($AI164="고졸",IF($AK164&lt;=11,"초급",IF($AK164&lt;=14,"중급",IF($AK164&lt;=17,"고급",IF($AK164&gt;=18,"특급")))))</f>
        <v>초급</v>
      </c>
      <c r="AM164" s="31" t="str">
        <f>IF(ISNUMBER(SEARCH("산업기사",$AT164)),IF($AK164&gt;=13,"특급",IF($AK164&gt;=10,"고급",IF($AK164&gt;=7,"중급","초급"))),IF(ISNUMBER(SEARCH("기사",$AR164)),IF($AK164&gt;=10,"특급",IF($AK164&gt;=7,"고급",IF($AK164&gt;=4,"중급","초급"))),"미해당"))</f>
        <v>미해당</v>
      </c>
      <c r="AN164" s="27"/>
      <c r="AO164" s="32"/>
      <c r="AP164" s="27"/>
      <c r="AQ164" s="32"/>
      <c r="AR164" s="27"/>
      <c r="AS164" s="27"/>
      <c r="AT164" s="37"/>
      <c r="AU164" s="27"/>
      <c r="AV164" s="38"/>
      <c r="AW164" s="39"/>
      <c r="AX164" s="39"/>
      <c r="AY164" s="40" t="s">
        <v>251</v>
      </c>
      <c r="AZ164" s="41" t="s">
        <v>252</v>
      </c>
      <c r="BA164" s="30" t="s">
        <v>230</v>
      </c>
      <c r="BB164" s="30" t="s">
        <v>2007</v>
      </c>
      <c r="BC164" s="42" t="s">
        <v>275</v>
      </c>
      <c r="BD164" s="42" t="s">
        <v>2008</v>
      </c>
      <c r="BE164" s="43" t="s">
        <v>2009</v>
      </c>
      <c r="BF164" s="42" t="s">
        <v>234</v>
      </c>
      <c r="BG164" s="42" t="s">
        <v>235</v>
      </c>
      <c r="BH164" s="35" t="s">
        <v>2010</v>
      </c>
      <c r="BI164" s="44" t="s">
        <v>2011</v>
      </c>
      <c r="BJ164" s="45" t="str">
        <f>IFERROR(VLOOKUP($BG164,[1]프로젝트현황!Y:Z,2,0),"기타")</f>
        <v>서북권</v>
      </c>
      <c r="BK164" s="46" t="str">
        <f>(IF(BF164="","",BF164&amp;" "))&amp;(IF(BG164="","",BG164&amp;" "))&amp;(IF(BH164="","",BH164&amp;" "))&amp;BI164</f>
        <v>경기도 고양시 덕양구 고만로 48, 902동 705호</v>
      </c>
      <c r="BL164" s="47">
        <v>30</v>
      </c>
      <c r="BM164" s="47">
        <v>30</v>
      </c>
      <c r="BN164" s="48">
        <v>27000000</v>
      </c>
      <c r="BO164" s="48">
        <f>BP164*12</f>
        <v>27000120</v>
      </c>
      <c r="BP164" s="49">
        <f>SUM(BQ164:BS164)</f>
        <v>2250010</v>
      </c>
      <c r="BQ164" s="49">
        <f>ROUNDUP(BN164/12*209/(209+BU164*1.5)/BL164*BM164,-1)-BS164</f>
        <v>1957120</v>
      </c>
      <c r="BR164" s="49">
        <f>ROUNDUP(BN164/12*(BU164*1.5)/(209+BU164*1.5)/BL164*BM164,1)</f>
        <v>92890</v>
      </c>
      <c r="BS164" s="49">
        <v>200000</v>
      </c>
      <c r="BT164" s="50">
        <v>209</v>
      </c>
      <c r="BU164" s="49">
        <f>IF($BN164="","",
IFERROR(
    IF($BN164&lt;'[1]시간외시간 기준표'!$B$2,0,
        IF($BN164&gt;LOOKUP(9.9E+307,'[1]시간외시간 기준표'!$B$2:$B$999),
            LOOKUP(9.9E+307,'[1]시간외시간 기준표'!$C$2:$C$999),
            LOOKUP($BN164,'[1]시간외시간 기준표'!$B$2:$B$999,'[1]시간외시간 기준표'!$C$2:$C$999)
        )
    ),0)
)</f>
        <v>6</v>
      </c>
      <c r="BV164" s="50">
        <f>(BQ164+BS164)/209</f>
        <v>10321.148325358852</v>
      </c>
      <c r="BW164" s="51">
        <v>30</v>
      </c>
      <c r="BX164" s="51">
        <v>30</v>
      </c>
      <c r="BY164" s="52">
        <v>27000000</v>
      </c>
      <c r="BZ164" s="52">
        <f>CA164*12</f>
        <v>27000082.799999997</v>
      </c>
      <c r="CA164" s="49">
        <f>SUM(CB164:CD164)</f>
        <v>2250006.9</v>
      </c>
      <c r="CB164" s="49">
        <f>ROUNDUP(BY164/12*209/(209+CF164*1.5)/BW164*BX164,-1)-CD164</f>
        <v>1913490</v>
      </c>
      <c r="CC164" s="49">
        <f>ROUNDUP(BY164/12*(CF164*1.5)/(209+CF164*1.5)/BW164*BX164,1)</f>
        <v>136516.9</v>
      </c>
      <c r="CD164" s="49">
        <v>200000</v>
      </c>
      <c r="CE164" s="50">
        <v>209</v>
      </c>
      <c r="CF164" s="49">
        <f>IF(BY164&lt;26000000,0,IF(BY164&lt;26500000,4,IF(BY164&lt;27000000,7,IF(BY164&lt;27500000,9,IF(BY164&lt;28000000,11,IF(BY164&lt;28500000,15,IF(BY164&lt;29000000,17,IF(BY164&lt;29500000,20,IF(BY164&lt;30000000,23,IF(BY164&lt;30500000,25,IF(BY164&lt;31000000,27,IF(BY164&lt;31500000,29,IF(BY164&lt;32000000,33,IF(BY164&lt;32500000,37,IF(BY164&lt;33000000,39,IF(BY164&lt;33500000,42,IF(BY164&lt;34000000,45,IF(BY164&lt;34500000,48,IF(BY164&lt;35000000,52,52)))))))))))))))))))</f>
        <v>9</v>
      </c>
      <c r="CG164" s="50">
        <f>(CB164+CD164)/209</f>
        <v>10112.392344497608</v>
      </c>
      <c r="CH164" s="66"/>
      <c r="CI164" s="66"/>
      <c r="CJ164" s="67"/>
      <c r="CK164" s="67"/>
      <c r="CL164" s="49"/>
      <c r="CM164" s="49"/>
      <c r="CN164" s="49"/>
      <c r="CO164" s="50"/>
      <c r="CP164" s="50"/>
      <c r="CQ164" s="50"/>
      <c r="CR164" s="50"/>
      <c r="CS164" s="52"/>
      <c r="CT164" s="53"/>
      <c r="CU164" s="53"/>
      <c r="CV164" s="53"/>
      <c r="CW164" s="54"/>
      <c r="CX164" s="54"/>
      <c r="CY164" s="54"/>
      <c r="CZ164" s="55"/>
      <c r="DA164" s="55"/>
      <c r="DB164" s="56"/>
      <c r="DC164" s="57"/>
      <c r="DD164" s="58"/>
      <c r="DE164" s="58"/>
      <c r="DF164" s="57"/>
      <c r="DG164" s="59">
        <f>B164</f>
        <v>250504</v>
      </c>
      <c r="DH164" s="58"/>
      <c r="DI164" s="58"/>
      <c r="DJ164" s="60"/>
      <c r="DK164" s="58"/>
      <c r="DL164" s="61"/>
      <c r="DM164" s="63"/>
    </row>
    <row r="165" spans="1:117" ht="15" customHeight="1">
      <c r="A165" s="25">
        <f>ROW()-2</f>
        <v>163</v>
      </c>
      <c r="B165" s="26">
        <v>250505</v>
      </c>
      <c r="C165" s="27" t="s">
        <v>2012</v>
      </c>
      <c r="D165" s="27"/>
      <c r="E165" s="27" t="s">
        <v>613</v>
      </c>
      <c r="F165" s="27" t="s">
        <v>196</v>
      </c>
      <c r="G165" s="27" t="s">
        <v>240</v>
      </c>
      <c r="H165" s="27" t="s">
        <v>241</v>
      </c>
      <c r="I165" s="27" t="s">
        <v>653</v>
      </c>
      <c r="J165" s="27" t="str">
        <f>+VLOOKUP($I165,[1]프로젝트현황!$I:$N,5,0)</f>
        <v>서울시</v>
      </c>
      <c r="K165" s="27" t="str">
        <f>+VLOOKUP($I165,[1]프로젝트현황!$I:$N,6,0)</f>
        <v>강남구</v>
      </c>
      <c r="L165" s="28">
        <v>45789</v>
      </c>
      <c r="M165" s="28">
        <v>45789</v>
      </c>
      <c r="N165" s="28"/>
      <c r="O165" s="29"/>
      <c r="P165" s="30" t="s">
        <v>2013</v>
      </c>
      <c r="Q165" s="27" t="s">
        <v>2014</v>
      </c>
      <c r="R165" s="31" t="str">
        <f>LEFT(Q165,6)</f>
        <v>961101</v>
      </c>
      <c r="S165" s="31" t="str">
        <f>MID($Q165,3,2)</f>
        <v>11</v>
      </c>
      <c r="T165" s="31" t="str">
        <f>IF(OR(MID($Q165,8,1)="1",MID($Q165,8,1)="3"),"남자",IF(OR(MID($Q165,8,1)="2",MID($Q165,8,1)="4"),"여자",""))</f>
        <v>여자</v>
      </c>
      <c r="U165" s="31">
        <f ca="1">YEAR(TODAY())-IF(OR(MID($Q165,8,1)="1",MID($Q165,8,1)="2"),19&amp;LEFT($Q165,2),IF(OR(MID($Q165,8,1)="3",MID($Q165,8,1)="4"),20&amp;LEFT($Q165,2),""))+1</f>
        <v>31</v>
      </c>
      <c r="V165" s="31" t="s">
        <v>200</v>
      </c>
      <c r="W165" s="31" t="s">
        <v>201</v>
      </c>
      <c r="X165" s="27" t="s">
        <v>2015</v>
      </c>
      <c r="Y165" s="27"/>
      <c r="Z165" s="27"/>
      <c r="AA165" s="32"/>
      <c r="AB165" s="31" t="s">
        <v>203</v>
      </c>
      <c r="AC165" s="27"/>
      <c r="AD165" s="33" t="str">
        <f ca="1">QUOTIENT(SUMPRODUCT(LEFT($AE165:$AF165,FIND("년",$AE165:$AF165)-1)*12+MID($AE165:$AF165,FIND("년",$AE165:$AF165)+1,FIND("개월",$AE165:$AF165)-FIND("년",$AE165:$AF165)-1)),12)&amp;"년"&amp;MOD(SUMPRODUCT(LEFT($AE165:$AF165,FIND("년",$AE165:$AF165)-1)*12+MID($AE165:$AF165,FIND("년",$AE165:$AF165)+1,FIND("개월",$AE165:$AF165)-FIND("년",$AE165:$AF165)-1)),12)&amp;"개월"</f>
        <v>2년8개월</v>
      </c>
      <c r="AE165" s="33" t="s">
        <v>1756</v>
      </c>
      <c r="AF165" s="34" t="str">
        <f ca="1">DATEDIF($L165,TODAY(),"y")&amp;"년"&amp;DATEDIF($L165,TODAY(),"ym")&amp;"개월"</f>
        <v>0년8개월</v>
      </c>
      <c r="AG165" s="35" t="s">
        <v>349</v>
      </c>
      <c r="AH165" s="35" t="s">
        <v>2016</v>
      </c>
      <c r="AI165" s="30" t="s">
        <v>270</v>
      </c>
      <c r="AJ165" s="32">
        <v>43140</v>
      </c>
      <c r="AK165" s="36">
        <f ca="1">VALUE(LEFT($AD165,FIND("년",$AD165)-1))</f>
        <v>2</v>
      </c>
      <c r="AL165" s="31" t="str">
        <f ca="1">IF($AI165="학사",IF($AK165&lt;=8,"초급",IF($AK165&lt;12,"중급",IF($AK165&lt;15,"고급",IF($AK165&gt;=15,"특급")))))</f>
        <v>초급</v>
      </c>
      <c r="AM165" s="31" t="str">
        <f>IF(ISNUMBER(SEARCH("산업기사",$AT165)),IF($AK165&gt;=13,"특급",IF($AK165&gt;=10,"고급",IF($AK165&gt;=7,"중급","초급"))),IF(ISNUMBER(SEARCH("기사",$AR165)),IF($AK165&gt;=10,"특급",IF($AK165&gt;=7,"고급",IF($AK165&gt;=4,"중급","초급"))),"미해당"))</f>
        <v>미해당</v>
      </c>
      <c r="AN165" s="27"/>
      <c r="AO165" s="32"/>
      <c r="AP165" s="27"/>
      <c r="AQ165" s="32"/>
      <c r="AR165" s="27"/>
      <c r="AS165" s="27"/>
      <c r="AT165" s="37"/>
      <c r="AU165" s="27"/>
      <c r="AV165" s="38"/>
      <c r="AW165" s="39"/>
      <c r="AX165" s="39"/>
      <c r="AY165" s="40" t="s">
        <v>251</v>
      </c>
      <c r="AZ165" s="41" t="s">
        <v>252</v>
      </c>
      <c r="BA165" s="30" t="s">
        <v>230</v>
      </c>
      <c r="BB165" s="30" t="s">
        <v>2017</v>
      </c>
      <c r="BC165" s="42" t="s">
        <v>2018</v>
      </c>
      <c r="BD165" s="42" t="s">
        <v>2019</v>
      </c>
      <c r="BE165" s="43" t="s">
        <v>2020</v>
      </c>
      <c r="BF165" s="42" t="s">
        <v>234</v>
      </c>
      <c r="BG165" s="42" t="s">
        <v>887</v>
      </c>
      <c r="BH165" s="35" t="s">
        <v>944</v>
      </c>
      <c r="BI165" s="44" t="s">
        <v>2021</v>
      </c>
      <c r="BJ165" s="45" t="str">
        <f>IFERROR(VLOOKUP($BG165,[1]프로젝트현황!Y:Z,2,0),"기타")</f>
        <v>동남권</v>
      </c>
      <c r="BK165" s="46" t="str">
        <f>(IF(BF165="","",BF165&amp;" "))&amp;(IF(BG165="","",BG165&amp;" "))&amp;(IF(BH165="","",BH165&amp;" "))&amp;BI165</f>
        <v>경기도 용인시 기흥구 한보라2로 168, 707동 203호 (공세동, 한보라마을 휴먼시아)</v>
      </c>
      <c r="BL165" s="47">
        <v>30</v>
      </c>
      <c r="BM165" s="47">
        <v>30</v>
      </c>
      <c r="BN165" s="48">
        <v>31500000</v>
      </c>
      <c r="BO165" s="48">
        <f>BP165*12</f>
        <v>31500093.599999998</v>
      </c>
      <c r="BP165" s="49">
        <f>SUM(BQ165:BS165)</f>
        <v>2625007.7999999998</v>
      </c>
      <c r="BQ165" s="49">
        <f>ROUNDUP(BN165/12*209/(209+BU165*1.5)/BL165*BM165,-1)-BS165</f>
        <v>1972780</v>
      </c>
      <c r="BR165" s="49">
        <f>ROUNDUP(BN165/12*(BU165*1.5)/(209+BU165*1.5)/BL165*BM165,1)</f>
        <v>452227.8</v>
      </c>
      <c r="BS165" s="49">
        <v>200000</v>
      </c>
      <c r="BT165" s="50">
        <v>209</v>
      </c>
      <c r="BU165" s="49">
        <f>IF($BN165="","",
IFERROR(
    IF($BN165&lt;'[1]시간외시간 기준표'!$B$2,0,
        IF($BN165&gt;LOOKUP(9.9E+307,'[1]시간외시간 기준표'!$B$2:$B$999),
            LOOKUP(9.9E+307,'[1]시간외시간 기준표'!$C$2:$C$999),
            LOOKUP($BN165,'[1]시간외시간 기준표'!$B$2:$B$999,'[1]시간외시간 기준표'!$C$2:$C$999)
        )
    ),0)
)</f>
        <v>29</v>
      </c>
      <c r="BV165" s="50">
        <f>(BQ165+BS165)/209</f>
        <v>10396.076555023923</v>
      </c>
      <c r="BW165" s="51">
        <v>30</v>
      </c>
      <c r="BX165" s="51">
        <v>30</v>
      </c>
      <c r="BY165" s="52">
        <v>31500000</v>
      </c>
      <c r="BZ165" s="52">
        <f>CA165*12</f>
        <v>31500115.200000003</v>
      </c>
      <c r="CA165" s="49">
        <f>SUM(CB165:CD165)</f>
        <v>2625009.6</v>
      </c>
      <c r="CB165" s="49">
        <f>ROUNDUP(BY165/12*209/(209+CF165*1.5)/BW165*BX165,-1)-CD165</f>
        <v>1922350</v>
      </c>
      <c r="CC165" s="49">
        <f>ROUNDUP(BY165/12*(CF165*1.5)/(209+CF165*1.5)/BW165*BX165,1)</f>
        <v>502659.6</v>
      </c>
      <c r="CD165" s="49">
        <v>200000</v>
      </c>
      <c r="CE165" s="50">
        <v>209</v>
      </c>
      <c r="CF165" s="49">
        <f>IF(BY165&lt;26000000,0,IF(BY165&lt;26500000,4,IF(BY165&lt;27000000,7,IF(BY165&lt;27500000,9,IF(BY165&lt;28000000,11,IF(BY165&lt;28500000,15,IF(BY165&lt;29000000,17,IF(BY165&lt;29500000,20,IF(BY165&lt;30000000,23,IF(BY165&lt;30500000,25,IF(BY165&lt;31000000,27,IF(BY165&lt;31500000,29,IF(BY165&lt;32000000,33,IF(BY165&lt;32500000,37,IF(BY165&lt;33000000,39,IF(BY165&lt;33500000,42,IF(BY165&lt;34000000,45,IF(BY165&lt;34500000,48,IF(BY165&lt;35000000,52,52)))))))))))))))))))</f>
        <v>33</v>
      </c>
      <c r="CG165" s="50">
        <f>(CB165+CD165)/209</f>
        <v>10154.784688995216</v>
      </c>
      <c r="CH165" s="66"/>
      <c r="CI165" s="66"/>
      <c r="CJ165" s="67"/>
      <c r="CK165" s="67"/>
      <c r="CL165" s="49"/>
      <c r="CM165" s="49"/>
      <c r="CN165" s="49"/>
      <c r="CO165" s="50"/>
      <c r="CP165" s="50"/>
      <c r="CQ165" s="50"/>
      <c r="CR165" s="50"/>
      <c r="CS165" s="52"/>
      <c r="CT165" s="53"/>
      <c r="CU165" s="53"/>
      <c r="CV165" s="53"/>
      <c r="CW165" s="54"/>
      <c r="CX165" s="54"/>
      <c r="CY165" s="54"/>
      <c r="CZ165" s="55"/>
      <c r="DA165" s="55"/>
      <c r="DB165" s="56"/>
      <c r="DC165" s="57"/>
      <c r="DD165" s="58"/>
      <c r="DE165" s="58"/>
      <c r="DF165" s="57"/>
      <c r="DG165" s="59">
        <f>B165</f>
        <v>250505</v>
      </c>
      <c r="DH165" s="58"/>
      <c r="DI165" s="58"/>
      <c r="DJ165" s="60"/>
      <c r="DK165" s="58"/>
      <c r="DL165" s="61"/>
      <c r="DM165" s="24"/>
    </row>
    <row r="166" spans="1:117" ht="15" customHeight="1">
      <c r="A166" s="25">
        <f>ROW()-2</f>
        <v>164</v>
      </c>
      <c r="B166" s="26">
        <v>250506</v>
      </c>
      <c r="C166" s="27" t="s">
        <v>2022</v>
      </c>
      <c r="D166" s="27"/>
      <c r="E166" s="27" t="s">
        <v>239</v>
      </c>
      <c r="F166" s="27" t="s">
        <v>196</v>
      </c>
      <c r="G166" s="27" t="s">
        <v>240</v>
      </c>
      <c r="H166" s="27" t="s">
        <v>260</v>
      </c>
      <c r="I166" s="27" t="s">
        <v>948</v>
      </c>
      <c r="J166" s="27" t="str">
        <f>+VLOOKUP($I166,[1]프로젝트현황!$I:$N,5,0)</f>
        <v>서울시</v>
      </c>
      <c r="K166" s="27" t="str">
        <f>+VLOOKUP($I166,[1]프로젝트현황!$I:$N,6,0)</f>
        <v>구로구</v>
      </c>
      <c r="L166" s="28">
        <v>45791</v>
      </c>
      <c r="M166" s="28">
        <v>45791</v>
      </c>
      <c r="N166" s="28"/>
      <c r="O166" s="29"/>
      <c r="P166" s="30" t="s">
        <v>2023</v>
      </c>
      <c r="Q166" s="27" t="s">
        <v>2024</v>
      </c>
      <c r="R166" s="31" t="str">
        <f>LEFT(Q166,6)</f>
        <v>981124</v>
      </c>
      <c r="S166" s="31" t="str">
        <f>MID($Q166,3,2)</f>
        <v>11</v>
      </c>
      <c r="T166" s="31" t="str">
        <f>IF(OR(MID($Q166,8,1)="1",MID($Q166,8,1)="3"),"남자",IF(OR(MID($Q166,8,1)="2",MID($Q166,8,1)="4"),"여자",""))</f>
        <v>여자</v>
      </c>
      <c r="U166" s="31">
        <f ca="1">YEAR(TODAY())-IF(OR(MID($Q166,8,1)="1",MID($Q166,8,1)="2"),19&amp;LEFT($Q166,2),IF(OR(MID($Q166,8,1)="3",MID($Q166,8,1)="4"),20&amp;LEFT($Q166,2),""))+1</f>
        <v>29</v>
      </c>
      <c r="V166" s="31" t="s">
        <v>200</v>
      </c>
      <c r="W166" s="31" t="s">
        <v>201</v>
      </c>
      <c r="X166" s="27" t="s">
        <v>2025</v>
      </c>
      <c r="Y166" s="27"/>
      <c r="Z166" s="27"/>
      <c r="AA166" s="32"/>
      <c r="AB166" s="31" t="s">
        <v>203</v>
      </c>
      <c r="AC166" s="27"/>
      <c r="AD166" s="33" t="str">
        <f ca="1">QUOTIENT(SUMPRODUCT(LEFT($AE166:$AF166,FIND("년",$AE166:$AF166)-1)*12+MID($AE166:$AF166,FIND("년",$AE166:$AF166)+1,FIND("개월",$AE166:$AF166)-FIND("년",$AE166:$AF166)-1)),12)&amp;"년"&amp;MOD(SUMPRODUCT(LEFT($AE166:$AF166,FIND("년",$AE166:$AF166)-1)*12+MID($AE166:$AF166,FIND("년",$AE166:$AF166)+1,FIND("개월",$AE166:$AF166)-FIND("년",$AE166:$AF166)-1)),12)&amp;"개월"</f>
        <v>6년0개월</v>
      </c>
      <c r="AE166" s="33" t="s">
        <v>2026</v>
      </c>
      <c r="AF166" s="34" t="str">
        <f ca="1">DATEDIF($L166,TODAY(),"y")&amp;"년"&amp;DATEDIF($L166,TODAY(),"ym")&amp;"개월"</f>
        <v>0년8개월</v>
      </c>
      <c r="AG166" s="35" t="s">
        <v>953</v>
      </c>
      <c r="AH166" s="35" t="s">
        <v>321</v>
      </c>
      <c r="AI166" s="30" t="s">
        <v>205</v>
      </c>
      <c r="AJ166" s="32">
        <v>43510</v>
      </c>
      <c r="AK166" s="36">
        <f ca="1">VALUE(LEFT($AD166,FIND("년",$AD166)-1))</f>
        <v>6</v>
      </c>
      <c r="AL166" s="31" t="str">
        <f ca="1">IF($AI166="전문학사",IF($AK166&lt;=8,"초급",IF($AK166&lt;12,"중급",IF($AK166&lt;15,"고급",IF($AK166&gt;=15,"특급")))))</f>
        <v>초급</v>
      </c>
      <c r="AM166" s="31" t="str">
        <f>IF(ISNUMBER(SEARCH("산업기사",$AT166)),IF($AK166&gt;=13,"특급",IF($AK166&gt;=10,"고급",IF($AK166&gt;=7,"중급","초급"))),IF(ISNUMBER(SEARCH("기사",$AR166)),IF($AK166&gt;=10,"특급",IF($AK166&gt;=7,"고급",IF($AK166&gt;=4,"중급","초급"))),"미해당"))</f>
        <v>미해당</v>
      </c>
      <c r="AN166" s="27"/>
      <c r="AO166" s="32"/>
      <c r="AP166" s="27"/>
      <c r="AQ166" s="32"/>
      <c r="AR166" s="27"/>
      <c r="AS166" s="27"/>
      <c r="AT166" s="37"/>
      <c r="AU166" s="27"/>
      <c r="AV166" s="38"/>
      <c r="AW166" s="39"/>
      <c r="AX166" s="39"/>
      <c r="AY166" s="40" t="s">
        <v>251</v>
      </c>
      <c r="AZ166" s="41" t="s">
        <v>252</v>
      </c>
      <c r="BA166" s="30" t="s">
        <v>1358</v>
      </c>
      <c r="BB166" s="30" t="s">
        <v>2027</v>
      </c>
      <c r="BC166" s="42" t="s">
        <v>275</v>
      </c>
      <c r="BD166" s="42" t="s">
        <v>2028</v>
      </c>
      <c r="BE166" s="43" t="s">
        <v>2029</v>
      </c>
      <c r="BF166" s="42" t="s">
        <v>234</v>
      </c>
      <c r="BG166" s="42" t="s">
        <v>278</v>
      </c>
      <c r="BH166" s="35" t="s">
        <v>1568</v>
      </c>
      <c r="BI166" s="44" t="s">
        <v>2030</v>
      </c>
      <c r="BJ166" s="45" t="str">
        <f>IFERROR(VLOOKUP($BG166,[1]프로젝트현황!Y:Z,2,0),"기타")</f>
        <v>서남권</v>
      </c>
      <c r="BK166" s="46" t="str">
        <f>(IF(BF166="","",BF166&amp;" "))&amp;(IF(BG166="","",BG166&amp;" "))&amp;(IF(BH166="","",BH166&amp;" "))&amp;BI166</f>
        <v>경기도 안산시 상록구 샘골로7길 22, 502호 (본오동, 크리스탈타운)</v>
      </c>
      <c r="BL166" s="47">
        <v>30</v>
      </c>
      <c r="BM166" s="47">
        <v>30</v>
      </c>
      <c r="BN166" s="48">
        <v>32500000</v>
      </c>
      <c r="BO166" s="48">
        <f>BP166*12</f>
        <v>32500057.200000003</v>
      </c>
      <c r="BP166" s="49">
        <f>SUM(BQ166:BS166)</f>
        <v>2708338.1</v>
      </c>
      <c r="BQ166" s="49">
        <f>ROUNDUP(BN166/12*209/(209+BU166*1.5)/BL166*BM166,-1)-BS166</f>
        <v>1964600</v>
      </c>
      <c r="BR166" s="49">
        <f>ROUNDUP(BN166/12*(BU166*1.5)/(209+BU166*1.5)/BL166*BM166,1)</f>
        <v>543738.1</v>
      </c>
      <c r="BS166" s="49">
        <v>200000</v>
      </c>
      <c r="BT166" s="50">
        <v>209</v>
      </c>
      <c r="BU166" s="49">
        <f>IF($BN166="","",
IFERROR(
    IF($BN166&lt;'[1]시간외시간 기준표'!$B$2,0,
        IF($BN166&gt;LOOKUP(9.9E+307,'[1]시간외시간 기준표'!$B$2:$B$999),
            LOOKUP(9.9E+307,'[1]시간외시간 기준표'!$C$2:$C$999),
            LOOKUP($BN166,'[1]시간외시간 기준표'!$B$2:$B$999,'[1]시간외시간 기준표'!$C$2:$C$999)
        )
    ),0)
)</f>
        <v>35</v>
      </c>
      <c r="BV166" s="50">
        <f>(BQ166+BS166)/209</f>
        <v>10356.937799043062</v>
      </c>
      <c r="BW166" s="51">
        <v>30</v>
      </c>
      <c r="BX166" s="51">
        <v>30</v>
      </c>
      <c r="BY166" s="52">
        <v>32500000</v>
      </c>
      <c r="BZ166" s="52">
        <f>CA166*12</f>
        <v>32500077.599999998</v>
      </c>
      <c r="CA166" s="49">
        <f>SUM(CB166:CD166)</f>
        <v>2708339.8</v>
      </c>
      <c r="CB166" s="49">
        <f>ROUNDUP(BY166/12*209/(209+CF166*1.5)/BW166*BX166,-1)-CD166</f>
        <v>1916050</v>
      </c>
      <c r="CC166" s="49">
        <f>ROUNDUP(BY166/12*(CF166*1.5)/(209+CF166*1.5)/BW166*BX166,1)</f>
        <v>592289.79999999993</v>
      </c>
      <c r="CD166" s="49">
        <v>200000</v>
      </c>
      <c r="CE166" s="50">
        <v>209</v>
      </c>
      <c r="CF166" s="49">
        <f>IF(BY166&lt;26000000,0,IF(BY166&lt;26500000,4,IF(BY166&lt;27000000,7,IF(BY166&lt;27500000,9,IF(BY166&lt;28000000,11,IF(BY166&lt;28500000,15,IF(BY166&lt;29000000,17,IF(BY166&lt;29500000,20,IF(BY166&lt;30000000,23,IF(BY166&lt;30500000,25,IF(BY166&lt;31000000,27,IF(BY166&lt;31500000,29,IF(BY166&lt;32000000,33,IF(BY166&lt;32500000,37,IF(BY166&lt;33000000,39,IF(BY166&lt;33500000,42,IF(BY166&lt;34000000,45,IF(BY166&lt;34500000,48,IF(BY166&lt;35000000,52,52)))))))))))))))))))</f>
        <v>39</v>
      </c>
      <c r="CG166" s="50">
        <f>(CB166+CD166)/209</f>
        <v>10124.64114832536</v>
      </c>
      <c r="CH166" s="66"/>
      <c r="CI166" s="66"/>
      <c r="CJ166" s="67"/>
      <c r="CK166" s="67"/>
      <c r="CL166" s="49"/>
      <c r="CM166" s="49"/>
      <c r="CN166" s="49"/>
      <c r="CO166" s="50"/>
      <c r="CP166" s="50"/>
      <c r="CQ166" s="50"/>
      <c r="CR166" s="50"/>
      <c r="CS166" s="52"/>
      <c r="CT166" s="53"/>
      <c r="CU166" s="53"/>
      <c r="CV166" s="53"/>
      <c r="CW166" s="54"/>
      <c r="CX166" s="54"/>
      <c r="CY166" s="54"/>
      <c r="CZ166" s="55"/>
      <c r="DA166" s="55"/>
      <c r="DB166" s="56"/>
      <c r="DC166" s="57"/>
      <c r="DD166" s="58"/>
      <c r="DE166" s="58"/>
      <c r="DF166" s="57"/>
      <c r="DG166" s="59">
        <f>B166</f>
        <v>250506</v>
      </c>
      <c r="DH166" s="58"/>
      <c r="DI166" s="58"/>
      <c r="DJ166" s="60"/>
      <c r="DK166" s="58"/>
      <c r="DL166" s="61"/>
      <c r="DM166" s="24"/>
    </row>
    <row r="167" spans="1:117" ht="15" customHeight="1">
      <c r="A167" s="25">
        <f>ROW()-2</f>
        <v>165</v>
      </c>
      <c r="B167" s="26">
        <v>250508</v>
      </c>
      <c r="C167" s="27" t="s">
        <v>2031</v>
      </c>
      <c r="D167" s="27"/>
      <c r="E167" s="27" t="s">
        <v>613</v>
      </c>
      <c r="F167" s="27" t="s">
        <v>196</v>
      </c>
      <c r="G167" s="27" t="s">
        <v>240</v>
      </c>
      <c r="H167" s="27" t="s">
        <v>217</v>
      </c>
      <c r="I167" s="27" t="s">
        <v>479</v>
      </c>
      <c r="J167" s="27" t="str">
        <f>+VLOOKUP($I167,[1]프로젝트현황!$I:$N,5,0)</f>
        <v>경기도</v>
      </c>
      <c r="K167" s="27" t="str">
        <f>+VLOOKUP($I167,[1]프로젝트현황!$I:$N,6,0)</f>
        <v>성남시</v>
      </c>
      <c r="L167" s="28">
        <v>45796</v>
      </c>
      <c r="M167" s="28">
        <v>45796</v>
      </c>
      <c r="N167" s="28"/>
      <c r="O167" s="29"/>
      <c r="P167" s="30" t="s">
        <v>2032</v>
      </c>
      <c r="Q167" s="27" t="s">
        <v>2033</v>
      </c>
      <c r="R167" s="31" t="str">
        <f>LEFT(Q167,6)</f>
        <v>910810</v>
      </c>
      <c r="S167" s="31" t="str">
        <f>MID($Q167,3,2)</f>
        <v>08</v>
      </c>
      <c r="T167" s="31" t="str">
        <f>IF(OR(MID($Q167,8,1)="1",MID($Q167,8,1)="3"),"남자",IF(OR(MID($Q167,8,1)="2",MID($Q167,8,1)="4"),"여자",""))</f>
        <v>여자</v>
      </c>
      <c r="U167" s="31">
        <f ca="1">YEAR(TODAY())-IF(OR(MID($Q167,8,1)="1",MID($Q167,8,1)="2"),19&amp;LEFT($Q167,2),IF(OR(MID($Q167,8,1)="3",MID($Q167,8,1)="4"),20&amp;LEFT($Q167,2),""))+1</f>
        <v>36</v>
      </c>
      <c r="V167" s="31" t="s">
        <v>200</v>
      </c>
      <c r="W167" s="31" t="s">
        <v>201</v>
      </c>
      <c r="X167" s="27" t="s">
        <v>2034</v>
      </c>
      <c r="Y167" s="27"/>
      <c r="Z167" s="27"/>
      <c r="AA167" s="32"/>
      <c r="AB167" s="31" t="s">
        <v>203</v>
      </c>
      <c r="AC167" s="27"/>
      <c r="AD167" s="33" t="str">
        <f ca="1">QUOTIENT(SUMPRODUCT(LEFT($AE167:$AF167,FIND("년",$AE167:$AF167)-1)*12+MID($AE167:$AF167,FIND("년",$AE167:$AF167)+1,FIND("개월",$AE167:$AF167)-FIND("년",$AE167:$AF167)-1)),12)&amp;"년"&amp;MOD(SUMPRODUCT(LEFT($AE167:$AF167,FIND("년",$AE167:$AF167)-1)*12+MID($AE167:$AF167,FIND("년",$AE167:$AF167)+1,FIND("개월",$AE167:$AF167)-FIND("년",$AE167:$AF167)-1)),12)&amp;"개월"</f>
        <v>2년1개월</v>
      </c>
      <c r="AE167" s="33" t="s">
        <v>2035</v>
      </c>
      <c r="AF167" s="34" t="str">
        <f ca="1">DATEDIF($L167,TODAY(),"y")&amp;"년"&amp;DATEDIF($L167,TODAY(),"ym")&amp;"개월"</f>
        <v>0년8개월</v>
      </c>
      <c r="AG167" s="35" t="s">
        <v>691</v>
      </c>
      <c r="AH167" s="35" t="s">
        <v>2036</v>
      </c>
      <c r="AI167" s="30" t="s">
        <v>270</v>
      </c>
      <c r="AJ167" s="32">
        <v>43706</v>
      </c>
      <c r="AK167" s="36">
        <f ca="1">VALUE(LEFT($AD167,FIND("년",$AD167)-1))</f>
        <v>2</v>
      </c>
      <c r="AL167" s="31" t="str">
        <f ca="1">IF($AI167="학사",IF($AK167&lt;=8,"초급",IF($AK167&lt;12,"중급",IF($AK167&lt;15,"고급",IF($AK167&gt;=15,"특급")))))</f>
        <v>초급</v>
      </c>
      <c r="AM167" s="31" t="str">
        <f>IF(ISNUMBER(SEARCH("산업기사",$AT167)),IF($AK167&gt;=13,"특급",IF($AK167&gt;=10,"고급",IF($AK167&gt;=7,"중급","초급"))),IF(ISNUMBER(SEARCH("기사",$AR167)),IF($AK167&gt;=10,"특급",IF($AK167&gt;=7,"고급",IF($AK167&gt;=4,"중급","초급"))),"미해당"))</f>
        <v>미해당</v>
      </c>
      <c r="AN167" s="27"/>
      <c r="AO167" s="32"/>
      <c r="AP167" s="27"/>
      <c r="AQ167" s="32"/>
      <c r="AR167" s="27"/>
      <c r="AS167" s="27"/>
      <c r="AT167" s="37"/>
      <c r="AU167" s="27"/>
      <c r="AV167" s="38"/>
      <c r="AW167" s="39"/>
      <c r="AX167" s="39"/>
      <c r="AY167" s="40" t="s">
        <v>251</v>
      </c>
      <c r="AZ167" s="41" t="s">
        <v>252</v>
      </c>
      <c r="BA167" s="30" t="s">
        <v>230</v>
      </c>
      <c r="BB167" s="30" t="s">
        <v>2037</v>
      </c>
      <c r="BC167" s="42" t="s">
        <v>275</v>
      </c>
      <c r="BD167" s="42" t="s">
        <v>2038</v>
      </c>
      <c r="BE167" s="43" t="s">
        <v>2039</v>
      </c>
      <c r="BF167" s="42" t="s">
        <v>234</v>
      </c>
      <c r="BG167" s="42" t="s">
        <v>887</v>
      </c>
      <c r="BH167" s="35" t="s">
        <v>888</v>
      </c>
      <c r="BI167" s="44" t="s">
        <v>2040</v>
      </c>
      <c r="BJ167" s="45" t="str">
        <f>IFERROR(VLOOKUP($BG167,[1]프로젝트현황!Y:Z,2,0),"기타")</f>
        <v>동남권</v>
      </c>
      <c r="BK167" s="46" t="str">
        <f>(IF(BF167="","",BF167&amp;" "))&amp;(IF(BG167="","",BG167&amp;" "))&amp;(IF(BH167="","",BH167&amp;" "))&amp;BI167</f>
        <v>경기도 용인시 수지구 상현로 142, 1005동 102호 (상현동, 성복역 아이파크)</v>
      </c>
      <c r="BL167" s="47">
        <v>30</v>
      </c>
      <c r="BM167" s="47">
        <v>30</v>
      </c>
      <c r="BN167" s="48">
        <v>30000000</v>
      </c>
      <c r="BO167" s="48">
        <f>BP167*12</f>
        <v>30000109.200000003</v>
      </c>
      <c r="BP167" s="49">
        <f>SUM(BQ167:BS167)</f>
        <v>2500009.1</v>
      </c>
      <c r="BQ167" s="49">
        <f>ROUNDUP(BN167/12*209/(209+BU167*1.5)/BL167*BM167,-1)-BS167</f>
        <v>1959100</v>
      </c>
      <c r="BR167" s="49">
        <f>ROUNDUP(BN167/12*(BU167*1.5)/(209+BU167*1.5)/BL167*BM167,1)</f>
        <v>340909.1</v>
      </c>
      <c r="BS167" s="49">
        <v>200000</v>
      </c>
      <c r="BT167" s="50">
        <v>209</v>
      </c>
      <c r="BU167" s="49">
        <f>IF($BN167="","",
IFERROR(
    IF($BN167&lt;'[1]시간외시간 기준표'!$B$2,0,
        IF($BN167&gt;LOOKUP(9.9E+307,'[1]시간외시간 기준표'!$B$2:$B$999),
            LOOKUP(9.9E+307,'[1]시간외시간 기준표'!$C$2:$C$999),
            LOOKUP($BN167,'[1]시간외시간 기준표'!$B$2:$B$999,'[1]시간외시간 기준표'!$C$2:$C$999)
        )
    ),0)
)</f>
        <v>22</v>
      </c>
      <c r="BV167" s="50">
        <f>(BQ167+BS167)/209</f>
        <v>10330.622009569379</v>
      </c>
      <c r="BW167" s="51">
        <v>30</v>
      </c>
      <c r="BX167" s="51">
        <v>30</v>
      </c>
      <c r="BY167" s="52">
        <v>30000000</v>
      </c>
      <c r="BZ167" s="52">
        <f>CA167*12</f>
        <v>30000055.200000003</v>
      </c>
      <c r="CA167" s="49">
        <f>SUM(CB167:CD167)</f>
        <v>2500004.6</v>
      </c>
      <c r="CB167" s="49">
        <f>ROUNDUP(BY167/12*209/(209+CF167*1.5)/BW167*BX167,-1)-CD167</f>
        <v>1919680</v>
      </c>
      <c r="CC167" s="49">
        <f>ROUNDUP(BY167/12*(CF167*1.5)/(209+CF167*1.5)/BW167*BX167,1)</f>
        <v>380324.6</v>
      </c>
      <c r="CD167" s="49">
        <v>200000</v>
      </c>
      <c r="CE167" s="50">
        <v>209</v>
      </c>
      <c r="CF167" s="49">
        <f>IF(BY167&lt;26000000,0,IF(BY167&lt;26500000,4,IF(BY167&lt;27000000,7,IF(BY167&lt;27500000,9,IF(BY167&lt;28000000,11,IF(BY167&lt;28500000,15,IF(BY167&lt;29000000,17,IF(BY167&lt;29500000,20,IF(BY167&lt;30000000,23,IF(BY167&lt;30500000,25,IF(BY167&lt;31000000,27,IF(BY167&lt;31500000,29,IF(BY167&lt;32000000,33,IF(BY167&lt;32500000,37,IF(BY167&lt;33000000,39,IF(BY167&lt;33500000,42,IF(BY167&lt;34000000,45,IF(BY167&lt;34500000,48,IF(BY167&lt;35000000,52,52)))))))))))))))))))</f>
        <v>25</v>
      </c>
      <c r="CG167" s="50">
        <f>(CB167+CD167)/209</f>
        <v>10142.009569377991</v>
      </c>
      <c r="CH167" s="66"/>
      <c r="CI167" s="66"/>
      <c r="CJ167" s="67"/>
      <c r="CK167" s="67"/>
      <c r="CL167" s="49"/>
      <c r="CM167" s="49"/>
      <c r="CN167" s="49"/>
      <c r="CO167" s="50"/>
      <c r="CP167" s="50"/>
      <c r="CQ167" s="50"/>
      <c r="CR167" s="50"/>
      <c r="CS167" s="52"/>
      <c r="CT167" s="53"/>
      <c r="CU167" s="53"/>
      <c r="CV167" s="53"/>
      <c r="CW167" s="54"/>
      <c r="CX167" s="54"/>
      <c r="CY167" s="54"/>
      <c r="CZ167" s="55"/>
      <c r="DA167" s="55"/>
      <c r="DB167" s="56"/>
      <c r="DC167" s="57"/>
      <c r="DD167" s="58"/>
      <c r="DE167" s="58"/>
      <c r="DF167" s="57"/>
      <c r="DG167" s="59">
        <f>B167</f>
        <v>250508</v>
      </c>
      <c r="DH167" s="58"/>
      <c r="DI167" s="58"/>
      <c r="DJ167" s="60"/>
      <c r="DK167" s="58"/>
      <c r="DL167" s="61"/>
      <c r="DM167" s="24"/>
    </row>
    <row r="168" spans="1:117" ht="15" customHeight="1">
      <c r="A168" s="25">
        <f>ROW()-2</f>
        <v>166</v>
      </c>
      <c r="B168" s="26">
        <v>250509</v>
      </c>
      <c r="C168" s="27" t="s">
        <v>2041</v>
      </c>
      <c r="D168" s="27"/>
      <c r="E168" s="27" t="s">
        <v>613</v>
      </c>
      <c r="F168" s="27" t="s">
        <v>196</v>
      </c>
      <c r="G168" s="27" t="s">
        <v>216</v>
      </c>
      <c r="H168" s="27" t="s">
        <v>198</v>
      </c>
      <c r="I168" s="27" t="s">
        <v>389</v>
      </c>
      <c r="J168" s="27" t="str">
        <f>+VLOOKUP($I168,[1]프로젝트현황!$I:$N,5,0)</f>
        <v>서울시</v>
      </c>
      <c r="K168" s="27" t="str">
        <f>+VLOOKUP($I168,[1]프로젝트현황!$I:$N,6,0)</f>
        <v>강남구</v>
      </c>
      <c r="L168" s="28">
        <v>45805</v>
      </c>
      <c r="M168" s="28">
        <v>45805</v>
      </c>
      <c r="N168" s="28"/>
      <c r="O168" s="29"/>
      <c r="P168" s="30" t="s">
        <v>2042</v>
      </c>
      <c r="Q168" s="27" t="s">
        <v>2043</v>
      </c>
      <c r="R168" s="31" t="str">
        <f>LEFT(Q168,6)</f>
        <v>980316</v>
      </c>
      <c r="S168" s="31" t="str">
        <f>MID($Q168,3,2)</f>
        <v>03</v>
      </c>
      <c r="T168" s="31" t="str">
        <f>IF(OR(MID($Q168,8,1)="1",MID($Q168,8,1)="3"),"남자",IF(OR(MID($Q168,8,1)="2",MID($Q168,8,1)="4"),"여자",""))</f>
        <v>여자</v>
      </c>
      <c r="U168" s="31">
        <f ca="1">YEAR(TODAY())-IF(OR(MID($Q168,8,1)="1",MID($Q168,8,1)="2"),19&amp;LEFT($Q168,2),IF(OR(MID($Q168,8,1)="3",MID($Q168,8,1)="4"),20&amp;LEFT($Q168,2),""))+1</f>
        <v>29</v>
      </c>
      <c r="V168" s="31" t="s">
        <v>200</v>
      </c>
      <c r="W168" s="31" t="s">
        <v>201</v>
      </c>
      <c r="X168" s="27" t="s">
        <v>2044</v>
      </c>
      <c r="Y168" s="27"/>
      <c r="Z168" s="27"/>
      <c r="AA168" s="32"/>
      <c r="AB168" s="31" t="s">
        <v>203</v>
      </c>
      <c r="AC168" s="27"/>
      <c r="AD168" s="33" t="str">
        <f ca="1">QUOTIENT(SUMPRODUCT(LEFT($AE168:$AF168,FIND("년",$AE168:$AF168)-1)*12+MID($AE168:$AF168,FIND("년",$AE168:$AF168)+1,FIND("개월",$AE168:$AF168)-FIND("년",$AE168:$AF168)-1)),12)&amp;"년"&amp;MOD(SUMPRODUCT(LEFT($AE168:$AF168,FIND("년",$AE168:$AF168)-1)*12+MID($AE168:$AF168,FIND("년",$AE168:$AF168)+1,FIND("개월",$AE168:$AF168)-FIND("년",$AE168:$AF168)-1)),12)&amp;"개월"</f>
        <v>3년0개월</v>
      </c>
      <c r="AE168" s="33" t="s">
        <v>2045</v>
      </c>
      <c r="AF168" s="34" t="str">
        <f ca="1">DATEDIF($L168,TODAY(),"y")&amp;"년"&amp;DATEDIF($L168,TODAY(),"ym")&amp;"개월"</f>
        <v>0년8개월</v>
      </c>
      <c r="AG168" s="35" t="s">
        <v>1148</v>
      </c>
      <c r="AH168" s="35" t="s">
        <v>2046</v>
      </c>
      <c r="AI168" s="30" t="s">
        <v>270</v>
      </c>
      <c r="AJ168" s="32">
        <v>44603</v>
      </c>
      <c r="AK168" s="36">
        <f ca="1">VALUE(LEFT($AD168,FIND("년",$AD168)-1))</f>
        <v>3</v>
      </c>
      <c r="AL168" s="31" t="str">
        <f ca="1">IF($AI168="학사",IF($AK168&lt;=8,"초급",IF($AK168&lt;12,"중급",IF($AK168&lt;15,"고급",IF($AK168&gt;=15,"특급")))))</f>
        <v>초급</v>
      </c>
      <c r="AM168" s="31" t="str">
        <f>IF(ISNUMBER(SEARCH("산업기사",$AT168)),IF($AK168&gt;=13,"특급",IF($AK168&gt;=10,"고급",IF($AK168&gt;=7,"중급","초급"))),IF(ISNUMBER(SEARCH("기사",$AR168)),IF($AK168&gt;=10,"특급",IF($AK168&gt;=7,"고급",IF($AK168&gt;=4,"중급","초급"))),"미해당"))</f>
        <v>미해당</v>
      </c>
      <c r="AN168" s="27"/>
      <c r="AO168" s="32"/>
      <c r="AP168" s="27"/>
      <c r="AQ168" s="32"/>
      <c r="AR168" s="27"/>
      <c r="AS168" s="27"/>
      <c r="AT168" s="37"/>
      <c r="AU168" s="27"/>
      <c r="AV168" s="38"/>
      <c r="AW168" s="39"/>
      <c r="AX168" s="39"/>
      <c r="AY168" s="40" t="s">
        <v>229</v>
      </c>
      <c r="AZ168" s="41" t="s">
        <v>229</v>
      </c>
      <c r="BA168" s="30" t="s">
        <v>230</v>
      </c>
      <c r="BB168" s="30" t="s">
        <v>2047</v>
      </c>
      <c r="BC168" s="42"/>
      <c r="BD168" s="42"/>
      <c r="BE168" s="43" t="s">
        <v>2048</v>
      </c>
      <c r="BF168" s="42" t="s">
        <v>1688</v>
      </c>
      <c r="BG168" s="42" t="s">
        <v>341</v>
      </c>
      <c r="BH168" s="35"/>
      <c r="BI168" s="44" t="s">
        <v>2049</v>
      </c>
      <c r="BJ168" s="45" t="str">
        <f>IFERROR(VLOOKUP($BG168,[1]프로젝트현황!Y:Z,2,0),"기타")</f>
        <v>서남권</v>
      </c>
      <c r="BK168" s="46" t="str">
        <f>(IF(BF168="","",BF168&amp;" "))&amp;(IF(BG168="","",BG168&amp;" "))&amp;(IF(BH168="","",BH168&amp;" "))&amp;BI168</f>
        <v>서울특별시 구로구 경인로 232, 207호(오류동, 칸타빌레 9차)</v>
      </c>
      <c r="BL168" s="47">
        <v>30</v>
      </c>
      <c r="BM168" s="47">
        <v>30</v>
      </c>
      <c r="BN168" s="48">
        <v>30000000</v>
      </c>
      <c r="BO168" s="48">
        <f>BP168*12</f>
        <v>30000109.200000003</v>
      </c>
      <c r="BP168" s="49">
        <f>SUM(BQ168:BS168)</f>
        <v>2500009.1</v>
      </c>
      <c r="BQ168" s="49">
        <f>ROUNDUP(BN168/12*209/(209+BU168*1.5)/BL168*BM168,-1)-BS168</f>
        <v>1959100</v>
      </c>
      <c r="BR168" s="49">
        <f>ROUNDUP(BN168/12*(BU168*1.5)/(209+BU168*1.5)/BL168*BM168,1)</f>
        <v>340909.1</v>
      </c>
      <c r="BS168" s="49">
        <v>200000</v>
      </c>
      <c r="BT168" s="50">
        <v>209</v>
      </c>
      <c r="BU168" s="49">
        <f>IF($BN168="","",
IFERROR(
    IF($BN168&lt;'[1]시간외시간 기준표'!$B$2,0,
        IF($BN168&gt;LOOKUP(9.9E+307,'[1]시간외시간 기준표'!$B$2:$B$999),
            LOOKUP(9.9E+307,'[1]시간외시간 기준표'!$C$2:$C$999),
            LOOKUP($BN168,'[1]시간외시간 기준표'!$B$2:$B$999,'[1]시간외시간 기준표'!$C$2:$C$999)
        )
    ),0)
)</f>
        <v>22</v>
      </c>
      <c r="BV168" s="50">
        <f>(BQ168+BS168)/209</f>
        <v>10330.622009569379</v>
      </c>
      <c r="BW168" s="51">
        <v>30</v>
      </c>
      <c r="BX168" s="51">
        <v>30</v>
      </c>
      <c r="BY168" s="52">
        <v>30000000</v>
      </c>
      <c r="BZ168" s="52">
        <f>CA168*12</f>
        <v>30000055.200000003</v>
      </c>
      <c r="CA168" s="49">
        <f>SUM(CB168:CD168)</f>
        <v>2500004.6</v>
      </c>
      <c r="CB168" s="49">
        <f>ROUNDUP(BY168/12*209/(209+CF168*1.5)/BW168*BX168,-1)-CD168</f>
        <v>1919680</v>
      </c>
      <c r="CC168" s="49">
        <f>ROUNDUP(BY168/12*(CF168*1.5)/(209+CF168*1.5)/BW168*BX168,1)</f>
        <v>380324.6</v>
      </c>
      <c r="CD168" s="49">
        <v>200000</v>
      </c>
      <c r="CE168" s="50">
        <v>209</v>
      </c>
      <c r="CF168" s="49">
        <f>IF(BY168&lt;26000000,0,IF(BY168&lt;26500000,4,IF(BY168&lt;27000000,7,IF(BY168&lt;27500000,9,IF(BY168&lt;28000000,11,IF(BY168&lt;28500000,15,IF(BY168&lt;29000000,17,IF(BY168&lt;29500000,20,IF(BY168&lt;30000000,23,IF(BY168&lt;30500000,25,IF(BY168&lt;31000000,27,IF(BY168&lt;31500000,29,IF(BY168&lt;32000000,33,IF(BY168&lt;32500000,37,IF(BY168&lt;33000000,39,IF(BY168&lt;33500000,42,IF(BY168&lt;34000000,45,IF(BY168&lt;34500000,48,IF(BY168&lt;35000000,52,52)))))))))))))))))))</f>
        <v>25</v>
      </c>
      <c r="CG168" s="50">
        <f>(CB168+CD168)/209</f>
        <v>10142.009569377991</v>
      </c>
      <c r="CH168" s="66"/>
      <c r="CI168" s="66"/>
      <c r="CJ168" s="67"/>
      <c r="CK168" s="67"/>
      <c r="CL168" s="49"/>
      <c r="CM168" s="49"/>
      <c r="CN168" s="49"/>
      <c r="CO168" s="50"/>
      <c r="CP168" s="50"/>
      <c r="CQ168" s="50"/>
      <c r="CR168" s="50"/>
      <c r="CS168" s="52"/>
      <c r="CT168" s="53"/>
      <c r="CU168" s="53"/>
      <c r="CV168" s="53"/>
      <c r="CW168" s="54"/>
      <c r="CX168" s="54"/>
      <c r="CY168" s="54"/>
      <c r="CZ168" s="55"/>
      <c r="DA168" s="55"/>
      <c r="DB168" s="56"/>
      <c r="DC168" s="57"/>
      <c r="DD168" s="58"/>
      <c r="DE168" s="58"/>
      <c r="DF168" s="57"/>
      <c r="DG168" s="59">
        <f>B168</f>
        <v>250509</v>
      </c>
      <c r="DH168" s="58"/>
      <c r="DI168" s="58"/>
      <c r="DJ168" s="60"/>
      <c r="DK168" s="58"/>
      <c r="DL168" s="61"/>
      <c r="DM168" s="63"/>
    </row>
    <row r="169" spans="1:117" ht="15" customHeight="1">
      <c r="A169" s="25">
        <f>ROW()-2</f>
        <v>167</v>
      </c>
      <c r="B169" s="26">
        <v>250601</v>
      </c>
      <c r="C169" s="27" t="s">
        <v>2050</v>
      </c>
      <c r="D169" s="27"/>
      <c r="E169" s="27" t="s">
        <v>613</v>
      </c>
      <c r="F169" s="27" t="s">
        <v>196</v>
      </c>
      <c r="G169" s="27" t="s">
        <v>240</v>
      </c>
      <c r="H169" s="27" t="s">
        <v>260</v>
      </c>
      <c r="I169" s="27" t="s">
        <v>1320</v>
      </c>
      <c r="J169" s="27" t="str">
        <f>+VLOOKUP($I169,[1]프로젝트현황!$I:$N,5,0)</f>
        <v>서울시</v>
      </c>
      <c r="K169" s="27" t="str">
        <f>+VLOOKUP($I169,[1]프로젝트현황!$I:$N,6,0)</f>
        <v>중구</v>
      </c>
      <c r="L169" s="28">
        <v>45810</v>
      </c>
      <c r="M169" s="28">
        <v>45810</v>
      </c>
      <c r="N169" s="28"/>
      <c r="O169" s="29"/>
      <c r="P169" s="30" t="s">
        <v>2051</v>
      </c>
      <c r="Q169" s="27" t="s">
        <v>2052</v>
      </c>
      <c r="R169" s="31" t="str">
        <f>LEFT(Q169,6)</f>
        <v>000410</v>
      </c>
      <c r="S169" s="31" t="str">
        <f>MID($Q169,3,2)</f>
        <v>04</v>
      </c>
      <c r="T169" s="31" t="str">
        <f>IF(OR(MID($Q169,8,1)="1",MID($Q169,8,1)="3"),"남자",IF(OR(MID($Q169,8,1)="2",MID($Q169,8,1)="4"),"여자",""))</f>
        <v>남자</v>
      </c>
      <c r="U169" s="31">
        <f ca="1">YEAR(TODAY())-IF(OR(MID($Q169,8,1)="1",MID($Q169,8,1)="2"),19&amp;LEFT($Q169,2),IF(OR(MID($Q169,8,1)="3",MID($Q169,8,1)="4"),20&amp;LEFT($Q169,2),""))+1</f>
        <v>27</v>
      </c>
      <c r="V169" s="31" t="s">
        <v>200</v>
      </c>
      <c r="W169" s="31" t="s">
        <v>201</v>
      </c>
      <c r="X169" s="27" t="s">
        <v>2053</v>
      </c>
      <c r="Y169" s="27"/>
      <c r="Z169" s="27"/>
      <c r="AA169" s="32"/>
      <c r="AB169" s="31" t="s">
        <v>203</v>
      </c>
      <c r="AC169" s="27"/>
      <c r="AD169" s="33" t="str">
        <f ca="1">QUOTIENT(SUMPRODUCT(LEFT($AE169:$AF169,FIND("년",$AE169:$AF169)-1)*12+MID($AE169:$AF169,FIND("년",$AE169:$AF169)+1,FIND("개월",$AE169:$AF169)-FIND("년",$AE169:$AF169)-1)),12)&amp;"년"&amp;MOD(SUMPRODUCT(LEFT($AE169:$AF169,FIND("년",$AE169:$AF169)-1)*12+MID($AE169:$AF169,FIND("년",$AE169:$AF169)+1,FIND("개월",$AE169:$AF169)-FIND("년",$AE169:$AF169)-1)),12)&amp;"개월"</f>
        <v>4년2개월</v>
      </c>
      <c r="AE169" s="33" t="s">
        <v>600</v>
      </c>
      <c r="AF169" s="34" t="str">
        <f ca="1">DATEDIF($L169,TODAY(),"y")&amp;"년"&amp;DATEDIF($L169,TODAY(),"ym")&amp;"개월"</f>
        <v>0년8개월</v>
      </c>
      <c r="AG169" s="35" t="s">
        <v>807</v>
      </c>
      <c r="AH169" s="35" t="s">
        <v>1478</v>
      </c>
      <c r="AI169" s="30" t="s">
        <v>365</v>
      </c>
      <c r="AJ169" s="32">
        <v>46433</v>
      </c>
      <c r="AK169" s="36">
        <f ca="1">VALUE(LEFT($AD169,FIND("년",$AD169)-1))</f>
        <v>4</v>
      </c>
      <c r="AL169" s="31" t="str">
        <f ca="1">IF($AI169="고졸",IF($AK169&lt;=11,"초급",IF($AK169&lt;=14,"중급",IF($AK169&lt;=17,"고급",IF($AK169&gt;=18,"특급")))))</f>
        <v>초급</v>
      </c>
      <c r="AM169" s="31" t="str">
        <f>IF(ISNUMBER(SEARCH("산업기사",$AT169)),IF($AK169&gt;=13,"특급",IF($AK169&gt;=10,"고급",IF($AK169&gt;=7,"중급","초급"))),IF(ISNUMBER(SEARCH("기사",$AR169)),IF($AK169&gt;=10,"특급",IF($AK169&gt;=7,"고급",IF($AK169&gt;=4,"중급","초급"))),"미해당"))</f>
        <v>미해당</v>
      </c>
      <c r="AN169" s="27"/>
      <c r="AO169" s="32"/>
      <c r="AP169" s="27"/>
      <c r="AQ169" s="32"/>
      <c r="AR169" s="27"/>
      <c r="AS169" s="27"/>
      <c r="AT169" s="37"/>
      <c r="AU169" s="27"/>
      <c r="AV169" s="38"/>
      <c r="AW169" s="39"/>
      <c r="AX169" s="39"/>
      <c r="AY169" s="40" t="s">
        <v>251</v>
      </c>
      <c r="AZ169" s="41" t="s">
        <v>252</v>
      </c>
      <c r="BA169" s="30" t="s">
        <v>230</v>
      </c>
      <c r="BB169" s="30" t="s">
        <v>2054</v>
      </c>
      <c r="BC169" s="42" t="s">
        <v>254</v>
      </c>
      <c r="BD169" s="42" t="s">
        <v>2055</v>
      </c>
      <c r="BE169" s="43" t="s">
        <v>2056</v>
      </c>
      <c r="BF169" s="42" t="s">
        <v>1688</v>
      </c>
      <c r="BG169" s="42" t="s">
        <v>2057</v>
      </c>
      <c r="BH169" s="35"/>
      <c r="BI169" s="44" t="s">
        <v>2058</v>
      </c>
      <c r="BJ169" s="45" t="str">
        <f>IFERROR(VLOOKUP($BG169,[1]프로젝트현황!Y:Z,2,0),"기타")</f>
        <v>동북권</v>
      </c>
      <c r="BK169" s="46" t="str">
        <f>(IF(BF169="","",BF169&amp;" "))&amp;(IF(BG169="","",BG169&amp;" "))&amp;(IF(BH169="","",BH169&amp;" "))&amp;BI169</f>
        <v>서울특별시 동대문구 망우로14가길 25, 201호 (휘경동, 동성네스트빌2차)</v>
      </c>
      <c r="BL169" s="47">
        <v>30</v>
      </c>
      <c r="BM169" s="47">
        <v>30</v>
      </c>
      <c r="BN169" s="48">
        <v>30000000</v>
      </c>
      <c r="BO169" s="48">
        <f>BP169*12</f>
        <v>30000109.200000003</v>
      </c>
      <c r="BP169" s="49">
        <f>SUM(BQ169:BS169)</f>
        <v>2500009.1</v>
      </c>
      <c r="BQ169" s="49">
        <f>ROUNDUP(BN169/12*209/(209+BU169*1.5)/BL169*BM169,-1)-BS169</f>
        <v>1959100</v>
      </c>
      <c r="BR169" s="49">
        <f>ROUNDUP(BN169/12*(BU169*1.5)/(209+BU169*1.5)/BL169*BM169,1)</f>
        <v>340909.1</v>
      </c>
      <c r="BS169" s="49">
        <v>200000</v>
      </c>
      <c r="BT169" s="50">
        <v>209</v>
      </c>
      <c r="BU169" s="49">
        <f>IF($BN169="","",
IFERROR(
    IF($BN169&lt;'[1]시간외시간 기준표'!$B$2,0,
        IF($BN169&gt;LOOKUP(9.9E+307,'[1]시간외시간 기준표'!$B$2:$B$999),
            LOOKUP(9.9E+307,'[1]시간외시간 기준표'!$C$2:$C$999),
            LOOKUP($BN169,'[1]시간외시간 기준표'!$B$2:$B$999,'[1]시간외시간 기준표'!$C$2:$C$999)
        )
    ),0)
)</f>
        <v>22</v>
      </c>
      <c r="BV169" s="50">
        <f>(BQ169+BS169)/209</f>
        <v>10330.622009569379</v>
      </c>
      <c r="BW169" s="51">
        <v>30</v>
      </c>
      <c r="BX169" s="51">
        <v>30</v>
      </c>
      <c r="BY169" s="52">
        <v>30000000</v>
      </c>
      <c r="BZ169" s="52">
        <f>CA169*12</f>
        <v>30000055.200000003</v>
      </c>
      <c r="CA169" s="49">
        <f>SUM(CB169:CD169)</f>
        <v>2500004.6</v>
      </c>
      <c r="CB169" s="49">
        <f>ROUNDUP(BY169/12*209/(209+CF169*1.5)/BW169*BX169,-1)-CD169</f>
        <v>1919680</v>
      </c>
      <c r="CC169" s="49">
        <f>ROUNDUP(BY169/12*(CF169*1.5)/(209+CF169*1.5)/BW169*BX169,1)</f>
        <v>380324.6</v>
      </c>
      <c r="CD169" s="49">
        <v>200000</v>
      </c>
      <c r="CE169" s="50">
        <v>209</v>
      </c>
      <c r="CF169" s="49">
        <f>IF(BY169&lt;26000000,0,IF(BY169&lt;26500000,4,IF(BY169&lt;27000000,7,IF(BY169&lt;27500000,9,IF(BY169&lt;28000000,11,IF(BY169&lt;28500000,15,IF(BY169&lt;29000000,17,IF(BY169&lt;29500000,20,IF(BY169&lt;30000000,23,IF(BY169&lt;30500000,25,IF(BY169&lt;31000000,27,IF(BY169&lt;31500000,29,IF(BY169&lt;32000000,33,IF(BY169&lt;32500000,37,IF(BY169&lt;33000000,39,IF(BY169&lt;33500000,42,IF(BY169&lt;34000000,45,IF(BY169&lt;34500000,48,IF(BY169&lt;35000000,52,52)))))))))))))))))))</f>
        <v>25</v>
      </c>
      <c r="CG169" s="50">
        <f>(CB169+CD169)/209</f>
        <v>10142.009569377991</v>
      </c>
      <c r="CH169" s="66"/>
      <c r="CI169" s="66"/>
      <c r="CJ169" s="67"/>
      <c r="CK169" s="67"/>
      <c r="CL169" s="49"/>
      <c r="CM169" s="49"/>
      <c r="CN169" s="49"/>
      <c r="CO169" s="50"/>
      <c r="CP169" s="50"/>
      <c r="CQ169" s="50"/>
      <c r="CR169" s="50"/>
      <c r="CS169" s="52"/>
      <c r="CT169" s="53"/>
      <c r="CU169" s="53"/>
      <c r="CV169" s="53"/>
      <c r="CW169" s="54"/>
      <c r="CX169" s="54"/>
      <c r="CY169" s="54"/>
      <c r="CZ169" s="55"/>
      <c r="DA169" s="55"/>
      <c r="DB169" s="56"/>
      <c r="DC169" s="57"/>
      <c r="DD169" s="58"/>
      <c r="DE169" s="58"/>
      <c r="DF169" s="57"/>
      <c r="DG169" s="59">
        <f>B169</f>
        <v>250601</v>
      </c>
      <c r="DH169" s="58"/>
      <c r="DI169" s="58"/>
      <c r="DJ169" s="60"/>
      <c r="DK169" s="58"/>
      <c r="DL169" s="61"/>
      <c r="DM169" s="63"/>
    </row>
    <row r="170" spans="1:117" ht="15" customHeight="1">
      <c r="A170" s="25">
        <f>ROW()-2</f>
        <v>168</v>
      </c>
      <c r="B170" s="26">
        <v>250602</v>
      </c>
      <c r="C170" s="27" t="s">
        <v>2059</v>
      </c>
      <c r="D170" s="27" t="s">
        <v>282</v>
      </c>
      <c r="E170" s="27" t="s">
        <v>947</v>
      </c>
      <c r="F170" s="27" t="s">
        <v>196</v>
      </c>
      <c r="G170" s="27" t="s">
        <v>240</v>
      </c>
      <c r="H170" s="27" t="s">
        <v>260</v>
      </c>
      <c r="I170" s="27" t="s">
        <v>866</v>
      </c>
      <c r="J170" s="27" t="str">
        <f>+VLOOKUP($I170,[1]프로젝트현황!$I:$N,5,0)</f>
        <v>서울시</v>
      </c>
      <c r="K170" s="27" t="str">
        <f>+VLOOKUP($I170,[1]프로젝트현황!$I:$N,6,0)</f>
        <v>구로구</v>
      </c>
      <c r="L170" s="28">
        <v>45810</v>
      </c>
      <c r="M170" s="28">
        <v>45810</v>
      </c>
      <c r="N170" s="28"/>
      <c r="O170" s="29"/>
      <c r="P170" s="30" t="s">
        <v>2060</v>
      </c>
      <c r="Q170" s="27" t="s">
        <v>2061</v>
      </c>
      <c r="R170" s="31" t="str">
        <f>LEFT(Q170,6)</f>
        <v>790921</v>
      </c>
      <c r="S170" s="31" t="str">
        <f>MID($Q170,3,2)</f>
        <v>09</v>
      </c>
      <c r="T170" s="31" t="str">
        <f>IF(OR(MID($Q170,8,1)="1",MID($Q170,8,1)="3"),"남자",IF(OR(MID($Q170,8,1)="2",MID($Q170,8,1)="4"),"여자",""))</f>
        <v>남자</v>
      </c>
      <c r="U170" s="31">
        <f ca="1">YEAR(TODAY())-IF(OR(MID($Q170,8,1)="1",MID($Q170,8,1)="2"),19&amp;LEFT($Q170,2),IF(OR(MID($Q170,8,1)="3",MID($Q170,8,1)="4"),20&amp;LEFT($Q170,2),""))+1</f>
        <v>48</v>
      </c>
      <c r="V170" s="31" t="s">
        <v>200</v>
      </c>
      <c r="W170" s="31" t="s">
        <v>201</v>
      </c>
      <c r="X170" s="27" t="s">
        <v>2062</v>
      </c>
      <c r="Y170" s="27"/>
      <c r="Z170" s="27"/>
      <c r="AA170" s="32"/>
      <c r="AB170" s="31" t="s">
        <v>203</v>
      </c>
      <c r="AC170" s="27"/>
      <c r="AD170" s="33" t="str">
        <f ca="1">QUOTIENT(SUMPRODUCT(LEFT($AE170:$AF170,FIND("년",$AE170:$AF170)-1)*12+MID($AE170:$AF170,FIND("년",$AE170:$AF170)+1,FIND("개월",$AE170:$AF170)-FIND("년",$AE170:$AF170)-1)),12)&amp;"년"&amp;MOD(SUMPRODUCT(LEFT($AE170:$AF170,FIND("년",$AE170:$AF170)-1)*12+MID($AE170:$AF170,FIND("년",$AE170:$AF170)+1,FIND("개월",$AE170:$AF170)-FIND("년",$AE170:$AF170)-1)),12)&amp;"개월"</f>
        <v>19년2개월</v>
      </c>
      <c r="AE170" s="33" t="s">
        <v>2063</v>
      </c>
      <c r="AF170" s="34" t="str">
        <f ca="1">DATEDIF($L170,TODAY(),"y")&amp;"년"&amp;DATEDIF($L170,TODAY(),"ym")&amp;"개월"</f>
        <v>0년8개월</v>
      </c>
      <c r="AG170" s="35" t="s">
        <v>1959</v>
      </c>
      <c r="AH170" s="35" t="s">
        <v>702</v>
      </c>
      <c r="AI170" s="30" t="s">
        <v>270</v>
      </c>
      <c r="AJ170" s="32">
        <v>38408</v>
      </c>
      <c r="AK170" s="36">
        <f ca="1">VALUE(LEFT($AD170,FIND("년",$AD170)-1))</f>
        <v>19</v>
      </c>
      <c r="AL170" s="31" t="str">
        <f ca="1">IF($AI170="학사",IF($AK170&lt;=8,"초급",IF($AK170&lt;12,"중급",IF($AK170&lt;15,"고급",IF($AK170&gt;=15,"특급")))))</f>
        <v>특급</v>
      </c>
      <c r="AM170" s="31" t="str">
        <f>IF(ISNUMBER(SEARCH("산업기사",$AT170)),IF($AK170&gt;=13,"특급",IF($AK170&gt;=10,"고급",IF($AK170&gt;=7,"중급","초급"))),IF(ISNUMBER(SEARCH("기사",$AR170)),IF($AK170&gt;=10,"특급",IF($AK170&gt;=7,"고급",IF($AK170&gt;=4,"중급","초급"))),"미해당"))</f>
        <v>미해당</v>
      </c>
      <c r="AN170" s="27"/>
      <c r="AO170" s="32"/>
      <c r="AP170" s="27"/>
      <c r="AQ170" s="32"/>
      <c r="AR170" s="27"/>
      <c r="AS170" s="27"/>
      <c r="AT170" s="37"/>
      <c r="AU170" s="27"/>
      <c r="AV170" s="38"/>
      <c r="AW170" s="39"/>
      <c r="AX170" s="39"/>
      <c r="AY170" s="40" t="s">
        <v>251</v>
      </c>
      <c r="AZ170" s="41" t="s">
        <v>252</v>
      </c>
      <c r="BA170" s="30" t="s">
        <v>230</v>
      </c>
      <c r="BB170" s="30" t="s">
        <v>2064</v>
      </c>
      <c r="BC170" s="42" t="s">
        <v>275</v>
      </c>
      <c r="BD170" s="42" t="s">
        <v>2065</v>
      </c>
      <c r="BE170" s="43" t="s">
        <v>2066</v>
      </c>
      <c r="BF170" s="42" t="s">
        <v>2067</v>
      </c>
      <c r="BG170" s="42" t="s">
        <v>2068</v>
      </c>
      <c r="BH170" s="35" t="s">
        <v>2069</v>
      </c>
      <c r="BI170" s="44" t="s">
        <v>2070</v>
      </c>
      <c r="BJ170" s="45" t="str">
        <f>IFERROR(VLOOKUP($BG170,[1]프로젝트현황!Y:Z,2,0),"기타")</f>
        <v>기타</v>
      </c>
      <c r="BK170" s="46" t="str">
        <f>(IF(BF170="","",BF170&amp;" "))&amp;(IF(BG170="","",BG170&amp;" "))&amp;(IF(BH170="","",BH170&amp;" "))&amp;BI170</f>
        <v>대전광역시 유성구 노은로 416(송림마을5단지아파트) 510동 1104호</v>
      </c>
      <c r="BL170" s="47">
        <v>30</v>
      </c>
      <c r="BM170" s="47">
        <v>30</v>
      </c>
      <c r="BN170" s="48">
        <v>60000000</v>
      </c>
      <c r="BO170" s="48">
        <f>BP170*12</f>
        <v>60000061.199999996</v>
      </c>
      <c r="BP170" s="49">
        <f>SUM(BQ170:BS170)</f>
        <v>5000005.0999999996</v>
      </c>
      <c r="BQ170" s="49">
        <f>ROUNDUP(BN170/12*209/(209+BU170*1.5)/BL170*BM170,-1)-BS170</f>
        <v>3441120</v>
      </c>
      <c r="BR170" s="49">
        <f>ROUNDUP(BN170/12*(BU170*1.5)/(209+BU170*1.5)/BL170*BM170,1)</f>
        <v>1358885.1</v>
      </c>
      <c r="BS170" s="49">
        <v>200000</v>
      </c>
      <c r="BT170" s="50">
        <v>209</v>
      </c>
      <c r="BU170" s="49">
        <f>IF($BN170="","",
IFERROR(
    IF($BN170&lt;'[1]시간외시간 기준표'!$B$2,0,
        IF($BN170&gt;LOOKUP(9.9E+307,'[1]시간외시간 기준표'!$B$2:$B$999),
            LOOKUP(9.9E+307,'[1]시간외시간 기준표'!$C$2:$C$999),
            LOOKUP($BN170,'[1]시간외시간 기준표'!$B$2:$B$999,'[1]시간외시간 기준표'!$C$2:$C$999)
        )
    ),0)
)</f>
        <v>52</v>
      </c>
      <c r="BV170" s="50">
        <f>(BQ170+BS170)/209</f>
        <v>17421.626794258373</v>
      </c>
      <c r="BW170" s="51">
        <v>30</v>
      </c>
      <c r="BX170" s="51">
        <v>30</v>
      </c>
      <c r="BY170" s="52">
        <v>60000000</v>
      </c>
      <c r="BZ170" s="52">
        <f>CA170*12</f>
        <v>60000061.199999996</v>
      </c>
      <c r="CA170" s="49">
        <f>SUM(CB170:CD170)</f>
        <v>5000005.0999999996</v>
      </c>
      <c r="CB170" s="49">
        <f>ROUNDUP(BY170/12*209/(209+CF170*1.5)/BW170*BX170,-1)-CD170</f>
        <v>3441120</v>
      </c>
      <c r="CC170" s="49">
        <f>ROUNDUP(BY170/12*(CF170*1.5)/(209+CF170*1.5)/BW170*BX170,1)</f>
        <v>1358885.1</v>
      </c>
      <c r="CD170" s="49">
        <v>200000</v>
      </c>
      <c r="CE170" s="50">
        <v>209</v>
      </c>
      <c r="CF170" s="49">
        <f>IF(BY170&lt;26000000,0,IF(BY170&lt;26500000,4,IF(BY170&lt;27000000,7,IF(BY170&lt;27500000,9,IF(BY170&lt;28000000,11,IF(BY170&lt;28500000,15,IF(BY170&lt;29000000,17,IF(BY170&lt;29500000,20,IF(BY170&lt;30000000,23,IF(BY170&lt;30500000,25,IF(BY170&lt;31000000,27,IF(BY170&lt;31500000,29,IF(BY170&lt;32000000,33,IF(BY170&lt;32500000,37,IF(BY170&lt;33000000,39,IF(BY170&lt;33500000,42,IF(BY170&lt;34000000,45,IF(BY170&lt;34500000,48,IF(BY170&lt;35000000,52,52)))))))))))))))))))</f>
        <v>52</v>
      </c>
      <c r="CG170" s="50">
        <f>(CB170+CD170)/209</f>
        <v>17421.626794258373</v>
      </c>
      <c r="CH170" s="66"/>
      <c r="CI170" s="66"/>
      <c r="CJ170" s="67"/>
      <c r="CK170" s="67"/>
      <c r="CL170" s="49"/>
      <c r="CM170" s="49"/>
      <c r="CN170" s="49"/>
      <c r="CO170" s="50"/>
      <c r="CP170" s="50"/>
      <c r="CQ170" s="50"/>
      <c r="CR170" s="50"/>
      <c r="CS170" s="52"/>
      <c r="CT170" s="53"/>
      <c r="CU170" s="53"/>
      <c r="CV170" s="53"/>
      <c r="CW170" s="54"/>
      <c r="CX170" s="54"/>
      <c r="CY170" s="54"/>
      <c r="CZ170" s="55"/>
      <c r="DA170" s="55"/>
      <c r="DB170" s="56"/>
      <c r="DC170" s="57"/>
      <c r="DD170" s="58"/>
      <c r="DE170" s="58"/>
      <c r="DF170" s="57"/>
      <c r="DG170" s="59">
        <f>B170</f>
        <v>250602</v>
      </c>
      <c r="DH170" s="58"/>
      <c r="DI170" s="58"/>
      <c r="DJ170" s="60"/>
      <c r="DK170" s="58"/>
      <c r="DL170" s="61"/>
      <c r="DM170" s="63"/>
    </row>
    <row r="171" spans="1:117" ht="15" customHeight="1">
      <c r="A171" s="25">
        <f>ROW()-2</f>
        <v>169</v>
      </c>
      <c r="B171" s="26">
        <v>250603</v>
      </c>
      <c r="C171" s="27" t="s">
        <v>2071</v>
      </c>
      <c r="D171" s="27"/>
      <c r="E171" s="27" t="s">
        <v>613</v>
      </c>
      <c r="F171" s="27" t="s">
        <v>196</v>
      </c>
      <c r="G171" s="27" t="s">
        <v>240</v>
      </c>
      <c r="H171" s="27" t="s">
        <v>217</v>
      </c>
      <c r="I171" s="27" t="s">
        <v>432</v>
      </c>
      <c r="J171" s="27" t="str">
        <f>+VLOOKUP($I171,[1]프로젝트현황!$I:$N,5,0)</f>
        <v>서울시</v>
      </c>
      <c r="K171" s="27" t="str">
        <f>+VLOOKUP($I171,[1]프로젝트현황!$I:$N,6,0)</f>
        <v>중구</v>
      </c>
      <c r="L171" s="28">
        <v>45818</v>
      </c>
      <c r="M171" s="28">
        <v>45818</v>
      </c>
      <c r="N171" s="28"/>
      <c r="O171" s="29"/>
      <c r="P171" s="30" t="s">
        <v>2072</v>
      </c>
      <c r="Q171" s="27" t="s">
        <v>2073</v>
      </c>
      <c r="R171" s="31" t="str">
        <f>LEFT(Q171,6)</f>
        <v>801224</v>
      </c>
      <c r="S171" s="31" t="str">
        <f>MID($Q171,3,2)</f>
        <v>12</v>
      </c>
      <c r="T171" s="31" t="str">
        <f>IF(OR(MID($Q171,8,1)="1",MID($Q171,8,1)="3"),"남자",IF(OR(MID($Q171,8,1)="2",MID($Q171,8,1)="4"),"여자",""))</f>
        <v>여자</v>
      </c>
      <c r="U171" s="31">
        <f ca="1">YEAR(TODAY())-IF(OR(MID($Q171,8,1)="1",MID($Q171,8,1)="2"),19&amp;LEFT($Q171,2),IF(OR(MID($Q171,8,1)="3",MID($Q171,8,1)="4"),20&amp;LEFT($Q171,2),""))+1</f>
        <v>47</v>
      </c>
      <c r="V171" s="31" t="s">
        <v>200</v>
      </c>
      <c r="W171" s="31" t="s">
        <v>201</v>
      </c>
      <c r="X171" s="27" t="s">
        <v>2074</v>
      </c>
      <c r="Y171" s="27"/>
      <c r="Z171" s="27"/>
      <c r="AA171" s="32"/>
      <c r="AB171" s="31" t="s">
        <v>203</v>
      </c>
      <c r="AC171" s="27"/>
      <c r="AD171" s="33" t="str">
        <f ca="1">QUOTIENT(SUMPRODUCT(LEFT($AE171:$AF171,FIND("년",$AE171:$AF171)-1)*12+MID($AE171:$AF171,FIND("년",$AE171:$AF171)+1,FIND("개월",$AE171:$AF171)-FIND("년",$AE171:$AF171)-1)),12)&amp;"년"&amp;MOD(SUMPRODUCT(LEFT($AE171:$AF171,FIND("년",$AE171:$AF171)-1)*12+MID($AE171:$AF171,FIND("년",$AE171:$AF171)+1,FIND("개월",$AE171:$AF171)-FIND("년",$AE171:$AF171)-1)),12)&amp;"개월"</f>
        <v>0년8개월</v>
      </c>
      <c r="AE171" s="33" t="s">
        <v>543</v>
      </c>
      <c r="AF171" s="34" t="str">
        <f ca="1">DATEDIF($L171,TODAY(),"y")&amp;"년"&amp;DATEDIF($L171,TODAY(),"ym")&amp;"개월"</f>
        <v>0년8개월</v>
      </c>
      <c r="AG171" s="35" t="s">
        <v>2075</v>
      </c>
      <c r="AH171" s="35" t="s">
        <v>2076</v>
      </c>
      <c r="AI171" s="30" t="s">
        <v>270</v>
      </c>
      <c r="AJ171" s="32">
        <v>38037</v>
      </c>
      <c r="AK171" s="36">
        <f ca="1">VALUE(LEFT($AD171,FIND("년",$AD171)-1))</f>
        <v>0</v>
      </c>
      <c r="AL171" s="31" t="str">
        <f ca="1">IF($AI171="학사",IF($AK171&lt;=8,"초급",IF($AK171&lt;12,"중급",IF($AK171&lt;15,"고급",IF($AK171&gt;=15,"특급")))))</f>
        <v>초급</v>
      </c>
      <c r="AM171" s="31" t="str">
        <f>IF(ISNUMBER(SEARCH("산업기사",$AT171)),IF($AK171&gt;=13,"특급",IF($AK171&gt;=10,"고급",IF($AK171&gt;=7,"중급","초급"))),IF(ISNUMBER(SEARCH("기사",$AR171)),IF($AK171&gt;=10,"특급",IF($AK171&gt;=7,"고급",IF($AK171&gt;=4,"중급","초급"))),"미해당"))</f>
        <v>미해당</v>
      </c>
      <c r="AN171" s="27"/>
      <c r="AO171" s="32"/>
      <c r="AP171" s="27"/>
      <c r="AQ171" s="32"/>
      <c r="AR171" s="27"/>
      <c r="AS171" s="27"/>
      <c r="AT171" s="37"/>
      <c r="AU171" s="27"/>
      <c r="AV171" s="38"/>
      <c r="AW171" s="39"/>
      <c r="AX171" s="39"/>
      <c r="AY171" s="40" t="s">
        <v>251</v>
      </c>
      <c r="AZ171" s="41" t="s">
        <v>252</v>
      </c>
      <c r="BA171" s="30" t="s">
        <v>230</v>
      </c>
      <c r="BB171" s="30" t="s">
        <v>2077</v>
      </c>
      <c r="BC171" s="42" t="s">
        <v>1810</v>
      </c>
      <c r="BD171" s="42" t="s">
        <v>2078</v>
      </c>
      <c r="BE171" s="43" t="s">
        <v>2079</v>
      </c>
      <c r="BF171" s="42" t="s">
        <v>1688</v>
      </c>
      <c r="BG171" s="42" t="s">
        <v>1200</v>
      </c>
      <c r="BH171" s="35"/>
      <c r="BI171" s="44" t="s">
        <v>2080</v>
      </c>
      <c r="BJ171" s="45" t="str">
        <f>IFERROR(VLOOKUP($BG171,[1]프로젝트현황!Y:Z,2,0),"기타")</f>
        <v>동북권</v>
      </c>
      <c r="BK171" s="46" t="str">
        <f>(IF(BF171="","",BF171&amp;" "))&amp;(IF(BG171="","",BG171&amp;" "))&amp;(IF(BH171="","",BH171&amp;" "))&amp;BI171</f>
        <v>서울특별시 노원구 한글비석로 479, 104동 1508호 (상계동, 보람아파트)</v>
      </c>
      <c r="BL171" s="47">
        <v>30</v>
      </c>
      <c r="BM171" s="47">
        <v>30</v>
      </c>
      <c r="BN171" s="48">
        <v>31000000</v>
      </c>
      <c r="BO171" s="48">
        <f>BP171*12</f>
        <v>31000064.400000002</v>
      </c>
      <c r="BP171" s="49">
        <f>SUM(BQ171:BS171)</f>
        <v>2583338.7000000002</v>
      </c>
      <c r="BQ171" s="49">
        <f>ROUNDUP(BN171/12*209/(209+BU171*1.5)/BL171*BM171,-1)-BS171</f>
        <v>1964000</v>
      </c>
      <c r="BR171" s="49">
        <f>ROUNDUP(BN171/12*(BU171*1.5)/(209+BU171*1.5)/BL171*BM171,1)</f>
        <v>419338.69999999995</v>
      </c>
      <c r="BS171" s="49">
        <v>200000</v>
      </c>
      <c r="BT171" s="50">
        <v>209</v>
      </c>
      <c r="BU171" s="49">
        <f>IF($BN171="","",
IFERROR(
    IF($BN171&lt;'[1]시간외시간 기준표'!$B$2,0,
        IF($BN171&gt;LOOKUP(9.9E+307,'[1]시간외시간 기준표'!$B$2:$B$999),
            LOOKUP(9.9E+307,'[1]시간외시간 기준표'!$C$2:$C$999),
            LOOKUP($BN171,'[1]시간외시간 기준표'!$B$2:$B$999,'[1]시간외시간 기준표'!$C$2:$C$999)
        )
    ),0)
)</f>
        <v>27</v>
      </c>
      <c r="BV171" s="50">
        <f>(BQ171+BS171)/209</f>
        <v>10354.066985645934</v>
      </c>
      <c r="BW171" s="51">
        <v>30</v>
      </c>
      <c r="BX171" s="51">
        <v>30</v>
      </c>
      <c r="BY171" s="52">
        <v>31000000</v>
      </c>
      <c r="BZ171" s="52">
        <f>CA171*12</f>
        <v>31000075.200000003</v>
      </c>
      <c r="CA171" s="49">
        <f>SUM(CB171:CD171)</f>
        <v>2583339.6</v>
      </c>
      <c r="CB171" s="49">
        <f>ROUNDUP(BY171/12*209/(209+CF171*1.5)/BW171*BX171,-1)-CD171</f>
        <v>1938290</v>
      </c>
      <c r="CC171" s="49">
        <f>ROUNDUP(BY171/12*(CF171*1.5)/(209+CF171*1.5)/BW171*BX171,1)</f>
        <v>445049.59999999998</v>
      </c>
      <c r="CD171" s="49">
        <v>200000</v>
      </c>
      <c r="CE171" s="50">
        <v>209</v>
      </c>
      <c r="CF171" s="49">
        <f>IF(BY171&lt;26000000,0,IF(BY171&lt;26500000,4,IF(BY171&lt;27000000,7,IF(BY171&lt;27500000,9,IF(BY171&lt;28000000,11,IF(BY171&lt;28500000,15,IF(BY171&lt;29000000,17,IF(BY171&lt;29500000,20,IF(BY171&lt;30000000,23,IF(BY171&lt;30500000,25,IF(BY171&lt;31000000,27,IF(BY171&lt;31500000,29,IF(BY171&lt;32000000,33,IF(BY171&lt;32500000,37,IF(BY171&lt;33000000,39,IF(BY171&lt;33500000,42,IF(BY171&lt;34000000,45,IF(BY171&lt;34500000,48,IF(BY171&lt;35000000,52,52)))))))))))))))))))</f>
        <v>29</v>
      </c>
      <c r="CG171" s="50">
        <f>(CB171+CD171)/209</f>
        <v>10231.052631578947</v>
      </c>
      <c r="CH171" s="66"/>
      <c r="CI171" s="66"/>
      <c r="CJ171" s="67"/>
      <c r="CK171" s="67"/>
      <c r="CL171" s="49"/>
      <c r="CM171" s="49"/>
      <c r="CN171" s="49"/>
      <c r="CO171" s="50"/>
      <c r="CP171" s="50"/>
      <c r="CQ171" s="50"/>
      <c r="CR171" s="50"/>
      <c r="CS171" s="52"/>
      <c r="CT171" s="53"/>
      <c r="CU171" s="53"/>
      <c r="CV171" s="53"/>
      <c r="CW171" s="54"/>
      <c r="CX171" s="54"/>
      <c r="CY171" s="54"/>
      <c r="CZ171" s="55"/>
      <c r="DA171" s="55"/>
      <c r="DB171" s="56"/>
      <c r="DC171" s="57"/>
      <c r="DD171" s="58"/>
      <c r="DE171" s="58"/>
      <c r="DF171" s="57"/>
      <c r="DG171" s="59">
        <f>B171</f>
        <v>250603</v>
      </c>
      <c r="DH171" s="58"/>
      <c r="DI171" s="58"/>
      <c r="DJ171" s="60"/>
      <c r="DK171" s="58"/>
      <c r="DL171" s="61"/>
      <c r="DM171" s="63"/>
    </row>
    <row r="172" spans="1:117" ht="15" customHeight="1">
      <c r="A172" s="25">
        <f>ROW()-2</f>
        <v>170</v>
      </c>
      <c r="B172" s="26">
        <v>250604</v>
      </c>
      <c r="C172" s="27" t="s">
        <v>2081</v>
      </c>
      <c r="D172" s="27"/>
      <c r="E172" s="27" t="s">
        <v>613</v>
      </c>
      <c r="F172" s="27" t="s">
        <v>196</v>
      </c>
      <c r="G172" s="27" t="s">
        <v>240</v>
      </c>
      <c r="H172" s="27" t="s">
        <v>217</v>
      </c>
      <c r="I172" s="27" t="s">
        <v>432</v>
      </c>
      <c r="J172" s="27" t="str">
        <f>+VLOOKUP($I172,[1]프로젝트현황!$I:$N,5,0)</f>
        <v>서울시</v>
      </c>
      <c r="K172" s="27" t="str">
        <f>+VLOOKUP($I172,[1]프로젝트현황!$I:$N,6,0)</f>
        <v>중구</v>
      </c>
      <c r="L172" s="28">
        <v>45818</v>
      </c>
      <c r="M172" s="28">
        <v>45818</v>
      </c>
      <c r="N172" s="28"/>
      <c r="O172" s="29"/>
      <c r="P172" s="30" t="s">
        <v>2082</v>
      </c>
      <c r="Q172" s="27" t="s">
        <v>2083</v>
      </c>
      <c r="R172" s="31" t="str">
        <f>LEFT(Q172,6)</f>
        <v>780628</v>
      </c>
      <c r="S172" s="31" t="str">
        <f>MID($Q172,3,2)</f>
        <v>06</v>
      </c>
      <c r="T172" s="31" t="str">
        <f>IF(OR(MID($Q172,8,1)="1",MID($Q172,8,1)="3"),"남자",IF(OR(MID($Q172,8,1)="2",MID($Q172,8,1)="4"),"여자",""))</f>
        <v>여자</v>
      </c>
      <c r="U172" s="31">
        <f ca="1">YEAR(TODAY())-IF(OR(MID($Q172,8,1)="1",MID($Q172,8,1)="2"),19&amp;LEFT($Q172,2),IF(OR(MID($Q172,8,1)="3",MID($Q172,8,1)="4"),20&amp;LEFT($Q172,2),""))+1</f>
        <v>49</v>
      </c>
      <c r="V172" s="31" t="s">
        <v>200</v>
      </c>
      <c r="W172" s="31" t="s">
        <v>201</v>
      </c>
      <c r="X172" s="27" t="s">
        <v>2084</v>
      </c>
      <c r="Y172" s="27"/>
      <c r="Z172" s="27"/>
      <c r="AA172" s="32"/>
      <c r="AB172" s="31" t="s">
        <v>203</v>
      </c>
      <c r="AC172" s="27"/>
      <c r="AD172" s="33" t="str">
        <f ca="1">QUOTIENT(SUMPRODUCT(LEFT($AE172:$AF172,FIND("년",$AE172:$AF172)-1)*12+MID($AE172:$AF172,FIND("년",$AE172:$AF172)+1,FIND("개월",$AE172:$AF172)-FIND("년",$AE172:$AF172)-1)),12)&amp;"년"&amp;MOD(SUMPRODUCT(LEFT($AE172:$AF172,FIND("년",$AE172:$AF172)-1)*12+MID($AE172:$AF172,FIND("년",$AE172:$AF172)+1,FIND("개월",$AE172:$AF172)-FIND("년",$AE172:$AF172)-1)),12)&amp;"개월"</f>
        <v>0년8개월</v>
      </c>
      <c r="AE172" s="33" t="s">
        <v>543</v>
      </c>
      <c r="AF172" s="34" t="str">
        <f ca="1">DATEDIF($L172,TODAY(),"y")&amp;"년"&amp;DATEDIF($L172,TODAY(),"ym")&amp;"개월"</f>
        <v>0년8개월</v>
      </c>
      <c r="AG172" s="35" t="s">
        <v>2085</v>
      </c>
      <c r="AH172" s="35" t="s">
        <v>771</v>
      </c>
      <c r="AI172" s="30" t="s">
        <v>270</v>
      </c>
      <c r="AJ172" s="32">
        <v>38037</v>
      </c>
      <c r="AK172" s="36">
        <f ca="1">VALUE(LEFT($AD172,FIND("년",$AD172)-1))</f>
        <v>0</v>
      </c>
      <c r="AL172" s="31" t="str">
        <f ca="1">IF($AI172="학사",IF($AK172&lt;=8,"초급",IF($AK172&lt;12,"중급",IF($AK172&lt;15,"고급",IF($AK172&gt;=15,"특급")))))</f>
        <v>초급</v>
      </c>
      <c r="AM172" s="31" t="str">
        <f>IF(ISNUMBER(SEARCH("산업기사",$AT172)),IF($AK172&gt;=13,"특급",IF($AK172&gt;=10,"고급",IF($AK172&gt;=7,"중급","초급"))),IF(ISNUMBER(SEARCH("기사",$AR172)),IF($AK172&gt;=10,"특급",IF($AK172&gt;=7,"고급",IF($AK172&gt;=4,"중급","초급"))),"미해당"))</f>
        <v>미해당</v>
      </c>
      <c r="AN172" s="27"/>
      <c r="AO172" s="32"/>
      <c r="AP172" s="27"/>
      <c r="AQ172" s="32"/>
      <c r="AR172" s="27"/>
      <c r="AS172" s="27"/>
      <c r="AT172" s="37"/>
      <c r="AU172" s="27"/>
      <c r="AV172" s="38"/>
      <c r="AW172" s="39"/>
      <c r="AX172" s="39"/>
      <c r="AY172" s="40" t="s">
        <v>251</v>
      </c>
      <c r="AZ172" s="41" t="s">
        <v>252</v>
      </c>
      <c r="BA172" s="30" t="s">
        <v>230</v>
      </c>
      <c r="BB172" s="30" t="s">
        <v>2086</v>
      </c>
      <c r="BC172" s="42" t="s">
        <v>1810</v>
      </c>
      <c r="BD172" s="42" t="s">
        <v>2087</v>
      </c>
      <c r="BE172" s="43" t="s">
        <v>2088</v>
      </c>
      <c r="BF172" s="42" t="s">
        <v>1688</v>
      </c>
      <c r="BG172" s="42" t="s">
        <v>775</v>
      </c>
      <c r="BH172" s="35"/>
      <c r="BI172" s="44" t="s">
        <v>2089</v>
      </c>
      <c r="BJ172" s="45" t="str">
        <f>IFERROR(VLOOKUP($BG172,[1]프로젝트현황!Y:Z,2,0),"기타")</f>
        <v>서북권</v>
      </c>
      <c r="BK172" s="46" t="str">
        <f>(IF(BF172="","",BF172&amp;" "))&amp;(IF(BG172="","",BG172&amp;" "))&amp;(IF(BH172="","",BH172&amp;" "))&amp;BI172</f>
        <v>서울특별시 마포구 월드컵북로 502-7, 1207동 403호 (상암동, 상암월드컵파크12단지)</v>
      </c>
      <c r="BL172" s="47">
        <v>30</v>
      </c>
      <c r="BM172" s="47">
        <v>30</v>
      </c>
      <c r="BN172" s="48">
        <v>33000000</v>
      </c>
      <c r="BO172" s="48">
        <f>BP172*12</f>
        <v>33000069.599999998</v>
      </c>
      <c r="BP172" s="49">
        <f>SUM(BQ172:BS172)</f>
        <v>2750005.8</v>
      </c>
      <c r="BQ172" s="49">
        <f>ROUNDUP(BN172/12*209/(209+BU172*1.5)/BL172*BM172,-1)-BS172</f>
        <v>1960720</v>
      </c>
      <c r="BR172" s="49">
        <f>ROUNDUP(BN172/12*(BU172*1.5)/(209+BU172*1.5)/BL172*BM172,1)</f>
        <v>589285.79999999993</v>
      </c>
      <c r="BS172" s="49">
        <v>200000</v>
      </c>
      <c r="BT172" s="50">
        <v>209</v>
      </c>
      <c r="BU172" s="49">
        <f>IF($BN172="","",
IFERROR(
    IF($BN172&lt;'[1]시간외시간 기준표'!$B$2,0,
        IF($BN172&gt;LOOKUP(9.9E+307,'[1]시간외시간 기준표'!$B$2:$B$999),
            LOOKUP(9.9E+307,'[1]시간외시간 기준표'!$C$2:$C$999),
            LOOKUP($BN172,'[1]시간외시간 기준표'!$B$2:$B$999,'[1]시간외시간 기준표'!$C$2:$C$999)
        )
    ),0)
)</f>
        <v>38</v>
      </c>
      <c r="BV172" s="50">
        <f>(BQ172+BS172)/209</f>
        <v>10338.373205741627</v>
      </c>
      <c r="BW172" s="51">
        <v>30</v>
      </c>
      <c r="BX172" s="51">
        <v>30</v>
      </c>
      <c r="BY172" s="52">
        <v>33000000</v>
      </c>
      <c r="BZ172" s="52">
        <f>CA172*12</f>
        <v>33000103.200000003</v>
      </c>
      <c r="CA172" s="49">
        <f>SUM(CB172:CD172)</f>
        <v>2750008.6</v>
      </c>
      <c r="CB172" s="49">
        <f>ROUNDUP(BY172/12*209/(209+CF172*1.5)/BW172*BX172,-1)-CD172</f>
        <v>1913060</v>
      </c>
      <c r="CC172" s="49">
        <f>ROUNDUP(BY172/12*(CF172*1.5)/(209+CF172*1.5)/BW172*BX172,1)</f>
        <v>636948.6</v>
      </c>
      <c r="CD172" s="49">
        <v>200000</v>
      </c>
      <c r="CE172" s="50">
        <v>209</v>
      </c>
      <c r="CF172" s="49">
        <f>IF(BY172&lt;26000000,0,IF(BY172&lt;26500000,4,IF(BY172&lt;27000000,7,IF(BY172&lt;27500000,9,IF(BY172&lt;28000000,11,IF(BY172&lt;28500000,15,IF(BY172&lt;29000000,17,IF(BY172&lt;29500000,20,IF(BY172&lt;30000000,23,IF(BY172&lt;30500000,25,IF(BY172&lt;31000000,27,IF(BY172&lt;31500000,29,IF(BY172&lt;32000000,33,IF(BY172&lt;32500000,37,IF(BY172&lt;33000000,39,IF(BY172&lt;33500000,42,IF(BY172&lt;34000000,45,IF(BY172&lt;34500000,48,IF(BY172&lt;35000000,52,52)))))))))))))))))))</f>
        <v>42</v>
      </c>
      <c r="CG172" s="50">
        <f>(CB172+CD172)/209</f>
        <v>10110.334928229666</v>
      </c>
      <c r="CH172" s="66"/>
      <c r="CI172" s="66"/>
      <c r="CJ172" s="67"/>
      <c r="CK172" s="67"/>
      <c r="CL172" s="49"/>
      <c r="CM172" s="49"/>
      <c r="CN172" s="49"/>
      <c r="CO172" s="50"/>
      <c r="CP172" s="50"/>
      <c r="CQ172" s="50"/>
      <c r="CR172" s="50"/>
      <c r="CS172" s="52"/>
      <c r="CT172" s="53"/>
      <c r="CU172" s="53"/>
      <c r="CV172" s="53"/>
      <c r="CW172" s="54"/>
      <c r="CX172" s="54"/>
      <c r="CY172" s="54"/>
      <c r="CZ172" s="55"/>
      <c r="DA172" s="55"/>
      <c r="DB172" s="56"/>
      <c r="DC172" s="57"/>
      <c r="DD172" s="58"/>
      <c r="DE172" s="58"/>
      <c r="DF172" s="57"/>
      <c r="DG172" s="59">
        <f>B172</f>
        <v>250604</v>
      </c>
      <c r="DH172" s="58"/>
      <c r="DI172" s="58"/>
      <c r="DJ172" s="60"/>
      <c r="DK172" s="58"/>
      <c r="DL172" s="61"/>
      <c r="DM172" s="63"/>
    </row>
    <row r="173" spans="1:117" ht="15" customHeight="1">
      <c r="A173" s="25">
        <f>ROW()-2</f>
        <v>171</v>
      </c>
      <c r="B173" s="26">
        <v>250606</v>
      </c>
      <c r="C173" s="27" t="s">
        <v>2090</v>
      </c>
      <c r="D173" s="27"/>
      <c r="E173" s="27" t="s">
        <v>613</v>
      </c>
      <c r="F173" s="27" t="s">
        <v>196</v>
      </c>
      <c r="G173" s="27" t="s">
        <v>240</v>
      </c>
      <c r="H173" s="27" t="s">
        <v>260</v>
      </c>
      <c r="I173" s="27" t="s">
        <v>866</v>
      </c>
      <c r="J173" s="27" t="str">
        <f>+VLOOKUP($I173,[1]프로젝트현황!$I:$N,5,0)</f>
        <v>서울시</v>
      </c>
      <c r="K173" s="27" t="str">
        <f>+VLOOKUP($I173,[1]프로젝트현황!$I:$N,6,0)</f>
        <v>구로구</v>
      </c>
      <c r="L173" s="28">
        <v>45819</v>
      </c>
      <c r="M173" s="28">
        <v>45819</v>
      </c>
      <c r="N173" s="28"/>
      <c r="O173" s="29"/>
      <c r="P173" s="30" t="s">
        <v>2091</v>
      </c>
      <c r="Q173" s="27" t="s">
        <v>2092</v>
      </c>
      <c r="R173" s="31" t="str">
        <f>LEFT(Q173,6)</f>
        <v>920211</v>
      </c>
      <c r="S173" s="31" t="str">
        <f>MID($Q173,3,2)</f>
        <v>02</v>
      </c>
      <c r="T173" s="31" t="str">
        <f>IF(OR(MID($Q173,8,1)="1",MID($Q173,8,1)="3"),"남자",IF(OR(MID($Q173,8,1)="2",MID($Q173,8,1)="4"),"여자",""))</f>
        <v>남자</v>
      </c>
      <c r="U173" s="31">
        <f ca="1">YEAR(TODAY())-IF(OR(MID($Q173,8,1)="1",MID($Q173,8,1)="2"),19&amp;LEFT($Q173,2),IF(OR(MID($Q173,8,1)="3",MID($Q173,8,1)="4"),20&amp;LEFT($Q173,2),""))+1</f>
        <v>35</v>
      </c>
      <c r="V173" s="31" t="s">
        <v>200</v>
      </c>
      <c r="W173" s="31" t="s">
        <v>201</v>
      </c>
      <c r="X173" s="27" t="s">
        <v>2093</v>
      </c>
      <c r="Y173" s="27"/>
      <c r="Z173" s="27"/>
      <c r="AA173" s="32"/>
      <c r="AB173" s="31" t="s">
        <v>203</v>
      </c>
      <c r="AC173" s="27"/>
      <c r="AD173" s="33" t="str">
        <f ca="1">QUOTIENT(SUMPRODUCT(LEFT($AE173:$AF173,FIND("년",$AE173:$AF173)-1)*12+MID($AE173:$AF173,FIND("년",$AE173:$AF173)+1,FIND("개월",$AE173:$AF173)-FIND("년",$AE173:$AF173)-1)),12)&amp;"년"&amp;MOD(SUMPRODUCT(LEFT($AE173:$AF173,FIND("년",$AE173:$AF173)-1)*12+MID($AE173:$AF173,FIND("년",$AE173:$AF173)+1,FIND("개월",$AE173:$AF173)-FIND("년",$AE173:$AF173)-1)),12)&amp;"개월"</f>
        <v>0년8개월</v>
      </c>
      <c r="AE173" s="33" t="s">
        <v>543</v>
      </c>
      <c r="AF173" s="34" t="str">
        <f ca="1">DATEDIF($L173,TODAY(),"y")&amp;"년"&amp;DATEDIF($L173,TODAY(),"ym")&amp;"개월"</f>
        <v>0년8개월</v>
      </c>
      <c r="AG173" s="35" t="s">
        <v>2094</v>
      </c>
      <c r="AH173" s="35" t="s">
        <v>2006</v>
      </c>
      <c r="AI173" s="30" t="s">
        <v>365</v>
      </c>
      <c r="AJ173" s="32">
        <v>40218</v>
      </c>
      <c r="AK173" s="36">
        <f ca="1">VALUE(LEFT($AD173,FIND("년",$AD173)-1))</f>
        <v>0</v>
      </c>
      <c r="AL173" s="31" t="str">
        <f ca="1">IF($AI173="고졸",IF($AK173&lt;=11,"초급",IF($AK173&lt;=14,"중급",IF($AK173&lt;=17,"고급",IF($AK173&gt;=18,"특급")))))</f>
        <v>초급</v>
      </c>
      <c r="AM173" s="31" t="str">
        <f>IF(ISNUMBER(SEARCH("산업기사",$AT173)),IF($AK173&gt;=13,"특급",IF($AK173&gt;=10,"고급",IF($AK173&gt;=7,"중급","초급"))),IF(ISNUMBER(SEARCH("기사",$AR173)),IF($AK173&gt;=10,"특급",IF($AK173&gt;=7,"고급",IF($AK173&gt;=4,"중급","초급"))),"미해당"))</f>
        <v>미해당</v>
      </c>
      <c r="AN173" s="27"/>
      <c r="AO173" s="32"/>
      <c r="AP173" s="27"/>
      <c r="AQ173" s="32"/>
      <c r="AR173" s="27"/>
      <c r="AS173" s="27"/>
      <c r="AT173" s="37"/>
      <c r="AU173" s="27"/>
      <c r="AV173" s="38"/>
      <c r="AW173" s="39"/>
      <c r="AX173" s="39"/>
      <c r="AY173" s="40" t="s">
        <v>251</v>
      </c>
      <c r="AZ173" s="41" t="s">
        <v>252</v>
      </c>
      <c r="BA173" s="30" t="s">
        <v>230</v>
      </c>
      <c r="BB173" s="30" t="s">
        <v>2095</v>
      </c>
      <c r="BC173" s="42" t="s">
        <v>254</v>
      </c>
      <c r="BD173" s="42" t="s">
        <v>2096</v>
      </c>
      <c r="BE173" s="43" t="s">
        <v>2097</v>
      </c>
      <c r="BF173" s="42" t="s">
        <v>1688</v>
      </c>
      <c r="BG173" s="42" t="s">
        <v>341</v>
      </c>
      <c r="BH173" s="35"/>
      <c r="BI173" s="44" t="s">
        <v>2098</v>
      </c>
      <c r="BJ173" s="45" t="str">
        <f>IFERROR(VLOOKUP($BG173,[1]프로젝트현황!Y:Z,2,0),"기타")</f>
        <v>서남권</v>
      </c>
      <c r="BK173" s="46" t="str">
        <f>(IF(BF173="","",BF173&amp;" "))&amp;(IF(BG173="","",BG173&amp;" "))&amp;(IF(BH173="","",BH173&amp;" "))&amp;BI173</f>
        <v>서울특별시 구로구 도림로 107, 1동 808호 (구로동, 럭키아파트)</v>
      </c>
      <c r="BL173" s="47">
        <v>30</v>
      </c>
      <c r="BM173" s="47">
        <v>30</v>
      </c>
      <c r="BN173" s="48">
        <v>26000000</v>
      </c>
      <c r="BO173" s="48">
        <f>BP173*12</f>
        <v>26000040</v>
      </c>
      <c r="BP173" s="49">
        <f>SUM(BQ173:BS173)</f>
        <v>2166670</v>
      </c>
      <c r="BQ173" s="49">
        <f>ROUNDUP(BN173/12*209/(209+BU173*1.5)/BL173*BM173,-1)-BS173</f>
        <v>1966670</v>
      </c>
      <c r="BR173" s="49">
        <f>ROUNDUP(BN173/12*(BU173*1.5)/(209+BU173*1.5)/BL173*BM173,1)</f>
        <v>0</v>
      </c>
      <c r="BS173" s="49">
        <v>200000</v>
      </c>
      <c r="BT173" s="50">
        <v>209</v>
      </c>
      <c r="BU173" s="49">
        <f>IF($BN173="","",
IFERROR(
    IF($BN173&lt;'[1]시간외시간 기준표'!$B$2,0,
        IF($BN173&gt;LOOKUP(9.9E+307,'[1]시간외시간 기준표'!$B$2:$B$999),
            LOOKUP(9.9E+307,'[1]시간외시간 기준표'!$C$2:$C$999),
            LOOKUP($BN173,'[1]시간외시간 기준표'!$B$2:$B$999,'[1]시간외시간 기준표'!$C$2:$C$999)
        )
    ),0)
)</f>
        <v>0</v>
      </c>
      <c r="BV173" s="50">
        <f>(BQ173+BS173)/209</f>
        <v>10366.842105263158</v>
      </c>
      <c r="BW173" s="51">
        <v>30</v>
      </c>
      <c r="BX173" s="51">
        <v>30</v>
      </c>
      <c r="BY173" s="52">
        <v>26000000</v>
      </c>
      <c r="BZ173" s="52">
        <f>CA173*12</f>
        <v>26000102.400000002</v>
      </c>
      <c r="CA173" s="49">
        <f>SUM(CB173:CD173)</f>
        <v>2166675.2000000002</v>
      </c>
      <c r="CB173" s="49">
        <f>ROUNDUP(BY173/12*209/(209+CF173*1.5)/BW173*BX173,-1)-CD173</f>
        <v>1906210</v>
      </c>
      <c r="CC173" s="49">
        <f>ROUNDUP(BY173/12*(CF173*1.5)/(209+CF173*1.5)/BW173*BX173,1)</f>
        <v>60465.2</v>
      </c>
      <c r="CD173" s="49">
        <v>200000</v>
      </c>
      <c r="CE173" s="50">
        <v>209</v>
      </c>
      <c r="CF173" s="49">
        <f>IF(BY173&lt;26000000,0,IF(BY173&lt;26500000,4,IF(BY173&lt;27000000,7,IF(BY173&lt;27500000,9,IF(BY173&lt;28000000,11,IF(BY173&lt;28500000,15,IF(BY173&lt;29000000,17,IF(BY173&lt;29500000,20,IF(BY173&lt;30000000,23,IF(BY173&lt;30500000,25,IF(BY173&lt;31000000,27,IF(BY173&lt;31500000,29,IF(BY173&lt;32000000,33,IF(BY173&lt;32500000,37,IF(BY173&lt;33000000,39,IF(BY173&lt;33500000,42,IF(BY173&lt;34000000,45,IF(BY173&lt;34500000,48,IF(BY173&lt;35000000,52,52)))))))))))))))))))</f>
        <v>4</v>
      </c>
      <c r="CG173" s="50">
        <f>(CB173+CD173)/209</f>
        <v>10077.559808612441</v>
      </c>
      <c r="CH173" s="66"/>
      <c r="CI173" s="66"/>
      <c r="CJ173" s="67"/>
      <c r="CK173" s="67"/>
      <c r="CL173" s="49"/>
      <c r="CM173" s="49"/>
      <c r="CN173" s="49"/>
      <c r="CO173" s="50"/>
      <c r="CP173" s="50"/>
      <c r="CQ173" s="50"/>
      <c r="CR173" s="50"/>
      <c r="CS173" s="52"/>
      <c r="CT173" s="53"/>
      <c r="CU173" s="53"/>
      <c r="CV173" s="53"/>
      <c r="CW173" s="54"/>
      <c r="CX173" s="54"/>
      <c r="CY173" s="54"/>
      <c r="CZ173" s="55"/>
      <c r="DA173" s="55"/>
      <c r="DB173" s="56"/>
      <c r="DC173" s="57"/>
      <c r="DD173" s="58"/>
      <c r="DE173" s="58"/>
      <c r="DF173" s="57"/>
      <c r="DG173" s="59">
        <f>B173</f>
        <v>250606</v>
      </c>
      <c r="DH173" s="58"/>
      <c r="DI173" s="58"/>
      <c r="DJ173" s="60"/>
      <c r="DK173" s="58"/>
      <c r="DL173" s="61"/>
      <c r="DM173" s="63"/>
    </row>
    <row r="174" spans="1:117" ht="15" customHeight="1">
      <c r="A174" s="25">
        <f>ROW()-2</f>
        <v>172</v>
      </c>
      <c r="B174" s="26">
        <v>250607</v>
      </c>
      <c r="C174" s="27" t="s">
        <v>2099</v>
      </c>
      <c r="D174" s="27"/>
      <c r="E174" s="27" t="s">
        <v>283</v>
      </c>
      <c r="F174" s="27" t="s">
        <v>196</v>
      </c>
      <c r="G174" s="27" t="s">
        <v>240</v>
      </c>
      <c r="H174" s="27" t="s">
        <v>260</v>
      </c>
      <c r="I174" s="27" t="s">
        <v>2100</v>
      </c>
      <c r="J174" s="27" t="str">
        <f>+VLOOKUP($I174,[1]프로젝트현황!$I:$N,5,0)</f>
        <v>서울시</v>
      </c>
      <c r="K174" s="27" t="str">
        <f>+VLOOKUP($I174,[1]프로젝트현황!$I:$N,6,0)</f>
        <v>동작구</v>
      </c>
      <c r="L174" s="28">
        <v>45824</v>
      </c>
      <c r="M174" s="28">
        <v>45931</v>
      </c>
      <c r="N174" s="28"/>
      <c r="O174" s="29"/>
      <c r="P174" s="30" t="s">
        <v>2101</v>
      </c>
      <c r="Q174" s="27" t="s">
        <v>2102</v>
      </c>
      <c r="R174" s="31" t="str">
        <f>LEFT(Q174,6)</f>
        <v>850924</v>
      </c>
      <c r="S174" s="31" t="str">
        <f>MID($Q174,3,2)</f>
        <v>09</v>
      </c>
      <c r="T174" s="31" t="str">
        <f>IF(OR(MID($Q174,8,1)="1",MID($Q174,8,1)="3"),"남자",IF(OR(MID($Q174,8,1)="2",MID($Q174,8,1)="4"),"여자",""))</f>
        <v>남자</v>
      </c>
      <c r="U174" s="31">
        <f ca="1">YEAR(TODAY())-IF(OR(MID($Q174,8,1)="1",MID($Q174,8,1)="2"),19&amp;LEFT($Q174,2),IF(OR(MID($Q174,8,1)="3",MID($Q174,8,1)="4"),20&amp;LEFT($Q174,2),""))+1</f>
        <v>42</v>
      </c>
      <c r="V174" s="31" t="s">
        <v>200</v>
      </c>
      <c r="W174" s="31" t="s">
        <v>201</v>
      </c>
      <c r="X174" s="27" t="s">
        <v>2103</v>
      </c>
      <c r="Y174" s="27"/>
      <c r="Z174" s="27"/>
      <c r="AA174" s="32"/>
      <c r="AB174" s="31" t="s">
        <v>203</v>
      </c>
      <c r="AC174" s="27"/>
      <c r="AD174" s="33" t="str">
        <f ca="1">QUOTIENT(SUMPRODUCT(LEFT($AE174:$AF174,FIND("년",$AE174:$AF174)-1)*12+MID($AE174:$AF174,FIND("년",$AE174:$AF174)+1,FIND("개월",$AE174:$AF174)-FIND("년",$AE174:$AF174)-1)),12)&amp;"년"&amp;MOD(SUMPRODUCT(LEFT($AE174:$AF174,FIND("년",$AE174:$AF174)-1)*12+MID($AE174:$AF174,FIND("년",$AE174:$AF174)+1,FIND("개월",$AE174:$AF174)-FIND("년",$AE174:$AF174)-1)),12)&amp;"개월"</f>
        <v>8년7개월</v>
      </c>
      <c r="AE174" s="33" t="s">
        <v>2104</v>
      </c>
      <c r="AF174" s="34" t="str">
        <f ca="1">DATEDIF($L174,TODAY(),"y")&amp;"년"&amp;DATEDIF($L174,TODAY(),"ym")&amp;"개월"</f>
        <v>0년7개월</v>
      </c>
      <c r="AG174" s="35" t="s">
        <v>2105</v>
      </c>
      <c r="AH174" s="35" t="s">
        <v>2106</v>
      </c>
      <c r="AI174" s="30" t="s">
        <v>205</v>
      </c>
      <c r="AJ174" s="32">
        <v>39856</v>
      </c>
      <c r="AK174" s="36">
        <f ca="1">VALUE(LEFT($AD174,FIND("년",$AD174)-1))</f>
        <v>8</v>
      </c>
      <c r="AL174" s="31" t="str">
        <f ca="1">IF($AI174="전문학사",IF($AK174&lt;=8,"초급",IF($AK174&lt;12,"중급",IF($AK174&lt;15,"고급",IF($AK174&gt;=15,"특급")))))</f>
        <v>초급</v>
      </c>
      <c r="AM174" s="31" t="str">
        <f>IF(ISNUMBER(SEARCH("산업기사",$AT174)),IF($AK174&gt;=13,"특급",IF($AK174&gt;=10,"고급",IF($AK174&gt;=7,"중급","초급"))),IF(ISNUMBER(SEARCH("기사",$AR174)),IF($AK174&gt;=10,"특급",IF($AK174&gt;=7,"고급",IF($AK174&gt;=4,"중급","초급"))),"미해당"))</f>
        <v>미해당</v>
      </c>
      <c r="AN174" s="27"/>
      <c r="AO174" s="32"/>
      <c r="AP174" s="27"/>
      <c r="AQ174" s="32"/>
      <c r="AR174" s="27"/>
      <c r="AS174" s="27"/>
      <c r="AT174" s="37"/>
      <c r="AU174" s="27"/>
      <c r="AV174" s="38"/>
      <c r="AW174" s="39"/>
      <c r="AX174" s="39"/>
      <c r="AY174" s="40" t="s">
        <v>251</v>
      </c>
      <c r="AZ174" s="41" t="s">
        <v>252</v>
      </c>
      <c r="BA174" s="30" t="s">
        <v>230</v>
      </c>
      <c r="BB174" s="30" t="s">
        <v>2107</v>
      </c>
      <c r="BC174" s="42"/>
      <c r="BD174" s="42"/>
      <c r="BE174" s="43" t="s">
        <v>2108</v>
      </c>
      <c r="BF174" s="42" t="s">
        <v>2109</v>
      </c>
      <c r="BG174" s="42" t="s">
        <v>579</v>
      </c>
      <c r="BH174" s="35" t="s">
        <v>2110</v>
      </c>
      <c r="BI174" s="44" t="s">
        <v>2111</v>
      </c>
      <c r="BJ174" s="45" t="str">
        <f>IFERROR(VLOOKUP($BG174,[1]프로젝트현황!Y:Z,2,0),"기타")</f>
        <v>서남권</v>
      </c>
      <c r="BK174" s="46" t="str">
        <f>(IF(BF174="","",BF174&amp;" "))&amp;(IF(BG174="","",BG174&amp;" "))&amp;(IF(BH174="","",BH174&amp;" "))&amp;BI174</f>
        <v>인천 부평구 부평동 열우물로 90, 111동 3203호 (십정동, 더샵부평센트럴시티)</v>
      </c>
      <c r="BL174" s="47">
        <v>30</v>
      </c>
      <c r="BM174" s="47">
        <v>30</v>
      </c>
      <c r="BN174" s="48">
        <v>47000000</v>
      </c>
      <c r="BO174" s="48">
        <f>BP174*12</f>
        <v>47000040</v>
      </c>
      <c r="BP174" s="49">
        <f>SUM(BQ174:BS174)</f>
        <v>3916670</v>
      </c>
      <c r="BQ174" s="49">
        <f>ROUNDUP(BN174/12*209/(209+BU174*1.5)/BL174*BM174,-1)-BS174</f>
        <v>2652210</v>
      </c>
      <c r="BR174" s="49">
        <f>ROUNDUP(BN174/12*(BU174*1.5)/(209+BU174*1.5)/BL174*BM174,1)</f>
        <v>1064460</v>
      </c>
      <c r="BS174" s="49">
        <v>200000</v>
      </c>
      <c r="BT174" s="50">
        <v>209</v>
      </c>
      <c r="BU174" s="49">
        <f>IF($BN174="","",
IFERROR(
    IF($BN174&lt;'[1]시간외시간 기준표'!$B$2,0,
        IF($BN174&gt;LOOKUP(9.9E+307,'[1]시간외시간 기준표'!$B$2:$B$999),
            LOOKUP(9.9E+307,'[1]시간외시간 기준표'!$C$2:$C$999),
            LOOKUP($BN174,'[1]시간외시간 기준표'!$B$2:$B$999,'[1]시간외시간 기준표'!$C$2:$C$999)
        )
    ),0)
)</f>
        <v>52</v>
      </c>
      <c r="BV174" s="50">
        <f>(BQ174+BS174)/209</f>
        <v>13646.937799043062</v>
      </c>
      <c r="BW174" s="51">
        <v>30</v>
      </c>
      <c r="BX174" s="51">
        <v>30</v>
      </c>
      <c r="BY174" s="52">
        <v>47000000</v>
      </c>
      <c r="BZ174" s="52">
        <f>CA174*12</f>
        <v>47000040</v>
      </c>
      <c r="CA174" s="49">
        <f>SUM(CB174:CD174)</f>
        <v>3916670</v>
      </c>
      <c r="CB174" s="49">
        <f>ROUNDUP(BY174/12*209/(209+CF174*1.5)/BW174*BX174,-1)-CD174</f>
        <v>2652210</v>
      </c>
      <c r="CC174" s="49">
        <f>ROUNDUP(BY174/12*(CF174*1.5)/(209+CF174*1.5)/BW174*BX174,1)</f>
        <v>1064460</v>
      </c>
      <c r="CD174" s="49">
        <v>200000</v>
      </c>
      <c r="CE174" s="50">
        <v>209</v>
      </c>
      <c r="CF174" s="49">
        <f>IF(BY174&lt;26000000,0,IF(BY174&lt;26500000,4,IF(BY174&lt;27000000,7,IF(BY174&lt;27500000,9,IF(BY174&lt;28000000,11,IF(BY174&lt;28500000,15,IF(BY174&lt;29000000,17,IF(BY174&lt;29500000,20,IF(BY174&lt;30000000,23,IF(BY174&lt;30500000,25,IF(BY174&lt;31000000,27,IF(BY174&lt;31500000,29,IF(BY174&lt;32000000,33,IF(BY174&lt;32500000,37,IF(BY174&lt;33000000,39,IF(BY174&lt;33500000,42,IF(BY174&lt;34000000,45,IF(BY174&lt;34500000,48,IF(BY174&lt;35000000,52,52)))))))))))))))))))</f>
        <v>52</v>
      </c>
      <c r="CG174" s="50">
        <f>(CB174+CD174)/209</f>
        <v>13646.937799043062</v>
      </c>
      <c r="CH174" s="66"/>
      <c r="CI174" s="66"/>
      <c r="CJ174" s="67"/>
      <c r="CK174" s="67"/>
      <c r="CL174" s="49"/>
      <c r="CM174" s="49"/>
      <c r="CN174" s="49"/>
      <c r="CO174" s="50"/>
      <c r="CP174" s="50"/>
      <c r="CQ174" s="50"/>
      <c r="CR174" s="50"/>
      <c r="CS174" s="52"/>
      <c r="CT174" s="53"/>
      <c r="CU174" s="53"/>
      <c r="CV174" s="53"/>
      <c r="CW174" s="54"/>
      <c r="CX174" s="54"/>
      <c r="CY174" s="54"/>
      <c r="CZ174" s="55"/>
      <c r="DA174" s="55"/>
      <c r="DB174" s="56"/>
      <c r="DC174" s="57"/>
      <c r="DD174" s="58"/>
      <c r="DE174" s="58"/>
      <c r="DF174" s="57"/>
      <c r="DG174" s="59">
        <f>B174</f>
        <v>250607</v>
      </c>
      <c r="DH174" s="58"/>
      <c r="DI174" s="58"/>
      <c r="DJ174" s="60"/>
      <c r="DK174" s="58"/>
      <c r="DL174" s="61"/>
      <c r="DM174" s="24"/>
    </row>
    <row r="175" spans="1:117" ht="15" customHeight="1">
      <c r="A175" s="25">
        <f>ROW()-2</f>
        <v>173</v>
      </c>
      <c r="B175" s="26">
        <v>250609</v>
      </c>
      <c r="C175" s="27" t="s">
        <v>2112</v>
      </c>
      <c r="D175" s="27" t="s">
        <v>282</v>
      </c>
      <c r="E175" s="27" t="s">
        <v>283</v>
      </c>
      <c r="F175" s="27" t="s">
        <v>196</v>
      </c>
      <c r="G175" s="27" t="s">
        <v>240</v>
      </c>
      <c r="H175" s="27" t="s">
        <v>217</v>
      </c>
      <c r="I175" s="27" t="s">
        <v>2113</v>
      </c>
      <c r="J175" s="27" t="str">
        <f>+VLOOKUP($I175,[1]프로젝트현황!$I:$N,5,0)</f>
        <v>서울시</v>
      </c>
      <c r="K175" s="27" t="str">
        <f>+VLOOKUP($I175,[1]프로젝트현황!$I:$N,6,0)</f>
        <v>강서구</v>
      </c>
      <c r="L175" s="28">
        <v>45870</v>
      </c>
      <c r="M175" s="28">
        <v>45870</v>
      </c>
      <c r="N175" s="28"/>
      <c r="O175" s="29"/>
      <c r="P175" s="30" t="s">
        <v>2114</v>
      </c>
      <c r="Q175" s="27" t="s">
        <v>2115</v>
      </c>
      <c r="R175" s="31" t="str">
        <f>LEFT(Q175,6)</f>
        <v>840603</v>
      </c>
      <c r="S175" s="31" t="str">
        <f>MID($Q175,3,2)</f>
        <v>06</v>
      </c>
      <c r="T175" s="31" t="str">
        <f>IF(OR(MID($Q175,8,1)="1",MID($Q175,8,1)="3"),"남자",IF(OR(MID($Q175,8,1)="2",MID($Q175,8,1)="4"),"여자",""))</f>
        <v>남자</v>
      </c>
      <c r="U175" s="31">
        <f ca="1">YEAR(TODAY())-IF(OR(MID($Q175,8,1)="1",MID($Q175,8,1)="2"),19&amp;LEFT($Q175,2),IF(OR(MID($Q175,8,1)="3",MID($Q175,8,1)="4"),20&amp;LEFT($Q175,2),""))+1</f>
        <v>43</v>
      </c>
      <c r="V175" s="31" t="s">
        <v>200</v>
      </c>
      <c r="W175" s="31" t="s">
        <v>201</v>
      </c>
      <c r="X175" s="27" t="s">
        <v>2116</v>
      </c>
      <c r="Y175" s="27"/>
      <c r="Z175" s="27"/>
      <c r="AA175" s="32"/>
      <c r="AB175" s="31" t="s">
        <v>203</v>
      </c>
      <c r="AC175" s="27"/>
      <c r="AD175" s="33" t="str">
        <f ca="1">QUOTIENT(SUMPRODUCT(LEFT($AE175:$AF175,FIND("년",$AE175:$AF175)-1)*12+MID($AE175:$AF175,FIND("년",$AE175:$AF175)+1,FIND("개월",$AE175:$AF175)-FIND("년",$AE175:$AF175)-1)),12)&amp;"년"&amp;MOD(SUMPRODUCT(LEFT($AE175:$AF175,FIND("년",$AE175:$AF175)-1)*12+MID($AE175:$AF175,FIND("년",$AE175:$AF175)+1,FIND("개월",$AE175:$AF175)-FIND("년",$AE175:$AF175)-1)),12)&amp;"개월"</f>
        <v>16년2개월</v>
      </c>
      <c r="AE175" s="33" t="s">
        <v>2117</v>
      </c>
      <c r="AF175" s="34" t="str">
        <f ca="1">DATEDIF($L175,TODAY(),"y")&amp;"년"&amp;DATEDIF($L175,TODAY(),"ym")&amp;"개월"</f>
        <v>0년6개월</v>
      </c>
      <c r="AG175" s="35" t="s">
        <v>929</v>
      </c>
      <c r="AH175" s="35" t="s">
        <v>1467</v>
      </c>
      <c r="AI175" s="30" t="s">
        <v>270</v>
      </c>
      <c r="AJ175" s="32">
        <v>41516</v>
      </c>
      <c r="AK175" s="36">
        <f ca="1">VALUE(LEFT($AD175,FIND("년",$AD175)-1))</f>
        <v>16</v>
      </c>
      <c r="AL175" s="31" t="str">
        <f ca="1">IF($AI175="학사",IF($AK175&lt;=8,"초급",IF($AK175&lt;12,"중급",IF($AK175&lt;15,"고급",IF($AK175&gt;=15,"특급")))))</f>
        <v>특급</v>
      </c>
      <c r="AM175" s="31" t="str">
        <f>IF(ISNUMBER(SEARCH("산업기사",$AT175)),IF($AK175&gt;=13,"특급",IF($AK175&gt;=10,"고급",IF($AK175&gt;=7,"중급","초급"))),IF(ISNUMBER(SEARCH("기사",$AR175)),IF($AK175&gt;=10,"특급",IF($AK175&gt;=7,"고급",IF($AK175&gt;=4,"중급","초급"))),"미해당"))</f>
        <v>미해당</v>
      </c>
      <c r="AN175" s="27"/>
      <c r="AO175" s="32"/>
      <c r="AP175" s="27"/>
      <c r="AQ175" s="32"/>
      <c r="AR175" s="27"/>
      <c r="AS175" s="27"/>
      <c r="AT175" s="37"/>
      <c r="AU175" s="27"/>
      <c r="AV175" s="38"/>
      <c r="AW175" s="39"/>
      <c r="AX175" s="39"/>
      <c r="AY175" s="40" t="s">
        <v>251</v>
      </c>
      <c r="AZ175" s="41" t="s">
        <v>252</v>
      </c>
      <c r="BA175" s="30" t="s">
        <v>230</v>
      </c>
      <c r="BB175" s="30" t="s">
        <v>2118</v>
      </c>
      <c r="BC175" s="42"/>
      <c r="BD175" s="42"/>
      <c r="BE175" s="43" t="s">
        <v>2119</v>
      </c>
      <c r="BF175" s="42" t="s">
        <v>234</v>
      </c>
      <c r="BG175" s="42" t="s">
        <v>672</v>
      </c>
      <c r="BH175" s="35"/>
      <c r="BI175" s="44" t="s">
        <v>2120</v>
      </c>
      <c r="BJ175" s="45" t="str">
        <f>IFERROR(VLOOKUP($BG175,[1]프로젝트현황!Y:Z,2,0),"기타")</f>
        <v>서남권</v>
      </c>
      <c r="BK175" s="46" t="str">
        <f>(IF(BF175="","",BF175&amp;" "))&amp;(IF(BG175="","",BG175&amp;" "))&amp;(IF(BH175="","",BH175&amp;" "))&amp;BI175</f>
        <v>경기도 김포시 김포한강1로 10, 205동 702호 (장기동, 초당마을 우미린아파트)</v>
      </c>
      <c r="BL175" s="47">
        <v>30</v>
      </c>
      <c r="BM175" s="47">
        <v>30</v>
      </c>
      <c r="BN175" s="48">
        <v>45000000</v>
      </c>
      <c r="BO175" s="48">
        <f>BP175*12</f>
        <v>45000045.599999994</v>
      </c>
      <c r="BP175" s="49">
        <f>SUM(BQ175:BS175)</f>
        <v>3750003.8</v>
      </c>
      <c r="BQ175" s="49">
        <f>ROUNDUP(BN175/12*209/(209+BU175*1.5)/BL175*BM175,-1)-BS175</f>
        <v>2530840</v>
      </c>
      <c r="BR175" s="49">
        <f>ROUNDUP(BN175/12*(BU175*1.5)/(209+BU175*1.5)/BL175*BM175,1)</f>
        <v>1019163.7999999999</v>
      </c>
      <c r="BS175" s="49">
        <v>200000</v>
      </c>
      <c r="BT175" s="50">
        <v>209</v>
      </c>
      <c r="BU175" s="49">
        <f>IF($BN175="","",
IFERROR(
    IF($BN175&lt;'[1]시간외시간 기준표'!$B$2,0,
        IF($BN175&gt;LOOKUP(9.9E+307,'[1]시간외시간 기준표'!$B$2:$B$999),
            LOOKUP(9.9E+307,'[1]시간외시간 기준표'!$C$2:$C$999),
            LOOKUP($BN175,'[1]시간외시간 기준표'!$B$2:$B$999,'[1]시간외시간 기준표'!$C$2:$C$999)
        )
    ),0)
)</f>
        <v>52</v>
      </c>
      <c r="BV175" s="50">
        <f>(BQ175+BS175)/209</f>
        <v>13066.22009569378</v>
      </c>
      <c r="BW175" s="51">
        <v>30</v>
      </c>
      <c r="BX175" s="51">
        <v>30</v>
      </c>
      <c r="BY175" s="52">
        <v>45000000</v>
      </c>
      <c r="BZ175" s="52">
        <f>CA175*12</f>
        <v>45000045.599999994</v>
      </c>
      <c r="CA175" s="49">
        <f>SUM(CB175:CD175)</f>
        <v>3750003.8</v>
      </c>
      <c r="CB175" s="49">
        <f>ROUNDUP(BY175/12*209/(209+CF175*1.5)/BW175*BX175,-1)-CD175</f>
        <v>2530840</v>
      </c>
      <c r="CC175" s="49">
        <f>ROUNDUP(BY175/12*(CF175*1.5)/(209+CF175*1.5)/BW175*BX175,1)</f>
        <v>1019163.7999999999</v>
      </c>
      <c r="CD175" s="49">
        <v>200000</v>
      </c>
      <c r="CE175" s="50">
        <v>209</v>
      </c>
      <c r="CF175" s="49">
        <f>IF(BY175&lt;26000000,0,IF(BY175&lt;26500000,4,IF(BY175&lt;27000000,7,IF(BY175&lt;27500000,9,IF(BY175&lt;28000000,11,IF(BY175&lt;28500000,15,IF(BY175&lt;29000000,17,IF(BY175&lt;29500000,20,IF(BY175&lt;30000000,23,IF(BY175&lt;30500000,25,IF(BY175&lt;31000000,27,IF(BY175&lt;31500000,29,IF(BY175&lt;32000000,33,IF(BY175&lt;32500000,37,IF(BY175&lt;33000000,39,IF(BY175&lt;33500000,42,IF(BY175&lt;34000000,45,IF(BY175&lt;34500000,48,IF(BY175&lt;35000000,52,52)))))))))))))))))))</f>
        <v>52</v>
      </c>
      <c r="CG175" s="50">
        <f>(CB175+CD175)/209</f>
        <v>13066.22009569378</v>
      </c>
      <c r="CH175" s="66"/>
      <c r="CI175" s="66"/>
      <c r="CJ175" s="67"/>
      <c r="CK175" s="67"/>
      <c r="CL175" s="49"/>
      <c r="CM175" s="49"/>
      <c r="CN175" s="49"/>
      <c r="CO175" s="50"/>
      <c r="CP175" s="50"/>
      <c r="CQ175" s="50"/>
      <c r="CR175" s="50"/>
      <c r="CS175" s="52"/>
      <c r="CT175" s="53"/>
      <c r="CU175" s="53"/>
      <c r="CV175" s="53"/>
      <c r="CW175" s="54"/>
      <c r="CX175" s="54"/>
      <c r="CY175" s="54"/>
      <c r="CZ175" s="55"/>
      <c r="DA175" s="55"/>
      <c r="DB175" s="56"/>
      <c r="DC175" s="57"/>
      <c r="DD175" s="58"/>
      <c r="DE175" s="58"/>
      <c r="DF175" s="57"/>
      <c r="DG175" s="59">
        <f>B175</f>
        <v>250609</v>
      </c>
      <c r="DH175" s="58"/>
      <c r="DI175" s="58"/>
      <c r="DJ175" s="60"/>
      <c r="DK175" s="58"/>
      <c r="DL175" s="61"/>
      <c r="DM175" s="24"/>
    </row>
    <row r="176" spans="1:117" ht="15" customHeight="1">
      <c r="A176" s="25">
        <f>ROW()-2</f>
        <v>174</v>
      </c>
      <c r="B176" s="26">
        <v>250701</v>
      </c>
      <c r="C176" s="27" t="s">
        <v>2121</v>
      </c>
      <c r="D176" s="27"/>
      <c r="E176" s="27" t="s">
        <v>613</v>
      </c>
      <c r="F176" s="27" t="s">
        <v>196</v>
      </c>
      <c r="G176" s="27" t="s">
        <v>240</v>
      </c>
      <c r="H176" s="27" t="s">
        <v>241</v>
      </c>
      <c r="I176" s="27" t="s">
        <v>653</v>
      </c>
      <c r="J176" s="27" t="str">
        <f>+VLOOKUP($I176,[1]프로젝트현황!$I:$N,5,0)</f>
        <v>서울시</v>
      </c>
      <c r="K176" s="27" t="str">
        <f>+VLOOKUP($I176,[1]프로젝트현황!$I:$N,6,0)</f>
        <v>강남구</v>
      </c>
      <c r="L176" s="28">
        <v>45839</v>
      </c>
      <c r="M176" s="28">
        <v>45931</v>
      </c>
      <c r="N176" s="28"/>
      <c r="O176" s="29"/>
      <c r="P176" s="30" t="s">
        <v>2122</v>
      </c>
      <c r="Q176" s="27" t="s">
        <v>2123</v>
      </c>
      <c r="R176" s="31" t="str">
        <f>LEFT(Q176,6)</f>
        <v>901008</v>
      </c>
      <c r="S176" s="31" t="str">
        <f>MID($Q176,3,2)</f>
        <v>10</v>
      </c>
      <c r="T176" s="31" t="str">
        <f>IF(OR(MID($Q176,8,1)="1",MID($Q176,8,1)="3"),"남자",IF(OR(MID($Q176,8,1)="2",MID($Q176,8,1)="4"),"여자",""))</f>
        <v>남자</v>
      </c>
      <c r="U176" s="31">
        <f ca="1">YEAR(TODAY())-IF(OR(MID($Q176,8,1)="1",MID($Q176,8,1)="2"),19&amp;LEFT($Q176,2),IF(OR(MID($Q176,8,1)="3",MID($Q176,8,1)="4"),20&amp;LEFT($Q176,2),""))+1</f>
        <v>37</v>
      </c>
      <c r="V176" s="31" t="s">
        <v>200</v>
      </c>
      <c r="W176" s="31" t="s">
        <v>201</v>
      </c>
      <c r="X176" s="27" t="s">
        <v>2124</v>
      </c>
      <c r="Y176" s="27"/>
      <c r="Z176" s="27"/>
      <c r="AA176" s="32"/>
      <c r="AB176" s="31" t="s">
        <v>203</v>
      </c>
      <c r="AC176" s="27"/>
      <c r="AD176" s="33" t="str">
        <f ca="1">QUOTIENT(SUMPRODUCT(LEFT($AE176:$AF176,FIND("년",$AE176:$AF176)-1)*12+MID($AE176:$AF176,FIND("년",$AE176:$AF176)+1,FIND("개월",$AE176:$AF176)-FIND("년",$AE176:$AF176)-1)),12)&amp;"년"&amp;MOD(SUMPRODUCT(LEFT($AE176:$AF176,FIND("년",$AE176:$AF176)-1)*12+MID($AE176:$AF176,FIND("년",$AE176:$AF176)+1,FIND("개월",$AE176:$AF176)-FIND("년",$AE176:$AF176)-1)),12)&amp;"개월"</f>
        <v>1년7개월</v>
      </c>
      <c r="AE176" s="33" t="s">
        <v>436</v>
      </c>
      <c r="AF176" s="34" t="str">
        <f ca="1">DATEDIF($L176,TODAY(),"y")&amp;"년"&amp;DATEDIF($L176,TODAY(),"ym")&amp;"개월"</f>
        <v>0년7개월</v>
      </c>
      <c r="AG176" s="35" t="s">
        <v>2125</v>
      </c>
      <c r="AH176" s="35" t="s">
        <v>918</v>
      </c>
      <c r="AI176" s="30" t="s">
        <v>365</v>
      </c>
      <c r="AJ176" s="32" t="s">
        <v>2006</v>
      </c>
      <c r="AK176" s="36">
        <f ca="1">VALUE(LEFT($AD176,FIND("년",$AD176)-1))</f>
        <v>1</v>
      </c>
      <c r="AL176" s="31" t="str">
        <f ca="1">IF($AI176="고졸",IF($AK176&lt;=11,"초급",IF($AK176&lt;=14,"중급",IF($AK176&lt;=17,"고급",IF($AK176&gt;=18,"특급")))))</f>
        <v>초급</v>
      </c>
      <c r="AM176" s="31" t="str">
        <f>IF(ISNUMBER(SEARCH("산업기사",$AT176)),IF($AK176&gt;=13,"특급",IF($AK176&gt;=10,"고급",IF($AK176&gt;=7,"중급","초급"))),IF(ISNUMBER(SEARCH("기사",$AR176)),IF($AK176&gt;=10,"특급",IF($AK176&gt;=7,"고급",IF($AK176&gt;=4,"중급","초급"))),"미해당"))</f>
        <v>미해당</v>
      </c>
      <c r="AN176" s="27"/>
      <c r="AO176" s="32"/>
      <c r="AP176" s="27" t="s">
        <v>2126</v>
      </c>
      <c r="AQ176" s="32">
        <v>45786</v>
      </c>
      <c r="AR176" s="27"/>
      <c r="AS176" s="27"/>
      <c r="AT176" s="37"/>
      <c r="AU176" s="27"/>
      <c r="AV176" s="38"/>
      <c r="AW176" s="39"/>
      <c r="AX176" s="39"/>
      <c r="AY176" s="40" t="s">
        <v>251</v>
      </c>
      <c r="AZ176" s="41" t="s">
        <v>252</v>
      </c>
      <c r="BA176" s="30" t="s">
        <v>230</v>
      </c>
      <c r="BB176" s="30" t="s">
        <v>2127</v>
      </c>
      <c r="BC176" s="42"/>
      <c r="BD176" s="42"/>
      <c r="BE176" s="43" t="s">
        <v>2128</v>
      </c>
      <c r="BF176" s="42" t="s">
        <v>1688</v>
      </c>
      <c r="BG176" s="42" t="s">
        <v>1239</v>
      </c>
      <c r="BH176" s="35"/>
      <c r="BI176" s="44" t="s">
        <v>2129</v>
      </c>
      <c r="BJ176" s="45" t="str">
        <f>IFERROR(VLOOKUP($BG176,[1]프로젝트현황!Y:Z,2,0),"기타")</f>
        <v>동남권</v>
      </c>
      <c r="BK176" s="46" t="str">
        <f>(IF(BF176="","",BF176&amp;" "))&amp;(IF(BG176="","",BG176&amp;" "))&amp;(IF(BH176="","",BH176&amp;" "))&amp;BI176</f>
        <v>서울특별시 송파구 오금로53길 39-10, 503호 (거여동, 팰리스힐)</v>
      </c>
      <c r="BL176" s="47">
        <v>30</v>
      </c>
      <c r="BM176" s="47">
        <v>30</v>
      </c>
      <c r="BN176" s="48">
        <v>28000000</v>
      </c>
      <c r="BO176" s="48">
        <f>BP176*12</f>
        <v>28000101.599999998</v>
      </c>
      <c r="BP176" s="49">
        <f>SUM(BQ176:BS176)</f>
        <v>2333341.7999999998</v>
      </c>
      <c r="BQ176" s="49">
        <f>ROUNDUP(BN176/12*209/(209+BU176*1.5)/BL176*BM176,-1)-BS176</f>
        <v>1962610</v>
      </c>
      <c r="BR176" s="49">
        <f>ROUNDUP(BN176/12*(BU176*1.5)/(209+BU176*1.5)/BL176*BM176,1)</f>
        <v>170731.80000000002</v>
      </c>
      <c r="BS176" s="49">
        <v>200000</v>
      </c>
      <c r="BT176" s="50">
        <v>209</v>
      </c>
      <c r="BU176" s="49">
        <f>IF($BN176="","",
IFERROR(
    IF($BN176&lt;'[1]시간외시간 기준표'!$B$2,0,
        IF($BN176&gt;LOOKUP(9.9E+307,'[1]시간외시간 기준표'!$B$2:$B$999),
            LOOKUP(9.9E+307,'[1]시간외시간 기준표'!$C$2:$C$999),
            LOOKUP($BN176,'[1]시간외시간 기준표'!$B$2:$B$999,'[1]시간외시간 기준표'!$C$2:$C$999)
        )
    ),0)
)</f>
        <v>11</v>
      </c>
      <c r="BV176" s="50">
        <f>(BQ176+BS176)/209</f>
        <v>10347.416267942584</v>
      </c>
      <c r="BW176" s="51">
        <v>30</v>
      </c>
      <c r="BX176" s="51">
        <v>30</v>
      </c>
      <c r="BY176" s="52">
        <v>28000000</v>
      </c>
      <c r="BZ176" s="52">
        <f>CA176*12</f>
        <v>28000102.799999997</v>
      </c>
      <c r="CA176" s="49">
        <f>SUM(CB176:CD176)</f>
        <v>2333341.9</v>
      </c>
      <c r="CB176" s="49">
        <f>ROUNDUP(BY176/12*209/(209+CF176*1.5)/BW176*BX176,-1)-CD176</f>
        <v>1906560</v>
      </c>
      <c r="CC176" s="49">
        <f>ROUNDUP(BY176/12*(CF176*1.5)/(209+CF176*1.5)/BW176*BX176,1)</f>
        <v>226781.9</v>
      </c>
      <c r="CD176" s="49">
        <v>200000</v>
      </c>
      <c r="CE176" s="50">
        <v>209</v>
      </c>
      <c r="CF176" s="49">
        <f>IF(BY176&lt;26000000,0,IF(BY176&lt;26500000,4,IF(BY176&lt;27000000,7,IF(BY176&lt;27500000,9,IF(BY176&lt;28000000,11,IF(BY176&lt;28500000,15,IF(BY176&lt;29000000,17,IF(BY176&lt;29500000,20,IF(BY176&lt;30000000,23,IF(BY176&lt;30500000,25,IF(BY176&lt;31000000,27,IF(BY176&lt;31500000,29,IF(BY176&lt;32000000,33,IF(BY176&lt;32500000,37,IF(BY176&lt;33000000,39,IF(BY176&lt;33500000,42,IF(BY176&lt;34000000,45,IF(BY176&lt;34500000,48,IF(BY176&lt;35000000,52,52)))))))))))))))))))</f>
        <v>15</v>
      </c>
      <c r="CG176" s="50">
        <f>(CB176+CD176)/209</f>
        <v>10079.234449760766</v>
      </c>
      <c r="CH176" s="66"/>
      <c r="CI176" s="66"/>
      <c r="CJ176" s="67"/>
      <c r="CK176" s="67" t="s">
        <v>2130</v>
      </c>
      <c r="CL176" s="49"/>
      <c r="CM176" s="49"/>
      <c r="CN176" s="49"/>
      <c r="CO176" s="50"/>
      <c r="CP176" s="50"/>
      <c r="CQ176" s="50"/>
      <c r="CR176" s="50"/>
      <c r="CS176" s="52"/>
      <c r="CT176" s="53"/>
      <c r="CU176" s="53"/>
      <c r="CV176" s="53"/>
      <c r="CW176" s="54"/>
      <c r="CX176" s="54"/>
      <c r="CY176" s="54"/>
      <c r="CZ176" s="55"/>
      <c r="DA176" s="55"/>
      <c r="DB176" s="56"/>
      <c r="DC176" s="57"/>
      <c r="DD176" s="58"/>
      <c r="DE176" s="58"/>
      <c r="DF176" s="57"/>
      <c r="DG176" s="59">
        <f>B176</f>
        <v>250701</v>
      </c>
      <c r="DH176" s="58"/>
      <c r="DI176" s="58"/>
      <c r="DJ176" s="60"/>
      <c r="DK176" s="58"/>
      <c r="DL176" s="61"/>
      <c r="DM176" s="24"/>
    </row>
    <row r="177" spans="1:117" ht="15" customHeight="1">
      <c r="A177" s="25">
        <f>ROW()-2</f>
        <v>175</v>
      </c>
      <c r="B177" s="26">
        <v>250702</v>
      </c>
      <c r="C177" s="27" t="s">
        <v>2131</v>
      </c>
      <c r="D177" s="27"/>
      <c r="E177" s="27" t="s">
        <v>613</v>
      </c>
      <c r="F177" s="27" t="s">
        <v>196</v>
      </c>
      <c r="G177" s="27" t="s">
        <v>240</v>
      </c>
      <c r="H177" s="27" t="s">
        <v>260</v>
      </c>
      <c r="I177" s="27" t="s">
        <v>902</v>
      </c>
      <c r="J177" s="27" t="str">
        <f>+VLOOKUP($I177,[1]프로젝트현황!$I:$N,5,0)</f>
        <v>서울시</v>
      </c>
      <c r="K177" s="27" t="str">
        <f>+VLOOKUP($I177,[1]프로젝트현황!$I:$N,6,0)</f>
        <v>종로구</v>
      </c>
      <c r="L177" s="28">
        <v>45839</v>
      </c>
      <c r="M177" s="28">
        <v>45839</v>
      </c>
      <c r="N177" s="28"/>
      <c r="O177" s="29"/>
      <c r="P177" s="30" t="s">
        <v>2132</v>
      </c>
      <c r="Q177" s="27" t="s">
        <v>2133</v>
      </c>
      <c r="R177" s="31" t="str">
        <f>LEFT(Q177,6)</f>
        <v>970218</v>
      </c>
      <c r="S177" s="31" t="str">
        <f>MID($Q177,3,2)</f>
        <v>02</v>
      </c>
      <c r="T177" s="31" t="str">
        <f>IF(OR(MID($Q177,8,1)="1",MID($Q177,8,1)="3"),"남자",IF(OR(MID($Q177,8,1)="2",MID($Q177,8,1)="4"),"여자",""))</f>
        <v>남자</v>
      </c>
      <c r="U177" s="31">
        <f ca="1">YEAR(TODAY())-IF(OR(MID($Q177,8,1)="1",MID($Q177,8,1)="2"),19&amp;LEFT($Q177,2),IF(OR(MID($Q177,8,1)="3",MID($Q177,8,1)="4"),20&amp;LEFT($Q177,2),""))+1</f>
        <v>30</v>
      </c>
      <c r="V177" s="31" t="s">
        <v>200</v>
      </c>
      <c r="W177" s="31" t="s">
        <v>201</v>
      </c>
      <c r="X177" s="27" t="s">
        <v>2134</v>
      </c>
      <c r="Y177" s="27"/>
      <c r="Z177" s="27"/>
      <c r="AA177" s="32"/>
      <c r="AB177" s="31" t="s">
        <v>203</v>
      </c>
      <c r="AC177" s="27"/>
      <c r="AD177" s="33" t="str">
        <f ca="1">QUOTIENT(SUMPRODUCT(LEFT($AE177:$AF177,FIND("년",$AE177:$AF177)-1)*12+MID($AE177:$AF177,FIND("년",$AE177:$AF177)+1,FIND("개월",$AE177:$AF177)-FIND("년",$AE177:$AF177)-1)),12)&amp;"년"&amp;MOD(SUMPRODUCT(LEFT($AE177:$AF177,FIND("년",$AE177:$AF177)-1)*12+MID($AE177:$AF177,FIND("년",$AE177:$AF177)+1,FIND("개월",$AE177:$AF177)-FIND("년",$AE177:$AF177)-1)),12)&amp;"개월"</f>
        <v>3년7개월</v>
      </c>
      <c r="AE177" s="33" t="s">
        <v>2135</v>
      </c>
      <c r="AF177" s="34" t="str">
        <f ca="1">DATEDIF($L177,TODAY(),"y")&amp;"년"&amp;DATEDIF($L177,TODAY(),"ym")&amp;"개월"</f>
        <v>0년7개월</v>
      </c>
      <c r="AG177" s="35" t="s">
        <v>2105</v>
      </c>
      <c r="AH177" s="35" t="s">
        <v>2136</v>
      </c>
      <c r="AI177" s="30" t="s">
        <v>270</v>
      </c>
      <c r="AJ177" s="32">
        <v>44244</v>
      </c>
      <c r="AK177" s="36">
        <f ca="1">VALUE(LEFT($AD177,FIND("년",$AD177)-1))</f>
        <v>3</v>
      </c>
      <c r="AL177" s="31" t="str">
        <f ca="1">IF($AI177="학사",IF($AK177&lt;=8,"초급",IF($AK177&lt;12,"중급",IF($AK177&lt;15,"고급",IF($AK177&gt;=15,"특급")))))</f>
        <v>초급</v>
      </c>
      <c r="AM177" s="31" t="str">
        <f>IF(ISNUMBER(SEARCH("산업기사",$AT177)),IF($AK177&gt;=13,"특급",IF($AK177&gt;=10,"고급",IF($AK177&gt;=7,"중급","초급"))),IF(ISNUMBER(SEARCH("기사",$AR177)),IF($AK177&gt;=10,"특급",IF($AK177&gt;=7,"고급",IF($AK177&gt;=4,"중급","초급"))),"미해당"))</f>
        <v>미해당</v>
      </c>
      <c r="AN177" s="27"/>
      <c r="AO177" s="32"/>
      <c r="AP177" s="27"/>
      <c r="AQ177" s="32"/>
      <c r="AR177" s="27"/>
      <c r="AS177" s="27"/>
      <c r="AT177" s="37"/>
      <c r="AU177" s="27"/>
      <c r="AV177" s="38"/>
      <c r="AW177" s="39"/>
      <c r="AX177" s="39"/>
      <c r="AY177" s="40" t="s">
        <v>251</v>
      </c>
      <c r="AZ177" s="41" t="s">
        <v>252</v>
      </c>
      <c r="BA177" s="30" t="s">
        <v>230</v>
      </c>
      <c r="BB177" s="30" t="s">
        <v>2137</v>
      </c>
      <c r="BC177" s="42"/>
      <c r="BD177" s="42"/>
      <c r="BE177" s="43" t="s">
        <v>2138</v>
      </c>
      <c r="BF177" s="42" t="s">
        <v>1688</v>
      </c>
      <c r="BG177" s="42" t="s">
        <v>212</v>
      </c>
      <c r="BH177" s="35"/>
      <c r="BI177" s="44" t="s">
        <v>2139</v>
      </c>
      <c r="BJ177" s="45" t="str">
        <f>IFERROR(VLOOKUP($BG177,[1]프로젝트현황!Y:Z,2,0),"기타")</f>
        <v>서북권</v>
      </c>
      <c r="BK177" s="46" t="str">
        <f>(IF(BF177="","",BF177&amp;" "))&amp;(IF(BG177="","",BG177&amp;" "))&amp;(IF(BH177="","",BH177&amp;" "))&amp;BI177</f>
        <v>서울특별시 서대문구 홍제내길 38 (홍제동)</v>
      </c>
      <c r="BL177" s="47">
        <v>30</v>
      </c>
      <c r="BM177" s="47">
        <v>30</v>
      </c>
      <c r="BN177" s="48">
        <v>31000000</v>
      </c>
      <c r="BO177" s="48">
        <f>BP177*12</f>
        <v>31000064.400000002</v>
      </c>
      <c r="BP177" s="49">
        <f>SUM(BQ177:BS177)</f>
        <v>2583338.7000000002</v>
      </c>
      <c r="BQ177" s="49">
        <f>ROUNDUP(BN177/12*209/(209+BU177*1.5)/BL177*BM177,-1)-BS177</f>
        <v>1964000</v>
      </c>
      <c r="BR177" s="49">
        <f>ROUNDUP(BN177/12*(BU177*1.5)/(209+BU177*1.5)/BL177*BM177,1)</f>
        <v>419338.69999999995</v>
      </c>
      <c r="BS177" s="49">
        <v>200000</v>
      </c>
      <c r="BT177" s="50">
        <v>209</v>
      </c>
      <c r="BU177" s="49">
        <f>IF($BN177="","",
IFERROR(
    IF($BN177&lt;'[1]시간외시간 기준표'!$B$2,0,
        IF($BN177&gt;LOOKUP(9.9E+307,'[1]시간외시간 기준표'!$B$2:$B$999),
            LOOKUP(9.9E+307,'[1]시간외시간 기준표'!$C$2:$C$999),
            LOOKUP($BN177,'[1]시간외시간 기준표'!$B$2:$B$999,'[1]시간외시간 기준표'!$C$2:$C$999)
        )
    ),0)
)</f>
        <v>27</v>
      </c>
      <c r="BV177" s="50">
        <f>(BQ177+BS177)/209</f>
        <v>10354.066985645934</v>
      </c>
      <c r="BW177" s="51">
        <v>30</v>
      </c>
      <c r="BX177" s="51">
        <v>30</v>
      </c>
      <c r="BY177" s="52">
        <v>31000000</v>
      </c>
      <c r="BZ177" s="52">
        <f>CA177*12</f>
        <v>31000075.200000003</v>
      </c>
      <c r="CA177" s="49">
        <f>SUM(CB177:CD177)</f>
        <v>2583339.6</v>
      </c>
      <c r="CB177" s="49">
        <f>ROUNDUP(BY177/12*209/(209+CF177*1.5)/BW177*BX177,-1)-CD177</f>
        <v>1938290</v>
      </c>
      <c r="CC177" s="49">
        <f>ROUNDUP(BY177/12*(CF177*1.5)/(209+CF177*1.5)/BW177*BX177,1)</f>
        <v>445049.59999999998</v>
      </c>
      <c r="CD177" s="49">
        <v>200000</v>
      </c>
      <c r="CE177" s="50">
        <v>209</v>
      </c>
      <c r="CF177" s="49">
        <f>IF(BY177&lt;26000000,0,IF(BY177&lt;26500000,4,IF(BY177&lt;27000000,7,IF(BY177&lt;27500000,9,IF(BY177&lt;28000000,11,IF(BY177&lt;28500000,15,IF(BY177&lt;29000000,17,IF(BY177&lt;29500000,20,IF(BY177&lt;30000000,23,IF(BY177&lt;30500000,25,IF(BY177&lt;31000000,27,IF(BY177&lt;31500000,29,IF(BY177&lt;32000000,33,IF(BY177&lt;32500000,37,IF(BY177&lt;33000000,39,IF(BY177&lt;33500000,42,IF(BY177&lt;34000000,45,IF(BY177&lt;34500000,48,IF(BY177&lt;35000000,52,52)))))))))))))))))))</f>
        <v>29</v>
      </c>
      <c r="CG177" s="50">
        <f>(CB177+CD177)/209</f>
        <v>10231.052631578947</v>
      </c>
      <c r="CH177" s="66"/>
      <c r="CI177" s="66"/>
      <c r="CJ177" s="67"/>
      <c r="CK177" s="67"/>
      <c r="CL177" s="49"/>
      <c r="CM177" s="49"/>
      <c r="CN177" s="49"/>
      <c r="CO177" s="50"/>
      <c r="CP177" s="50"/>
      <c r="CQ177" s="50"/>
      <c r="CR177" s="50"/>
      <c r="CS177" s="52"/>
      <c r="CT177" s="53"/>
      <c r="CU177" s="53"/>
      <c r="CV177" s="53"/>
      <c r="CW177" s="54"/>
      <c r="CX177" s="54"/>
      <c r="CY177" s="54"/>
      <c r="CZ177" s="55"/>
      <c r="DA177" s="55"/>
      <c r="DB177" s="56"/>
      <c r="DC177" s="57"/>
      <c r="DD177" s="58"/>
      <c r="DE177" s="58"/>
      <c r="DF177" s="57"/>
      <c r="DG177" s="59">
        <f>B177</f>
        <v>250702</v>
      </c>
      <c r="DH177" s="58"/>
      <c r="DI177" s="58"/>
      <c r="DJ177" s="60"/>
      <c r="DK177" s="58"/>
      <c r="DL177" s="61"/>
      <c r="DM177" s="24"/>
    </row>
    <row r="178" spans="1:117" ht="15" customHeight="1">
      <c r="A178" s="25">
        <f>ROW()-2</f>
        <v>176</v>
      </c>
      <c r="B178" s="26">
        <v>250703</v>
      </c>
      <c r="C178" s="27" t="s">
        <v>2140</v>
      </c>
      <c r="D178" s="27" t="s">
        <v>282</v>
      </c>
      <c r="E178" s="27" t="s">
        <v>283</v>
      </c>
      <c r="F178" s="27" t="s">
        <v>196</v>
      </c>
      <c r="G178" s="27" t="s">
        <v>240</v>
      </c>
      <c r="H178" s="27" t="s">
        <v>241</v>
      </c>
      <c r="I178" s="27" t="s">
        <v>1192</v>
      </c>
      <c r="J178" s="27" t="str">
        <f>+VLOOKUP($I178,[1]프로젝트현황!$I:$N,5,0)</f>
        <v>서울시</v>
      </c>
      <c r="K178" s="27" t="str">
        <f>+VLOOKUP($I178,[1]프로젝트현황!$I:$N,6,0)</f>
        <v>중구</v>
      </c>
      <c r="L178" s="28">
        <v>45859</v>
      </c>
      <c r="M178" s="28">
        <v>45859</v>
      </c>
      <c r="N178" s="28"/>
      <c r="O178" s="29"/>
      <c r="P178" s="30" t="s">
        <v>2141</v>
      </c>
      <c r="Q178" s="27" t="s">
        <v>2142</v>
      </c>
      <c r="R178" s="31" t="str">
        <f>LEFT(Q178,6)</f>
        <v>791205</v>
      </c>
      <c r="S178" s="31" t="str">
        <f>MID($Q178,3,2)</f>
        <v>12</v>
      </c>
      <c r="T178" s="31" t="str">
        <f>IF(OR(MID($Q178,8,1)="1",MID($Q178,8,1)="3"),"남자",IF(OR(MID($Q178,8,1)="2",MID($Q178,8,1)="4"),"여자",""))</f>
        <v>남자</v>
      </c>
      <c r="U178" s="31">
        <f ca="1">YEAR(TODAY())-IF(OR(MID($Q178,8,1)="1",MID($Q178,8,1)="2"),19&amp;LEFT($Q178,2),IF(OR(MID($Q178,8,1)="3",MID($Q178,8,1)="4"),20&amp;LEFT($Q178,2),""))+1</f>
        <v>48</v>
      </c>
      <c r="V178" s="31" t="s">
        <v>200</v>
      </c>
      <c r="W178" s="31" t="s">
        <v>201</v>
      </c>
      <c r="X178" s="27" t="s">
        <v>2143</v>
      </c>
      <c r="Y178" s="27"/>
      <c r="Z178" s="27"/>
      <c r="AA178" s="32"/>
      <c r="AB178" s="31" t="s">
        <v>203</v>
      </c>
      <c r="AC178" s="27"/>
      <c r="AD178" s="33" t="str">
        <f ca="1">QUOTIENT(SUMPRODUCT(LEFT($AE178:$AF178,FIND("년",$AE178:$AF178)-1)*12+MID($AE178:$AF178,FIND("년",$AE178:$AF178)+1,FIND("개월",$AE178:$AF178)-FIND("년",$AE178:$AF178)-1)),12)&amp;"년"&amp;MOD(SUMPRODUCT(LEFT($AE178:$AF178,FIND("년",$AE178:$AF178)-1)*12+MID($AE178:$AF178,FIND("년",$AE178:$AF178)+1,FIND("개월",$AE178:$AF178)-FIND("년",$AE178:$AF178)-1)),12)&amp;"개월"</f>
        <v>14년9개월</v>
      </c>
      <c r="AE178" s="33" t="s">
        <v>2144</v>
      </c>
      <c r="AF178" s="34" t="str">
        <f ca="1">DATEDIF($L178,TODAY(),"y")&amp;"년"&amp;DATEDIF($L178,TODAY(),"ym")&amp;"개월"</f>
        <v>0년6개월</v>
      </c>
      <c r="AG178" s="35" t="s">
        <v>2145</v>
      </c>
      <c r="AH178" s="35" t="s">
        <v>1024</v>
      </c>
      <c r="AI178" s="30" t="s">
        <v>205</v>
      </c>
      <c r="AJ178" s="32">
        <v>38401</v>
      </c>
      <c r="AK178" s="36">
        <f ca="1">VALUE(LEFT($AD178,FIND("년",$AD178)-1))</f>
        <v>14</v>
      </c>
      <c r="AL178" s="31" t="str">
        <f ca="1">IF($AI178="전문학사",IF($AK178&lt;=8,"초급",IF($AK178&lt;12,"중급",IF($AK178&lt;15,"고급",IF($AK178&gt;=15,"특급")))))</f>
        <v>고급</v>
      </c>
      <c r="AM178" s="31" t="str">
        <f>IF(ISNUMBER(SEARCH("산업기사",$AT178)),IF($AK178&gt;=13,"특급",IF($AK178&gt;=10,"고급",IF($AK178&gt;=7,"중급","초급"))),IF(ISNUMBER(SEARCH("기사",$AR178)),IF($AK178&gt;=10,"특급",IF($AK178&gt;=7,"고급",IF($AK178&gt;=4,"중급","초급"))),"미해당"))</f>
        <v>미해당</v>
      </c>
      <c r="AN178" s="27"/>
      <c r="AO178" s="32"/>
      <c r="AP178" s="27" t="s">
        <v>2126</v>
      </c>
      <c r="AQ178" s="32">
        <v>42787</v>
      </c>
      <c r="AR178" s="27"/>
      <c r="AS178" s="27"/>
      <c r="AT178" s="37"/>
      <c r="AU178" s="27"/>
      <c r="AV178" s="38"/>
      <c r="AW178" s="39"/>
      <c r="AX178" s="39"/>
      <c r="AY178" s="40" t="s">
        <v>251</v>
      </c>
      <c r="AZ178" s="41" t="s">
        <v>252</v>
      </c>
      <c r="BA178" s="30" t="s">
        <v>230</v>
      </c>
      <c r="BB178" s="30" t="s">
        <v>2146</v>
      </c>
      <c r="BC178" s="42"/>
      <c r="BD178" s="42"/>
      <c r="BE178" s="43" t="s">
        <v>2147</v>
      </c>
      <c r="BF178" s="42" t="s">
        <v>1830</v>
      </c>
      <c r="BG178" s="42" t="s">
        <v>763</v>
      </c>
      <c r="BH178" s="35"/>
      <c r="BI178" s="44" t="s">
        <v>2148</v>
      </c>
      <c r="BJ178" s="45" t="str">
        <f>IFERROR(VLOOKUP($BG178,[1]프로젝트현황!Y:Z,2,0),"기타")</f>
        <v>서남권</v>
      </c>
      <c r="BK178" s="46" t="str">
        <f>(IF(BF178="","",BF178&amp;" "))&amp;(IF(BG178="","",BG178&amp;" "))&amp;(IF(BH178="","",BH178&amp;" "))&amp;BI178</f>
        <v>인천광역시 서구 완정로92번길 28, 104동 1003호 (마전동, 검단아이파크아파트)</v>
      </c>
      <c r="BL178" s="47">
        <v>30</v>
      </c>
      <c r="BM178" s="47">
        <v>30</v>
      </c>
      <c r="BN178" s="48">
        <v>50000000</v>
      </c>
      <c r="BO178" s="48">
        <f>BP178*12</f>
        <v>50000090.400000006</v>
      </c>
      <c r="BP178" s="49">
        <f>SUM(BQ178:BS178)</f>
        <v>4166674.2</v>
      </c>
      <c r="BQ178" s="49">
        <f>ROUNDUP(BN178/12*209/(209+BU178*1.5)/BL178*BM178,-1)-BS178</f>
        <v>2834270</v>
      </c>
      <c r="BR178" s="49">
        <f>ROUNDUP(BN178/12*(BU178*1.5)/(209+BU178*1.5)/BL178*BM178,1)</f>
        <v>1132404.2000000002</v>
      </c>
      <c r="BS178" s="49">
        <v>200000</v>
      </c>
      <c r="BT178" s="50">
        <v>209</v>
      </c>
      <c r="BU178" s="49">
        <f>IF($BN178="","",
IFERROR(
    IF($BN178&lt;'[1]시간외시간 기준표'!$B$2,0,
        IF($BN178&gt;LOOKUP(9.9E+307,'[1]시간외시간 기준표'!$B$2:$B$999),
            LOOKUP(9.9E+307,'[1]시간외시간 기준표'!$C$2:$C$999),
            LOOKUP($BN178,'[1]시간외시간 기준표'!$B$2:$B$999,'[1]시간외시간 기준표'!$C$2:$C$999)
        )
    ),0)
)</f>
        <v>52</v>
      </c>
      <c r="BV178" s="50">
        <f>(BQ178+BS178)/209</f>
        <v>14518.038277511961</v>
      </c>
      <c r="BW178" s="51">
        <v>30</v>
      </c>
      <c r="BX178" s="51">
        <v>30</v>
      </c>
      <c r="BY178" s="52">
        <v>50000000</v>
      </c>
      <c r="BZ178" s="52">
        <f>CA178*12</f>
        <v>50000090.400000006</v>
      </c>
      <c r="CA178" s="49">
        <f>SUM(CB178:CD178)</f>
        <v>4166674.2</v>
      </c>
      <c r="CB178" s="49">
        <f>ROUNDUP(BY178/12*209/(209+CF178*1.5)/BW178*BX178,-1)-CD178</f>
        <v>2834270</v>
      </c>
      <c r="CC178" s="49">
        <f>ROUNDUP(BY178/12*(CF178*1.5)/(209+CF178*1.5)/BW178*BX178,1)</f>
        <v>1132404.2000000002</v>
      </c>
      <c r="CD178" s="49">
        <v>200000</v>
      </c>
      <c r="CE178" s="50">
        <v>209</v>
      </c>
      <c r="CF178" s="49">
        <f>IF(BY178&lt;26000000,0,IF(BY178&lt;26500000,4,IF(BY178&lt;27000000,7,IF(BY178&lt;27500000,9,IF(BY178&lt;28000000,11,IF(BY178&lt;28500000,15,IF(BY178&lt;29000000,17,IF(BY178&lt;29500000,20,IF(BY178&lt;30000000,23,IF(BY178&lt;30500000,25,IF(BY178&lt;31000000,27,IF(BY178&lt;31500000,29,IF(BY178&lt;32000000,33,IF(BY178&lt;32500000,37,IF(BY178&lt;33000000,39,IF(BY178&lt;33500000,42,IF(BY178&lt;34000000,45,IF(BY178&lt;34500000,48,IF(BY178&lt;35000000,52,52)))))))))))))))))))</f>
        <v>52</v>
      </c>
      <c r="CG178" s="50">
        <f>(CB178+CD178)/209</f>
        <v>14518.038277511961</v>
      </c>
      <c r="CH178" s="66"/>
      <c r="CI178" s="66"/>
      <c r="CJ178" s="67"/>
      <c r="CK178" s="67"/>
      <c r="CL178" s="49"/>
      <c r="CM178" s="49"/>
      <c r="CN178" s="49"/>
      <c r="CO178" s="50"/>
      <c r="CP178" s="50"/>
      <c r="CQ178" s="50"/>
      <c r="CR178" s="50"/>
      <c r="CS178" s="52"/>
      <c r="CT178" s="53"/>
      <c r="CU178" s="53"/>
      <c r="CV178" s="53"/>
      <c r="CW178" s="54"/>
      <c r="CX178" s="54"/>
      <c r="CY178" s="54"/>
      <c r="CZ178" s="55"/>
      <c r="DA178" s="55"/>
      <c r="DB178" s="56"/>
      <c r="DC178" s="57"/>
      <c r="DD178" s="58"/>
      <c r="DE178" s="58"/>
      <c r="DF178" s="57"/>
      <c r="DG178" s="59">
        <f>B178</f>
        <v>250703</v>
      </c>
      <c r="DH178" s="58"/>
      <c r="DI178" s="58"/>
      <c r="DJ178" s="60"/>
      <c r="DK178" s="58"/>
      <c r="DL178" s="61"/>
      <c r="DM178" s="24"/>
    </row>
    <row r="179" spans="1:117" ht="15" customHeight="1">
      <c r="A179" s="25">
        <f>ROW()-2</f>
        <v>177</v>
      </c>
      <c r="B179" s="26">
        <v>250704</v>
      </c>
      <c r="C179" s="27" t="s">
        <v>2149</v>
      </c>
      <c r="D179" s="27"/>
      <c r="E179" s="27" t="s">
        <v>239</v>
      </c>
      <c r="F179" s="27" t="s">
        <v>196</v>
      </c>
      <c r="G179" s="27" t="s">
        <v>240</v>
      </c>
      <c r="H179" s="27" t="s">
        <v>260</v>
      </c>
      <c r="I179" s="27" t="s">
        <v>2150</v>
      </c>
      <c r="J179" s="27" t="str">
        <f>+VLOOKUP($I179,[1]프로젝트현황!$I:$N,5,0)</f>
        <v>서울시</v>
      </c>
      <c r="K179" s="27" t="str">
        <f>+VLOOKUP($I179,[1]프로젝트현황!$I:$N,6,0)</f>
        <v>강남구</v>
      </c>
      <c r="L179" s="68">
        <v>45866</v>
      </c>
      <c r="M179" s="68">
        <v>45866</v>
      </c>
      <c r="N179" s="28"/>
      <c r="O179" s="29"/>
      <c r="P179" s="30" t="s">
        <v>2151</v>
      </c>
      <c r="Q179" s="27" t="s">
        <v>2152</v>
      </c>
      <c r="R179" s="31" t="str">
        <f>LEFT(Q179,6)</f>
        <v>971208</v>
      </c>
      <c r="S179" s="31" t="str">
        <f>MID($Q179,3,2)</f>
        <v>12</v>
      </c>
      <c r="T179" s="31" t="str">
        <f>IF(OR(MID($Q179,8,1)="1",MID($Q179,8,1)="3"),"남자",IF(OR(MID($Q179,8,1)="2",MID($Q179,8,1)="4"),"여자",""))</f>
        <v>남자</v>
      </c>
      <c r="U179" s="31">
        <f ca="1">YEAR(TODAY())-IF(OR(MID($Q179,8,1)="1",MID($Q179,8,1)="2"),19&amp;LEFT($Q179,2),IF(OR(MID($Q179,8,1)="3",MID($Q179,8,1)="4"),20&amp;LEFT($Q179,2),""))+1</f>
        <v>30</v>
      </c>
      <c r="V179" s="31" t="s">
        <v>200</v>
      </c>
      <c r="W179" s="31" t="s">
        <v>201</v>
      </c>
      <c r="X179" s="27" t="s">
        <v>2153</v>
      </c>
      <c r="Y179" s="27"/>
      <c r="Z179" s="27"/>
      <c r="AA179" s="32"/>
      <c r="AB179" s="31" t="s">
        <v>203</v>
      </c>
      <c r="AC179" s="27"/>
      <c r="AD179" s="33" t="str">
        <f ca="1">QUOTIENT(SUMPRODUCT(LEFT($AE179:$AF179,FIND("년",$AE179:$AF179)-1)*12+MID($AE179:$AF179,FIND("년",$AE179:$AF179)+1,FIND("개월",$AE179:$AF179)-FIND("년",$AE179:$AF179)-1)),12)&amp;"년"&amp;MOD(SUMPRODUCT(LEFT($AE179:$AF179,FIND("년",$AE179:$AF179)-1)*12+MID($AE179:$AF179,FIND("년",$AE179:$AF179)+1,FIND("개월",$AE179:$AF179)-FIND("년",$AE179:$AF179)-1)),12)&amp;"개월"</f>
        <v>4년0개월</v>
      </c>
      <c r="AE179" s="33" t="s">
        <v>600</v>
      </c>
      <c r="AF179" s="34" t="str">
        <f ca="1">DATEDIF($L179,TODAY(),"y")&amp;"년"&amp;DATEDIF($L179,TODAY(),"ym")&amp;"개월"</f>
        <v>0년6개월</v>
      </c>
      <c r="AG179" s="35" t="s">
        <v>1505</v>
      </c>
      <c r="AH179" s="35" t="s">
        <v>2154</v>
      </c>
      <c r="AI179" s="30" t="s">
        <v>205</v>
      </c>
      <c r="AJ179" s="32">
        <v>44245</v>
      </c>
      <c r="AK179" s="36">
        <f ca="1">VALUE(LEFT($AD179,FIND("년",$AD179)-1))</f>
        <v>4</v>
      </c>
      <c r="AL179" s="31" t="str">
        <f ca="1">IF($AI179="전문학사",IF($AK179&lt;=8,"초급",IF($AK179&lt;12,"중급",IF($AK179&lt;15,"고급",IF($AK179&gt;=15,"특급")))))</f>
        <v>초급</v>
      </c>
      <c r="AM179" s="31" t="str">
        <f>IF(ISNUMBER(SEARCH("산업기사",$AT179)),IF($AK179&gt;=13,"특급",IF($AK179&gt;=10,"고급",IF($AK179&gt;=7,"중급","초급"))),IF(ISNUMBER(SEARCH("기사",$AR179)),IF($AK179&gt;=10,"특급",IF($AK179&gt;=7,"고급",IF($AK179&gt;=4,"중급","초급"))),"미해당"))</f>
        <v>미해당</v>
      </c>
      <c r="AN179" s="27"/>
      <c r="AO179" s="32"/>
      <c r="AP179" s="27"/>
      <c r="AQ179" s="32"/>
      <c r="AR179" s="27"/>
      <c r="AS179" s="27"/>
      <c r="AT179" s="37"/>
      <c r="AU179" s="27"/>
      <c r="AV179" s="38"/>
      <c r="AW179" s="39"/>
      <c r="AX179" s="39"/>
      <c r="AY179" s="40" t="s">
        <v>251</v>
      </c>
      <c r="AZ179" s="41" t="s">
        <v>252</v>
      </c>
      <c r="BA179" s="30" t="s">
        <v>230</v>
      </c>
      <c r="BB179" s="30" t="s">
        <v>2155</v>
      </c>
      <c r="BC179" s="42"/>
      <c r="BD179" s="42"/>
      <c r="BE179" s="43" t="s">
        <v>2156</v>
      </c>
      <c r="BF179" s="42" t="s">
        <v>1688</v>
      </c>
      <c r="BG179" s="42" t="s">
        <v>875</v>
      </c>
      <c r="BH179" s="35"/>
      <c r="BI179" s="44" t="s">
        <v>2157</v>
      </c>
      <c r="BJ179" s="45" t="str">
        <f>IFERROR(VLOOKUP($BG179,[1]프로젝트현황!Y:Z,2,0),"기타")</f>
        <v>서남권</v>
      </c>
      <c r="BK179" s="46" t="str">
        <f>(IF(BF179="","",BF179&amp;" "))&amp;(IF(BG179="","",BG179&amp;" "))&amp;(IF(BH179="","",BH179&amp;" "))&amp;BI179</f>
        <v>서울특별시 양천구 오목로 190, 501호 (신정동, 천우비지움오피스텔)</v>
      </c>
      <c r="BL179" s="47">
        <v>30</v>
      </c>
      <c r="BM179" s="47">
        <v>30</v>
      </c>
      <c r="BN179" s="48">
        <v>30000000</v>
      </c>
      <c r="BO179" s="48">
        <f>BP179*12</f>
        <v>30000109.200000003</v>
      </c>
      <c r="BP179" s="49">
        <f>SUM(BQ179:BS179)</f>
        <v>2500009.1</v>
      </c>
      <c r="BQ179" s="49">
        <f>ROUNDUP(BN179/12*209/(209+BU179*1.5)/BL179*BM179,-1)-BS179</f>
        <v>1959100</v>
      </c>
      <c r="BR179" s="49">
        <f>ROUNDUP(BN179/12*(BU179*1.5)/(209+BU179*1.5)/BL179*BM179,1)</f>
        <v>340909.1</v>
      </c>
      <c r="BS179" s="49">
        <v>200000</v>
      </c>
      <c r="BT179" s="50">
        <v>209</v>
      </c>
      <c r="BU179" s="49">
        <f>IF($BN179="","",
IFERROR(
    IF($BN179&lt;'[1]시간외시간 기준표'!$B$2,0,
        IF($BN179&gt;LOOKUP(9.9E+307,'[1]시간외시간 기준표'!$B$2:$B$999),
            LOOKUP(9.9E+307,'[1]시간외시간 기준표'!$C$2:$C$999),
            LOOKUP($BN179,'[1]시간외시간 기준표'!$B$2:$B$999,'[1]시간외시간 기준표'!$C$2:$C$999)
        )
    ),0)
)</f>
        <v>22</v>
      </c>
      <c r="BV179" s="50">
        <f>(BQ179+BS179)/209</f>
        <v>10330.622009569379</v>
      </c>
      <c r="BW179" s="51">
        <v>30</v>
      </c>
      <c r="BX179" s="51">
        <v>30</v>
      </c>
      <c r="BY179" s="52">
        <v>30000000</v>
      </c>
      <c r="BZ179" s="52">
        <f>CA179*12</f>
        <v>30000055.200000003</v>
      </c>
      <c r="CA179" s="49">
        <f>SUM(CB179:CD179)</f>
        <v>2500004.6</v>
      </c>
      <c r="CB179" s="49">
        <f>ROUNDUP(BY179/12*209/(209+CF179*1.5)/BW179*BX179,-1)-CD179</f>
        <v>1919680</v>
      </c>
      <c r="CC179" s="49">
        <f>ROUNDUP(BY179/12*(CF179*1.5)/(209+CF179*1.5)/BW179*BX179,1)</f>
        <v>380324.6</v>
      </c>
      <c r="CD179" s="49">
        <v>200000</v>
      </c>
      <c r="CE179" s="50">
        <v>209</v>
      </c>
      <c r="CF179" s="49">
        <f>IF(BY179&lt;26000000,0,IF(BY179&lt;26500000,4,IF(BY179&lt;27000000,7,IF(BY179&lt;27500000,9,IF(BY179&lt;28000000,11,IF(BY179&lt;28500000,15,IF(BY179&lt;29000000,17,IF(BY179&lt;29500000,20,IF(BY179&lt;30000000,23,IF(BY179&lt;30500000,25,IF(BY179&lt;31000000,27,IF(BY179&lt;31500000,29,IF(BY179&lt;32000000,33,IF(BY179&lt;32500000,37,IF(BY179&lt;33000000,39,IF(BY179&lt;33500000,42,IF(BY179&lt;34000000,45,IF(BY179&lt;34500000,48,IF(BY179&lt;35000000,52,52)))))))))))))))))))</f>
        <v>25</v>
      </c>
      <c r="CG179" s="50">
        <f>(CB179+CD179)/209</f>
        <v>10142.009569377991</v>
      </c>
      <c r="CH179" s="66"/>
      <c r="CI179" s="66"/>
      <c r="CJ179" s="67"/>
      <c r="CK179" s="67"/>
      <c r="CL179" s="49"/>
      <c r="CM179" s="49"/>
      <c r="CN179" s="49"/>
      <c r="CO179" s="50"/>
      <c r="CP179" s="50"/>
      <c r="CQ179" s="50"/>
      <c r="CR179" s="50"/>
      <c r="CS179" s="52"/>
      <c r="CT179" s="53"/>
      <c r="CU179" s="53"/>
      <c r="CV179" s="53"/>
      <c r="CW179" s="54"/>
      <c r="CX179" s="54"/>
      <c r="CY179" s="54"/>
      <c r="CZ179" s="55"/>
      <c r="DA179" s="55"/>
      <c r="DB179" s="56"/>
      <c r="DC179" s="57"/>
      <c r="DD179" s="58"/>
      <c r="DE179" s="58"/>
      <c r="DF179" s="57"/>
      <c r="DG179" s="59">
        <f>B179</f>
        <v>250704</v>
      </c>
      <c r="DH179" s="58"/>
      <c r="DI179" s="58"/>
      <c r="DJ179" s="60"/>
      <c r="DK179" s="58"/>
      <c r="DL179" s="61"/>
      <c r="DM179" s="63"/>
    </row>
    <row r="180" spans="1:117" ht="15" customHeight="1">
      <c r="A180" s="25">
        <f>ROW()-2</f>
        <v>178</v>
      </c>
      <c r="B180" s="26">
        <v>250801</v>
      </c>
      <c r="C180" s="27" t="s">
        <v>2158</v>
      </c>
      <c r="D180" s="27"/>
      <c r="E180" s="27" t="s">
        <v>239</v>
      </c>
      <c r="F180" s="27" t="s">
        <v>196</v>
      </c>
      <c r="G180" s="27" t="s">
        <v>240</v>
      </c>
      <c r="H180" s="27" t="s">
        <v>260</v>
      </c>
      <c r="I180" s="27" t="s">
        <v>2159</v>
      </c>
      <c r="J180" s="27" t="str">
        <f>+VLOOKUP($I180,[1]프로젝트현황!$I:$N,5,0)</f>
        <v>서울시</v>
      </c>
      <c r="K180" s="27" t="str">
        <f>+VLOOKUP($I180,[1]프로젝트현황!$I:$N,6,0)</f>
        <v>마포구</v>
      </c>
      <c r="L180" s="68">
        <v>45870</v>
      </c>
      <c r="M180" s="68">
        <v>45870</v>
      </c>
      <c r="N180" s="28"/>
      <c r="O180" s="29"/>
      <c r="P180" s="30" t="s">
        <v>2160</v>
      </c>
      <c r="Q180" s="27" t="s">
        <v>2161</v>
      </c>
      <c r="R180" s="31" t="str">
        <f>LEFT(Q180,6)</f>
        <v>960627</v>
      </c>
      <c r="S180" s="31" t="str">
        <f>MID($Q180,3,2)</f>
        <v>06</v>
      </c>
      <c r="T180" s="31" t="str">
        <f>IF(OR(MID($Q180,8,1)="1",MID($Q180,8,1)="3"),"남자",IF(OR(MID($Q180,8,1)="2",MID($Q180,8,1)="4"),"여자",""))</f>
        <v>남자</v>
      </c>
      <c r="U180" s="31">
        <f ca="1">YEAR(TODAY())-IF(OR(MID($Q180,8,1)="1",MID($Q180,8,1)="2"),19&amp;LEFT($Q180,2),IF(OR(MID($Q180,8,1)="3",MID($Q180,8,1)="4"),20&amp;LEFT($Q180,2),""))+1</f>
        <v>31</v>
      </c>
      <c r="V180" s="31" t="s">
        <v>200</v>
      </c>
      <c r="W180" s="31" t="s">
        <v>201</v>
      </c>
      <c r="X180" s="27" t="s">
        <v>2162</v>
      </c>
      <c r="Y180" s="27"/>
      <c r="Z180" s="27"/>
      <c r="AA180" s="32"/>
      <c r="AB180" s="31" t="s">
        <v>203</v>
      </c>
      <c r="AC180" s="27"/>
      <c r="AD180" s="33" t="str">
        <f ca="1">QUOTIENT(SUMPRODUCT(LEFT($AE180:$AF180,FIND("년",$AE180:$AF180)-1)*12+MID($AE180:$AF180,FIND("년",$AE180:$AF180)+1,FIND("개월",$AE180:$AF180)-FIND("년",$AE180:$AF180)-1)),12)&amp;"년"&amp;MOD(SUMPRODUCT(LEFT($AE180:$AF180,FIND("년",$AE180:$AF180)-1)*12+MID($AE180:$AF180,FIND("년",$AE180:$AF180)+1,FIND("개월",$AE180:$AF180)-FIND("년",$AE180:$AF180)-1)),12)&amp;"개월"</f>
        <v>5년1개월</v>
      </c>
      <c r="AE180" s="33" t="s">
        <v>2163</v>
      </c>
      <c r="AF180" s="34" t="str">
        <f ca="1">DATEDIF($L180,TODAY(),"y")&amp;"년"&amp;DATEDIF($L180,TODAY(),"ym")&amp;"개월"</f>
        <v>0년6개월</v>
      </c>
      <c r="AG180" s="35" t="s">
        <v>1884</v>
      </c>
      <c r="AH180" s="35" t="s">
        <v>321</v>
      </c>
      <c r="AI180" s="30" t="s">
        <v>205</v>
      </c>
      <c r="AJ180" s="32">
        <v>43872</v>
      </c>
      <c r="AK180" s="36">
        <f ca="1">VALUE(LEFT($AD180,FIND("년",$AD180)-1))</f>
        <v>5</v>
      </c>
      <c r="AL180" s="31" t="str">
        <f ca="1">IF($AI180="전문학사",IF($AK180&lt;=8,"초급",IF($AK180&lt;12,"중급",IF($AK180&lt;15,"고급",IF($AK180&gt;=15,"특급")))))</f>
        <v>초급</v>
      </c>
      <c r="AM180" s="31" t="str">
        <f>IF(ISNUMBER(SEARCH("산업기사",$AT180)),IF($AK180&gt;=13,"특급",IF($AK180&gt;=10,"고급",IF($AK180&gt;=7,"중급","초급"))),IF(ISNUMBER(SEARCH("기사",$AR180)),IF($AK180&gt;=10,"특급",IF($AK180&gt;=7,"고급",IF($AK180&gt;=4,"중급","초급"))),"미해당"))</f>
        <v>미해당</v>
      </c>
      <c r="AN180" s="27"/>
      <c r="AO180" s="32"/>
      <c r="AP180" s="27" t="s">
        <v>2126</v>
      </c>
      <c r="AQ180" s="32">
        <v>45771</v>
      </c>
      <c r="AR180" s="27"/>
      <c r="AS180" s="27"/>
      <c r="AT180" s="37"/>
      <c r="AU180" s="27"/>
      <c r="AV180" s="38"/>
      <c r="AW180" s="39"/>
      <c r="AX180" s="39"/>
      <c r="AY180" s="40" t="s">
        <v>251</v>
      </c>
      <c r="AZ180" s="41" t="s">
        <v>252</v>
      </c>
      <c r="BA180" s="30" t="s">
        <v>230</v>
      </c>
      <c r="BB180" s="30" t="s">
        <v>2164</v>
      </c>
      <c r="BC180" s="42"/>
      <c r="BD180" s="42"/>
      <c r="BE180" s="43" t="s">
        <v>2165</v>
      </c>
      <c r="BF180" s="42" t="s">
        <v>234</v>
      </c>
      <c r="BG180" s="42" t="s">
        <v>2166</v>
      </c>
      <c r="BH180" s="35"/>
      <c r="BI180" s="44" t="s">
        <v>2167</v>
      </c>
      <c r="BJ180" s="45" t="str">
        <f>IFERROR(VLOOKUP($BG180,[1]프로젝트현황!Y:Z,2,0),"기타")</f>
        <v>동북권</v>
      </c>
      <c r="BK180" s="46" t="str">
        <f>(IF(BF180="","",BF180&amp;" "))&amp;(IF(BG180="","",BG180&amp;" "))&amp;(IF(BH180="","",BH180&amp;" "))&amp;BI180</f>
        <v>경기도 양주시 회천중앙로 220, 204동 2604호 (덕계동, 회천대광로제비앙더센트럴)</v>
      </c>
      <c r="BL180" s="47">
        <v>30</v>
      </c>
      <c r="BM180" s="47">
        <v>30</v>
      </c>
      <c r="BN180" s="48">
        <v>35000000</v>
      </c>
      <c r="BO180" s="48">
        <f>BP180*12</f>
        <v>35000035.200000003</v>
      </c>
      <c r="BP180" s="49">
        <f>SUM(BQ180:BS180)</f>
        <v>2916669.6</v>
      </c>
      <c r="BQ180" s="49">
        <f>ROUNDUP(BN180/12*209/(209+BU180*1.5)/BL180*BM180,-1)-BS180</f>
        <v>1957820</v>
      </c>
      <c r="BR180" s="49">
        <f>ROUNDUP(BN180/12*(BU180*1.5)/(209+BU180*1.5)/BL180*BM180,1)</f>
        <v>758849.6</v>
      </c>
      <c r="BS180" s="49">
        <v>200000</v>
      </c>
      <c r="BT180" s="50">
        <v>209</v>
      </c>
      <c r="BU180" s="49">
        <f>IF($BN180="","",
IFERROR(
    IF($BN180&lt;'[1]시간외시간 기준표'!$B$2,0,
        IF($BN180&gt;LOOKUP(9.9E+307,'[1]시간외시간 기준표'!$B$2:$B$999),
            LOOKUP(9.9E+307,'[1]시간외시간 기준표'!$C$2:$C$999),
            LOOKUP($BN180,'[1]시간외시간 기준표'!$B$2:$B$999,'[1]시간외시간 기준표'!$C$2:$C$999)
        )
    ),0)
)</f>
        <v>49</v>
      </c>
      <c r="BV180" s="50">
        <f>(BQ180+BS180)/209</f>
        <v>10324.497607655503</v>
      </c>
      <c r="BW180" s="51">
        <v>30</v>
      </c>
      <c r="BX180" s="51">
        <v>30</v>
      </c>
      <c r="BY180" s="52">
        <v>35000000</v>
      </c>
      <c r="BZ180" s="52">
        <f>CA180*12</f>
        <v>35000076</v>
      </c>
      <c r="CA180" s="49">
        <f>SUM(CB180:CD180)</f>
        <v>2916673</v>
      </c>
      <c r="CB180" s="49">
        <f>ROUNDUP(BY180/12*209/(209+CF180*1.5)/BW180*BX180,-1)-CD180</f>
        <v>1923990</v>
      </c>
      <c r="CC180" s="49">
        <f>ROUNDUP(BY180/12*(CF180*1.5)/(209+CF180*1.5)/BW180*BX180,1)</f>
        <v>792683</v>
      </c>
      <c r="CD180" s="49">
        <v>200000</v>
      </c>
      <c r="CE180" s="50">
        <v>209</v>
      </c>
      <c r="CF180" s="49">
        <f>IF(BY180&lt;26000000,0,IF(BY180&lt;26500000,4,IF(BY180&lt;27000000,7,IF(BY180&lt;27500000,9,IF(BY180&lt;28000000,11,IF(BY180&lt;28500000,15,IF(BY180&lt;29000000,17,IF(BY180&lt;29500000,20,IF(BY180&lt;30000000,23,IF(BY180&lt;30500000,25,IF(BY180&lt;31000000,27,IF(BY180&lt;31500000,29,IF(BY180&lt;32000000,33,IF(BY180&lt;32500000,37,IF(BY180&lt;33000000,39,IF(BY180&lt;33500000,42,IF(BY180&lt;34000000,45,IF(BY180&lt;34500000,48,IF(BY180&lt;35000000,52,52)))))))))))))))))))</f>
        <v>52</v>
      </c>
      <c r="CG180" s="50">
        <f>(CB180+CD180)/209</f>
        <v>10162.631578947368</v>
      </c>
      <c r="CH180" s="66"/>
      <c r="CI180" s="66"/>
      <c r="CJ180" s="67"/>
      <c r="CK180" s="67"/>
      <c r="CL180" s="49"/>
      <c r="CM180" s="49"/>
      <c r="CN180" s="49"/>
      <c r="CO180" s="50"/>
      <c r="CP180" s="50"/>
      <c r="CQ180" s="50"/>
      <c r="CR180" s="50"/>
      <c r="CS180" s="52"/>
      <c r="CT180" s="53"/>
      <c r="CU180" s="53"/>
      <c r="CV180" s="53"/>
      <c r="CW180" s="54"/>
      <c r="CX180" s="54"/>
      <c r="CY180" s="54"/>
      <c r="CZ180" s="55"/>
      <c r="DA180" s="55"/>
      <c r="DB180" s="56"/>
      <c r="DC180" s="57"/>
      <c r="DD180" s="58"/>
      <c r="DE180" s="58"/>
      <c r="DF180" s="57"/>
      <c r="DG180" s="59">
        <f>B180</f>
        <v>250801</v>
      </c>
      <c r="DH180" s="58"/>
      <c r="DI180" s="58"/>
      <c r="DJ180" s="60"/>
      <c r="DK180" s="58"/>
      <c r="DL180" s="61"/>
      <c r="DM180" s="24"/>
    </row>
    <row r="181" spans="1:117" ht="15" customHeight="1">
      <c r="A181" s="25">
        <f>ROW()-2</f>
        <v>179</v>
      </c>
      <c r="B181" s="26">
        <v>250802</v>
      </c>
      <c r="C181" s="27" t="s">
        <v>2168</v>
      </c>
      <c r="D181" s="27"/>
      <c r="E181" s="27" t="s">
        <v>239</v>
      </c>
      <c r="F181" s="27" t="s">
        <v>196</v>
      </c>
      <c r="G181" s="27" t="s">
        <v>240</v>
      </c>
      <c r="H181" s="27" t="s">
        <v>260</v>
      </c>
      <c r="I181" s="27" t="s">
        <v>2159</v>
      </c>
      <c r="J181" s="27" t="str">
        <f>+VLOOKUP($I181,[1]프로젝트현황!$I:$N,5,0)</f>
        <v>서울시</v>
      </c>
      <c r="K181" s="27" t="str">
        <f>+VLOOKUP($I181,[1]프로젝트현황!$I:$N,6,0)</f>
        <v>마포구</v>
      </c>
      <c r="L181" s="68">
        <v>45870</v>
      </c>
      <c r="M181" s="68">
        <v>45870</v>
      </c>
      <c r="N181" s="28"/>
      <c r="O181" s="29"/>
      <c r="P181" s="30" t="s">
        <v>2169</v>
      </c>
      <c r="Q181" s="27" t="s">
        <v>2170</v>
      </c>
      <c r="R181" s="31" t="str">
        <f>LEFT(Q181,6)</f>
        <v>001122</v>
      </c>
      <c r="S181" s="31" t="str">
        <f>MID($Q181,3,2)</f>
        <v>11</v>
      </c>
      <c r="T181" s="31" t="str">
        <f>IF(OR(MID($Q181,8,1)="1",MID($Q181,8,1)="3"),"남자",IF(OR(MID($Q181,8,1)="2",MID($Q181,8,1)="4"),"여자",""))</f>
        <v>여자</v>
      </c>
      <c r="U181" s="31">
        <f ca="1">YEAR(TODAY())-IF(OR(MID($Q181,8,1)="1",MID($Q181,8,1)="2"),19&amp;LEFT($Q181,2),IF(OR(MID($Q181,8,1)="3",MID($Q181,8,1)="4"),20&amp;LEFT($Q181,2),""))+1</f>
        <v>27</v>
      </c>
      <c r="V181" s="31" t="s">
        <v>200</v>
      </c>
      <c r="W181" s="31" t="s">
        <v>201</v>
      </c>
      <c r="X181" s="27" t="s">
        <v>2171</v>
      </c>
      <c r="Y181" s="27"/>
      <c r="Z181" s="27"/>
      <c r="AA181" s="32"/>
      <c r="AB181" s="31" t="s">
        <v>203</v>
      </c>
      <c r="AC181" s="27"/>
      <c r="AD181" s="33" t="str">
        <f ca="1">QUOTIENT(SUMPRODUCT(LEFT($AE181:$AF181,FIND("년",$AE181:$AF181)-1)*12+MID($AE181:$AF181,FIND("년",$AE181:$AF181)+1,FIND("개월",$AE181:$AF181)-FIND("년",$AE181:$AF181)-1)),12)&amp;"년"&amp;MOD(SUMPRODUCT(LEFT($AE181:$AF181,FIND("년",$AE181:$AF181)-1)*12+MID($AE181:$AF181,FIND("년",$AE181:$AF181)+1,FIND("개월",$AE181:$AF181)-FIND("년",$AE181:$AF181)-1)),12)&amp;"개월"</f>
        <v>3년9개월</v>
      </c>
      <c r="AE181" s="33" t="s">
        <v>1786</v>
      </c>
      <c r="AF181" s="34" t="str">
        <f ca="1">DATEDIF($L181,TODAY(),"y")&amp;"년"&amp;DATEDIF($L181,TODAY(),"ym")&amp;"개월"</f>
        <v>0년6개월</v>
      </c>
      <c r="AG181" s="35" t="s">
        <v>472</v>
      </c>
      <c r="AH181" s="35" t="s">
        <v>2172</v>
      </c>
      <c r="AI181" s="30" t="s">
        <v>205</v>
      </c>
      <c r="AJ181" s="32">
        <v>44232</v>
      </c>
      <c r="AK181" s="36">
        <f ca="1">VALUE(LEFT($AD181,FIND("년",$AD181)-1))</f>
        <v>3</v>
      </c>
      <c r="AL181" s="31" t="str">
        <f ca="1">IF($AI181="전문학사",IF($AK181&lt;=8,"초급",IF($AK181&lt;12,"중급",IF($AK181&lt;15,"고급",IF($AK181&gt;=15,"특급")))))</f>
        <v>초급</v>
      </c>
      <c r="AM181" s="31" t="str">
        <f>IF(ISNUMBER(SEARCH("산업기사",$AT181)),IF($AK181&gt;=13,"특급",IF($AK181&gt;=10,"고급",IF($AK181&gt;=7,"중급","초급"))),IF(ISNUMBER(SEARCH("기사",$AR181)),IF($AK181&gt;=10,"특급",IF($AK181&gt;=7,"고급",IF($AK181&gt;=4,"중급","초급"))),"미해당"))</f>
        <v>미해당</v>
      </c>
      <c r="AN181" s="27"/>
      <c r="AO181" s="32"/>
      <c r="AP181" s="27"/>
      <c r="AQ181" s="32"/>
      <c r="AR181" s="27"/>
      <c r="AS181" s="27"/>
      <c r="AT181" s="37"/>
      <c r="AU181" s="27"/>
      <c r="AV181" s="38"/>
      <c r="AW181" s="39"/>
      <c r="AX181" s="39"/>
      <c r="AY181" s="40" t="s">
        <v>251</v>
      </c>
      <c r="AZ181" s="41" t="s">
        <v>252</v>
      </c>
      <c r="BA181" s="30" t="s">
        <v>230</v>
      </c>
      <c r="BB181" s="30" t="s">
        <v>2173</v>
      </c>
      <c r="BC181" s="42"/>
      <c r="BD181" s="42"/>
      <c r="BE181" s="43" t="s">
        <v>2174</v>
      </c>
      <c r="BF181" s="42" t="s">
        <v>234</v>
      </c>
      <c r="BG181" s="42" t="s">
        <v>1362</v>
      </c>
      <c r="BH181" s="35"/>
      <c r="BI181" s="44" t="s">
        <v>2175</v>
      </c>
      <c r="BJ181" s="45" t="str">
        <f>IFERROR(VLOOKUP($BG181,[1]프로젝트현황!Y:Z,2,0),"기타")</f>
        <v>서남권</v>
      </c>
      <c r="BK181" s="46" t="str">
        <f>(IF(BF181="","",BF181&amp;" "))&amp;(IF(BG181="","",BG181&amp;" "))&amp;(IF(BH181="","",BH181&amp;" "))&amp;BI181</f>
        <v>경기도 시흥시 은행로 208, 203동 601호 (대야동, 우성아파트)</v>
      </c>
      <c r="BL181" s="47">
        <v>30</v>
      </c>
      <c r="BM181" s="47">
        <v>30</v>
      </c>
      <c r="BN181" s="48">
        <v>34000000</v>
      </c>
      <c r="BO181" s="48">
        <f>BP181*12</f>
        <v>34000082.400000006</v>
      </c>
      <c r="BP181" s="49">
        <f>SUM(BQ181:BS181)</f>
        <v>2833340.2</v>
      </c>
      <c r="BQ181" s="49">
        <f>ROUNDUP(BN181/12*209/(209+BU181*1.5)/BL181*BM181,-1)-BS181</f>
        <v>1965150</v>
      </c>
      <c r="BR181" s="49">
        <f>ROUNDUP(BN181/12*(BU181*1.5)/(209+BU181*1.5)/BL181*BM181,1)</f>
        <v>668190.19999999995</v>
      </c>
      <c r="BS181" s="49">
        <v>200000</v>
      </c>
      <c r="BT181" s="50">
        <v>209</v>
      </c>
      <c r="BU181" s="49">
        <f>IF($BN181="","",
IFERROR(
    IF($BN181&lt;'[1]시간외시간 기준표'!$B$2,0,
        IF($BN181&gt;LOOKUP(9.9E+307,'[1]시간외시간 기준표'!$B$2:$B$999),
            LOOKUP(9.9E+307,'[1]시간외시간 기준표'!$C$2:$C$999),
            LOOKUP($BN181,'[1]시간외시간 기준표'!$B$2:$B$999,'[1]시간외시간 기준표'!$C$2:$C$999)
        )
    ),0)
)</f>
        <v>43</v>
      </c>
      <c r="BV181" s="50">
        <f>(BQ181+BS181)/209</f>
        <v>10359.56937799043</v>
      </c>
      <c r="BW181" s="51">
        <v>30</v>
      </c>
      <c r="BX181" s="51">
        <v>30</v>
      </c>
      <c r="BY181" s="52">
        <v>34000000</v>
      </c>
      <c r="BZ181" s="52">
        <f>CA181*12</f>
        <v>34000064.400000006</v>
      </c>
      <c r="CA181" s="49">
        <f>SUM(CB181:CD181)</f>
        <v>2833338.7</v>
      </c>
      <c r="CB181" s="49">
        <f>ROUNDUP(BY181/12*209/(209+CF181*1.5)/BW181*BX181,-1)-CD181</f>
        <v>1907360</v>
      </c>
      <c r="CC181" s="49">
        <f>ROUNDUP(BY181/12*(CF181*1.5)/(209+CF181*1.5)/BW181*BX181,1)</f>
        <v>725978.7</v>
      </c>
      <c r="CD181" s="49">
        <v>200000</v>
      </c>
      <c r="CE181" s="50">
        <v>209</v>
      </c>
      <c r="CF181" s="49">
        <f>IF(BY181&lt;26000000,0,IF(BY181&lt;26500000,4,IF(BY181&lt;27000000,7,IF(BY181&lt;27500000,9,IF(BY181&lt;28000000,11,IF(BY181&lt;28500000,15,IF(BY181&lt;29000000,17,IF(BY181&lt;29500000,20,IF(BY181&lt;30000000,23,IF(BY181&lt;30500000,25,IF(BY181&lt;31000000,27,IF(BY181&lt;31500000,29,IF(BY181&lt;32000000,33,IF(BY181&lt;32500000,37,IF(BY181&lt;33000000,39,IF(BY181&lt;33500000,42,IF(BY181&lt;34000000,45,IF(BY181&lt;34500000,48,IF(BY181&lt;35000000,52,52)))))))))))))))))))</f>
        <v>48</v>
      </c>
      <c r="CG181" s="50">
        <f>(CB181+CD181)/209</f>
        <v>10083.062200956938</v>
      </c>
      <c r="CH181" s="66"/>
      <c r="CI181" s="66"/>
      <c r="CJ181" s="67"/>
      <c r="CK181" s="67"/>
      <c r="CL181" s="49"/>
      <c r="CM181" s="49"/>
      <c r="CN181" s="49"/>
      <c r="CO181" s="50"/>
      <c r="CP181" s="50"/>
      <c r="CQ181" s="50"/>
      <c r="CR181" s="50"/>
      <c r="CS181" s="52"/>
      <c r="CT181" s="53"/>
      <c r="CU181" s="53"/>
      <c r="CV181" s="53"/>
      <c r="CW181" s="54"/>
      <c r="CX181" s="54"/>
      <c r="CY181" s="54"/>
      <c r="CZ181" s="55"/>
      <c r="DA181" s="55"/>
      <c r="DB181" s="56"/>
      <c r="DC181" s="57"/>
      <c r="DD181" s="58"/>
      <c r="DE181" s="58"/>
      <c r="DF181" s="57"/>
      <c r="DG181" s="59">
        <f>B181</f>
        <v>250802</v>
      </c>
      <c r="DH181" s="58"/>
      <c r="DI181" s="58"/>
      <c r="DJ181" s="60"/>
      <c r="DK181" s="58"/>
      <c r="DL181" s="61"/>
      <c r="DM181" s="24"/>
    </row>
    <row r="182" spans="1:117" ht="15" customHeight="1">
      <c r="A182" s="25">
        <f>ROW()-2</f>
        <v>180</v>
      </c>
      <c r="B182" s="26">
        <v>250803</v>
      </c>
      <c r="C182" s="27" t="s">
        <v>2176</v>
      </c>
      <c r="D182" s="27"/>
      <c r="E182" s="27" t="s">
        <v>613</v>
      </c>
      <c r="F182" s="27" t="s">
        <v>196</v>
      </c>
      <c r="G182" s="27" t="s">
        <v>240</v>
      </c>
      <c r="H182" s="27" t="s">
        <v>260</v>
      </c>
      <c r="I182" s="27" t="s">
        <v>902</v>
      </c>
      <c r="J182" s="27" t="str">
        <f>+VLOOKUP($I182,[1]프로젝트현황!$I:$N,5,0)</f>
        <v>서울시</v>
      </c>
      <c r="K182" s="27" t="str">
        <f>+VLOOKUP($I182,[1]프로젝트현황!$I:$N,6,0)</f>
        <v>종로구</v>
      </c>
      <c r="L182" s="68">
        <v>45873</v>
      </c>
      <c r="M182" s="68">
        <v>45873</v>
      </c>
      <c r="N182" s="28"/>
      <c r="O182" s="29"/>
      <c r="P182" s="30" t="s">
        <v>2177</v>
      </c>
      <c r="Q182" s="27" t="s">
        <v>2178</v>
      </c>
      <c r="R182" s="31" t="str">
        <f>LEFT(Q182,6)</f>
        <v>970118</v>
      </c>
      <c r="S182" s="31" t="str">
        <f>MID($Q182,3,2)</f>
        <v>01</v>
      </c>
      <c r="T182" s="31" t="str">
        <f>IF(OR(MID($Q182,8,1)="1",MID($Q182,8,1)="3"),"남자",IF(OR(MID($Q182,8,1)="2",MID($Q182,8,1)="4"),"여자",""))</f>
        <v>여자</v>
      </c>
      <c r="U182" s="31">
        <f ca="1">YEAR(TODAY())-IF(OR(MID($Q182,8,1)="1",MID($Q182,8,1)="2"),19&amp;LEFT($Q182,2),IF(OR(MID($Q182,8,1)="3",MID($Q182,8,1)="4"),20&amp;LEFT($Q182,2),""))+1</f>
        <v>30</v>
      </c>
      <c r="V182" s="31" t="s">
        <v>200</v>
      </c>
      <c r="W182" s="31" t="s">
        <v>201</v>
      </c>
      <c r="X182" s="27" t="s">
        <v>2179</v>
      </c>
      <c r="Y182" s="27"/>
      <c r="Z182" s="27"/>
      <c r="AA182" s="32"/>
      <c r="AB182" s="31" t="s">
        <v>203</v>
      </c>
      <c r="AC182" s="27"/>
      <c r="AD182" s="33" t="str">
        <f ca="1">QUOTIENT(SUMPRODUCT(LEFT($AE182:$AF182,FIND("년",$AE182:$AF182)-1)*12+MID($AE182:$AF182,FIND("년",$AE182:$AF182)+1,FIND("개월",$AE182:$AF182)-FIND("년",$AE182:$AF182)-1)),12)&amp;"년"&amp;MOD(SUMPRODUCT(LEFT($AE182:$AF182,FIND("년",$AE182:$AF182)-1)*12+MID($AE182:$AF182,FIND("년",$AE182:$AF182)+1,FIND("개월",$AE182:$AF182)-FIND("년",$AE182:$AF182)-1)),12)&amp;"개월"</f>
        <v>1년7개월</v>
      </c>
      <c r="AE182" s="33" t="s">
        <v>1504</v>
      </c>
      <c r="AF182" s="34" t="str">
        <f ca="1">DATEDIF($L182,TODAY(),"y")&amp;"년"&amp;DATEDIF($L182,TODAY(),"ym")&amp;"개월"</f>
        <v>0년6개월</v>
      </c>
      <c r="AG182" s="35" t="s">
        <v>2180</v>
      </c>
      <c r="AH182" s="35" t="s">
        <v>2181</v>
      </c>
      <c r="AI182" s="30" t="s">
        <v>205</v>
      </c>
      <c r="AJ182" s="32">
        <v>43139</v>
      </c>
      <c r="AK182" s="36">
        <f ca="1">VALUE(LEFT($AD182,FIND("년",$AD182)-1))</f>
        <v>1</v>
      </c>
      <c r="AL182" s="31" t="str">
        <f ca="1">IF($AI182="전문학사",IF($AK182&lt;=8,"초급",IF($AK182&lt;12,"중급",IF($AK182&lt;15,"고급",IF($AK182&gt;=15,"특급")))))</f>
        <v>초급</v>
      </c>
      <c r="AM182" s="31" t="str">
        <f>IF(ISNUMBER(SEARCH("산업기사",$AT182)),IF($AK182&gt;=13,"특급",IF($AK182&gt;=10,"고급",IF($AK182&gt;=7,"중급","초급"))),IF(ISNUMBER(SEARCH("기사",$AR182)),IF($AK182&gt;=10,"특급",IF($AK182&gt;=7,"고급",IF($AK182&gt;=4,"중급","초급"))),"미해당"))</f>
        <v>미해당</v>
      </c>
      <c r="AN182" s="27"/>
      <c r="AO182" s="32"/>
      <c r="AP182" s="27"/>
      <c r="AQ182" s="32"/>
      <c r="AR182" s="27"/>
      <c r="AS182" s="27"/>
      <c r="AT182" s="37"/>
      <c r="AU182" s="27"/>
      <c r="AV182" s="38"/>
      <c r="AW182" s="39"/>
      <c r="AX182" s="39"/>
      <c r="AY182" s="40" t="s">
        <v>251</v>
      </c>
      <c r="AZ182" s="41" t="s">
        <v>252</v>
      </c>
      <c r="BA182" s="30" t="s">
        <v>230</v>
      </c>
      <c r="BB182" s="30" t="s">
        <v>2182</v>
      </c>
      <c r="BC182" s="42" t="s">
        <v>275</v>
      </c>
      <c r="BD182" s="42" t="s">
        <v>2183</v>
      </c>
      <c r="BE182" s="43" t="s">
        <v>2184</v>
      </c>
      <c r="BF182" s="42" t="s">
        <v>1688</v>
      </c>
      <c r="BG182" s="42" t="s">
        <v>371</v>
      </c>
      <c r="BH182" s="35"/>
      <c r="BI182" s="44" t="s">
        <v>2185</v>
      </c>
      <c r="BJ182" s="45" t="str">
        <f>IFERROR(VLOOKUP($BG182,[1]프로젝트현황!Y:Z,2,0),"기타")</f>
        <v>서남권</v>
      </c>
      <c r="BK182" s="46" t="str">
        <f>(IF(BF182="","",BF182&amp;" "))&amp;(IF(BG182="","",BG182&amp;" "))&amp;(IF(BH182="","",BH182&amp;" "))&amp;BI182</f>
        <v>서울특별시 관악구 조원로 109, 404호 (신림동)</v>
      </c>
      <c r="BL182" s="47">
        <v>30</v>
      </c>
      <c r="BM182" s="47">
        <v>30</v>
      </c>
      <c r="BN182" s="48">
        <v>29000000</v>
      </c>
      <c r="BO182" s="48">
        <f>BP182*12</f>
        <v>29000005.200000003</v>
      </c>
      <c r="BP182" s="49">
        <f>SUM(BQ182:BS182)</f>
        <v>2416667.1</v>
      </c>
      <c r="BQ182" s="49">
        <f>ROUNDUP(BN182/12*209/(209+BU182*1.5)/BL182*BM182,-1)-BS182</f>
        <v>1967740</v>
      </c>
      <c r="BR182" s="49">
        <f>ROUNDUP(BN182/12*(BU182*1.5)/(209+BU182*1.5)/BL182*BM182,1)</f>
        <v>248927.1</v>
      </c>
      <c r="BS182" s="49">
        <v>200000</v>
      </c>
      <c r="BT182" s="50">
        <v>209</v>
      </c>
      <c r="BU182" s="49">
        <f>IF($BN182="","",
IFERROR(
    IF($BN182&lt;'[1]시간외시간 기준표'!$B$2,0,
        IF($BN182&gt;LOOKUP(9.9E+307,'[1]시간외시간 기준표'!$B$2:$B$999),
            LOOKUP(9.9E+307,'[1]시간외시간 기준표'!$C$2:$C$999),
            LOOKUP($BN182,'[1]시간외시간 기준표'!$B$2:$B$999,'[1]시간외시간 기준표'!$C$2:$C$999)
        )
    ),0)
)</f>
        <v>16</v>
      </c>
      <c r="BV182" s="50">
        <f>(BQ182+BS182)/209</f>
        <v>10371.961722488039</v>
      </c>
      <c r="BW182" s="51">
        <v>30</v>
      </c>
      <c r="BX182" s="51">
        <v>30</v>
      </c>
      <c r="BY182" s="52">
        <v>29000000</v>
      </c>
      <c r="BZ182" s="52">
        <f>CA182*12</f>
        <v>29000007.599999998</v>
      </c>
      <c r="CA182" s="49">
        <f>SUM(CB182:CD182)</f>
        <v>2416667.2999999998</v>
      </c>
      <c r="CB182" s="49">
        <f>ROUNDUP(BY182/12*209/(209+CF182*1.5)/BW182*BX182,-1)-CD182</f>
        <v>1913320</v>
      </c>
      <c r="CC182" s="49">
        <f>ROUNDUP(BY182/12*(CF182*1.5)/(209+CF182*1.5)/BW182*BX182,1)</f>
        <v>303347.3</v>
      </c>
      <c r="CD182" s="49">
        <v>200000</v>
      </c>
      <c r="CE182" s="50">
        <v>209</v>
      </c>
      <c r="CF182" s="49">
        <f>IF(BY182&lt;26000000,0,IF(BY182&lt;26500000,4,IF(BY182&lt;27000000,7,IF(BY182&lt;27500000,9,IF(BY182&lt;28000000,11,IF(BY182&lt;28500000,15,IF(BY182&lt;29000000,17,IF(BY182&lt;29500000,20,IF(BY182&lt;30000000,23,IF(BY182&lt;30500000,25,IF(BY182&lt;31000000,27,IF(BY182&lt;31500000,29,IF(BY182&lt;32000000,33,IF(BY182&lt;32500000,37,IF(BY182&lt;33000000,39,IF(BY182&lt;33500000,42,IF(BY182&lt;34000000,45,IF(BY182&lt;34500000,48,IF(BY182&lt;35000000,52,52)))))))))))))))))))</f>
        <v>20</v>
      </c>
      <c r="CG182" s="50">
        <f>(CB182+CD182)/209</f>
        <v>10111.578947368422</v>
      </c>
      <c r="CH182" s="66"/>
      <c r="CI182" s="66"/>
      <c r="CJ182" s="67"/>
      <c r="CK182" s="67"/>
      <c r="CL182" s="49"/>
      <c r="CM182" s="49"/>
      <c r="CN182" s="49"/>
      <c r="CO182" s="50"/>
      <c r="CP182" s="50"/>
      <c r="CQ182" s="50"/>
      <c r="CR182" s="50"/>
      <c r="CS182" s="52"/>
      <c r="CT182" s="53"/>
      <c r="CU182" s="53"/>
      <c r="CV182" s="53"/>
      <c r="CW182" s="54"/>
      <c r="CX182" s="54"/>
      <c r="CY182" s="54"/>
      <c r="CZ182" s="55"/>
      <c r="DA182" s="55"/>
      <c r="DB182" s="56"/>
      <c r="DC182" s="57"/>
      <c r="DD182" s="58"/>
      <c r="DE182" s="58"/>
      <c r="DF182" s="57"/>
      <c r="DG182" s="59">
        <f>B182</f>
        <v>250803</v>
      </c>
      <c r="DH182" s="58"/>
      <c r="DI182" s="58"/>
      <c r="DJ182" s="60"/>
      <c r="DK182" s="58"/>
      <c r="DL182" s="61"/>
      <c r="DM182" s="24"/>
    </row>
    <row r="183" spans="1:117" ht="15" customHeight="1">
      <c r="A183" s="25">
        <f>ROW()-2</f>
        <v>181</v>
      </c>
      <c r="B183" s="26">
        <v>250805</v>
      </c>
      <c r="C183" s="27" t="s">
        <v>2186</v>
      </c>
      <c r="D183" s="27"/>
      <c r="E183" s="27" t="s">
        <v>613</v>
      </c>
      <c r="F183" s="27" t="s">
        <v>196</v>
      </c>
      <c r="G183" s="27" t="s">
        <v>240</v>
      </c>
      <c r="H183" s="27" t="s">
        <v>241</v>
      </c>
      <c r="I183" s="27" t="s">
        <v>653</v>
      </c>
      <c r="J183" s="27" t="str">
        <f>+VLOOKUP($I183,[1]프로젝트현황!$I:$N,5,0)</f>
        <v>서울시</v>
      </c>
      <c r="K183" s="27" t="str">
        <f>+VLOOKUP($I183,[1]프로젝트현황!$I:$N,6,0)</f>
        <v>강남구</v>
      </c>
      <c r="L183" s="68">
        <v>45873</v>
      </c>
      <c r="M183" s="68">
        <v>45873</v>
      </c>
      <c r="N183" s="28"/>
      <c r="O183" s="29"/>
      <c r="P183" s="30" t="s">
        <v>2187</v>
      </c>
      <c r="Q183" s="27" t="s">
        <v>2188</v>
      </c>
      <c r="R183" s="31" t="str">
        <f>LEFT(Q183,6)</f>
        <v>860712</v>
      </c>
      <c r="S183" s="31" t="str">
        <f>MID($Q183,3,2)</f>
        <v>07</v>
      </c>
      <c r="T183" s="31" t="str">
        <f>IF(OR(MID($Q183,8,1)="1",MID($Q183,8,1)="3"),"남자",IF(OR(MID($Q183,8,1)="2",MID($Q183,8,1)="4"),"여자",""))</f>
        <v>남자</v>
      </c>
      <c r="U183" s="31">
        <f ca="1">YEAR(TODAY())-IF(OR(MID($Q183,8,1)="1",MID($Q183,8,1)="2"),19&amp;LEFT($Q183,2),IF(OR(MID($Q183,8,1)="3",MID($Q183,8,1)="4"),20&amp;LEFT($Q183,2),""))+1</f>
        <v>41</v>
      </c>
      <c r="V183" s="31" t="s">
        <v>200</v>
      </c>
      <c r="W183" s="31" t="s">
        <v>201</v>
      </c>
      <c r="X183" s="27" t="s">
        <v>2189</v>
      </c>
      <c r="Y183" s="27"/>
      <c r="Z183" s="27"/>
      <c r="AA183" s="32"/>
      <c r="AB183" s="31" t="s">
        <v>203</v>
      </c>
      <c r="AC183" s="27"/>
      <c r="AD183" s="33" t="str">
        <f ca="1">QUOTIENT(SUMPRODUCT(LEFT($AE183:$AF183,FIND("년",$AE183:$AF183)-1)*12+MID($AE183:$AF183,FIND("년",$AE183:$AF183)+1,FIND("개월",$AE183:$AF183)-FIND("년",$AE183:$AF183)-1)),12)&amp;"년"&amp;MOD(SUMPRODUCT(LEFT($AE183:$AF183,FIND("년",$AE183:$AF183)-1)*12+MID($AE183:$AF183,FIND("년",$AE183:$AF183)+1,FIND("개월",$AE183:$AF183)-FIND("년",$AE183:$AF183)-1)),12)&amp;"개월"</f>
        <v>0년6개월</v>
      </c>
      <c r="AE183" s="33" t="s">
        <v>543</v>
      </c>
      <c r="AF183" s="34" t="str">
        <f ca="1">DATEDIF($L183,TODAY(),"y")&amp;"년"&amp;DATEDIF($L183,TODAY(),"ym")&amp;"개월"</f>
        <v>0년6개월</v>
      </c>
      <c r="AG183" s="35" t="s">
        <v>2075</v>
      </c>
      <c r="AH183" s="35" t="s">
        <v>588</v>
      </c>
      <c r="AI183" s="30" t="s">
        <v>270</v>
      </c>
      <c r="AJ183" s="32">
        <v>41325</v>
      </c>
      <c r="AK183" s="36">
        <f ca="1">VALUE(LEFT($AD183,FIND("년",$AD183)-1))</f>
        <v>0</v>
      </c>
      <c r="AL183" s="31" t="str">
        <f ca="1">IF($AI183="학사",IF($AK183&lt;=8,"초급",IF($AK183&lt;12,"중급",IF($AK183&lt;15,"고급",IF($AK183&gt;=15,"특급")))))</f>
        <v>초급</v>
      </c>
      <c r="AM183" s="31" t="str">
        <f>IF(ISNUMBER(SEARCH("산업기사",$AT183)),IF($AK183&gt;=13,"특급",IF($AK183&gt;=10,"고급",IF($AK183&gt;=7,"중급","초급"))),IF(ISNUMBER(SEARCH("기사",$AR183)),IF($AK183&gt;=10,"특급",IF($AK183&gt;=7,"고급",IF($AK183&gt;=4,"중급","초급"))),"미해당"))</f>
        <v>미해당</v>
      </c>
      <c r="AN183" s="27"/>
      <c r="AO183" s="32"/>
      <c r="AP183" s="27"/>
      <c r="AQ183" s="32"/>
      <c r="AR183" s="27"/>
      <c r="AS183" s="27"/>
      <c r="AT183" s="37"/>
      <c r="AU183" s="27"/>
      <c r="AV183" s="38"/>
      <c r="AW183" s="39"/>
      <c r="AX183" s="39"/>
      <c r="AY183" s="40" t="s">
        <v>251</v>
      </c>
      <c r="AZ183" s="41" t="s">
        <v>252</v>
      </c>
      <c r="BA183" s="30" t="s">
        <v>230</v>
      </c>
      <c r="BB183" s="30" t="s">
        <v>2190</v>
      </c>
      <c r="BC183" s="42" t="s">
        <v>208</v>
      </c>
      <c r="BD183" s="42" t="s">
        <v>2191</v>
      </c>
      <c r="BE183" s="43" t="s">
        <v>2192</v>
      </c>
      <c r="BF183" s="42" t="s">
        <v>234</v>
      </c>
      <c r="BG183" s="42" t="s">
        <v>328</v>
      </c>
      <c r="BH183" s="35" t="s">
        <v>1154</v>
      </c>
      <c r="BI183" s="44" t="s">
        <v>2193</v>
      </c>
      <c r="BJ183" s="45" t="str">
        <f>IFERROR(VLOOKUP($BG183,[1]프로젝트현황!Y:Z,2,0),"기타")</f>
        <v>동남권</v>
      </c>
      <c r="BK183" s="46" t="str">
        <f>(IF(BF183="","",BF183&amp;" "))&amp;(IF(BG183="","",BG183&amp;" "))&amp;(IF(BH183="","",BH183&amp;" "))&amp;BI183</f>
        <v>경기도 성남시 분당구 동판교로 91, 416동 1003호 (백현동, 백현마을)</v>
      </c>
      <c r="BL183" s="47">
        <v>30</v>
      </c>
      <c r="BM183" s="47">
        <v>30</v>
      </c>
      <c r="BN183" s="48">
        <v>30000000</v>
      </c>
      <c r="BO183" s="48">
        <f>BP183*12</f>
        <v>30000109.200000003</v>
      </c>
      <c r="BP183" s="49">
        <f>SUM(BQ183:BS183)</f>
        <v>2500009.1</v>
      </c>
      <c r="BQ183" s="49">
        <f>ROUNDUP(BN183/12*209/(209+BU183*1.5)/BL183*BM183,-1)-BS183</f>
        <v>1959100</v>
      </c>
      <c r="BR183" s="49">
        <f>ROUNDUP(BN183/12*(BU183*1.5)/(209+BU183*1.5)/BL183*BM183,1)</f>
        <v>340909.1</v>
      </c>
      <c r="BS183" s="49">
        <v>200000</v>
      </c>
      <c r="BT183" s="50">
        <v>209</v>
      </c>
      <c r="BU183" s="49">
        <f>IF($BN183="","",
IFERROR(
    IF($BN183&lt;'[1]시간외시간 기준표'!$B$2,0,
        IF($BN183&gt;LOOKUP(9.9E+307,'[1]시간외시간 기준표'!$B$2:$B$999),
            LOOKUP(9.9E+307,'[1]시간외시간 기준표'!$C$2:$C$999),
            LOOKUP($BN183,'[1]시간외시간 기준표'!$B$2:$B$999,'[1]시간외시간 기준표'!$C$2:$C$999)
        )
    ),0)
)</f>
        <v>22</v>
      </c>
      <c r="BV183" s="50">
        <f>(BQ183+BS183)/209</f>
        <v>10330.622009569379</v>
      </c>
      <c r="BW183" s="51">
        <v>30</v>
      </c>
      <c r="BX183" s="51">
        <v>30</v>
      </c>
      <c r="BY183" s="52">
        <v>30000000</v>
      </c>
      <c r="BZ183" s="52">
        <f>CA183*12</f>
        <v>30000055.200000003</v>
      </c>
      <c r="CA183" s="49">
        <f>SUM(CB183:CD183)</f>
        <v>2500004.6</v>
      </c>
      <c r="CB183" s="49">
        <f>ROUNDUP(BY183/12*209/(209+CF183*1.5)/BW183*BX183,-1)-CD183</f>
        <v>1919680</v>
      </c>
      <c r="CC183" s="49">
        <f>ROUNDUP(BY183/12*(CF183*1.5)/(209+CF183*1.5)/BW183*BX183,1)</f>
        <v>380324.6</v>
      </c>
      <c r="CD183" s="49">
        <v>200000</v>
      </c>
      <c r="CE183" s="50">
        <v>209</v>
      </c>
      <c r="CF183" s="49">
        <f>IF(BY183&lt;26000000,0,IF(BY183&lt;26500000,4,IF(BY183&lt;27000000,7,IF(BY183&lt;27500000,9,IF(BY183&lt;28000000,11,IF(BY183&lt;28500000,15,IF(BY183&lt;29000000,17,IF(BY183&lt;29500000,20,IF(BY183&lt;30000000,23,IF(BY183&lt;30500000,25,IF(BY183&lt;31000000,27,IF(BY183&lt;31500000,29,IF(BY183&lt;32000000,33,IF(BY183&lt;32500000,37,IF(BY183&lt;33000000,39,IF(BY183&lt;33500000,42,IF(BY183&lt;34000000,45,IF(BY183&lt;34500000,48,IF(BY183&lt;35000000,52,52)))))))))))))))))))</f>
        <v>25</v>
      </c>
      <c r="CG183" s="50">
        <f>(CB183+CD183)/209</f>
        <v>10142.009569377991</v>
      </c>
      <c r="CH183" s="66"/>
      <c r="CI183" s="66"/>
      <c r="CJ183" s="67"/>
      <c r="CK183" s="67"/>
      <c r="CL183" s="49"/>
      <c r="CM183" s="49"/>
      <c r="CN183" s="49"/>
      <c r="CO183" s="50"/>
      <c r="CP183" s="50"/>
      <c r="CQ183" s="50"/>
      <c r="CR183" s="50"/>
      <c r="CS183" s="52"/>
      <c r="CT183" s="53"/>
      <c r="CU183" s="53"/>
      <c r="CV183" s="53"/>
      <c r="CW183" s="54"/>
      <c r="CX183" s="54"/>
      <c r="CY183" s="54"/>
      <c r="CZ183" s="55"/>
      <c r="DA183" s="55"/>
      <c r="DB183" s="56"/>
      <c r="DC183" s="57"/>
      <c r="DD183" s="58"/>
      <c r="DE183" s="58"/>
      <c r="DF183" s="57"/>
      <c r="DG183" s="59">
        <f>B183</f>
        <v>250805</v>
      </c>
      <c r="DH183" s="58"/>
      <c r="DI183" s="58"/>
      <c r="DJ183" s="60"/>
      <c r="DK183" s="58"/>
      <c r="DL183" s="61"/>
      <c r="DM183" s="24"/>
    </row>
    <row r="184" spans="1:117" s="63" customFormat="1" ht="15" customHeight="1">
      <c r="A184" s="25">
        <f>ROW()-2</f>
        <v>182</v>
      </c>
      <c r="B184" s="26">
        <v>250806</v>
      </c>
      <c r="C184" s="27" t="s">
        <v>2194</v>
      </c>
      <c r="D184" s="27"/>
      <c r="E184" s="27" t="s">
        <v>239</v>
      </c>
      <c r="F184" s="27" t="s">
        <v>196</v>
      </c>
      <c r="G184" s="27" t="s">
        <v>240</v>
      </c>
      <c r="H184" s="27" t="s">
        <v>260</v>
      </c>
      <c r="I184" s="27" t="s">
        <v>565</v>
      </c>
      <c r="J184" s="27" t="str">
        <f>+VLOOKUP($I184,[1]프로젝트현황!$I:$N,5,0)</f>
        <v>서울시</v>
      </c>
      <c r="K184" s="27" t="str">
        <f>+VLOOKUP($I184,[1]프로젝트현황!$I:$N,6,0)</f>
        <v>구로구</v>
      </c>
      <c r="L184" s="28">
        <v>45880</v>
      </c>
      <c r="M184" s="28">
        <v>45880</v>
      </c>
      <c r="N184" s="28"/>
      <c r="O184" s="29"/>
      <c r="P184" s="30" t="s">
        <v>2195</v>
      </c>
      <c r="Q184" s="27" t="s">
        <v>2196</v>
      </c>
      <c r="R184" s="31" t="str">
        <f>LEFT(Q184,6)</f>
        <v>910924</v>
      </c>
      <c r="S184" s="31" t="str">
        <f>MID($Q184,3,2)</f>
        <v>09</v>
      </c>
      <c r="T184" s="31" t="str">
        <f>IF(OR(MID($Q184,8,1)="1",MID($Q184,8,1)="3"),"남자",IF(OR(MID($Q184,8,1)="2",MID($Q184,8,1)="4"),"여자",""))</f>
        <v>여자</v>
      </c>
      <c r="U184" s="31">
        <f ca="1">YEAR(TODAY())-IF(OR(MID($Q184,8,1)="1",MID($Q184,8,1)="2"),19&amp;LEFT($Q184,2),IF(OR(MID($Q184,8,1)="3",MID($Q184,8,1)="4"),20&amp;LEFT($Q184,2),""))+1</f>
        <v>36</v>
      </c>
      <c r="V184" s="31" t="s">
        <v>200</v>
      </c>
      <c r="W184" s="31" t="s">
        <v>201</v>
      </c>
      <c r="X184" s="27" t="s">
        <v>2197</v>
      </c>
      <c r="Y184" s="27"/>
      <c r="Z184" s="27"/>
      <c r="AA184" s="32"/>
      <c r="AB184" s="31" t="s">
        <v>203</v>
      </c>
      <c r="AC184" s="27"/>
      <c r="AD184" s="33" t="str">
        <f ca="1">QUOTIENT(SUMPRODUCT(LEFT($AE184:$AF184,FIND("년",$AE184:$AF184)-1)*12+MID($AE184:$AF184,FIND("년",$AE184:$AF184)+1,FIND("개월",$AE184:$AF184)-FIND("년",$AE184:$AF184)-1)),12)&amp;"년"&amp;MOD(SUMPRODUCT(LEFT($AE184:$AF184,FIND("년",$AE184:$AF184)-1)*12+MID($AE184:$AF184,FIND("년",$AE184:$AF184)+1,FIND("개월",$AE184:$AF184)-FIND("년",$AE184:$AF184)-1)),12)&amp;"개월"</f>
        <v>4년6개월</v>
      </c>
      <c r="AE184" s="33" t="s">
        <v>1223</v>
      </c>
      <c r="AF184" s="34" t="str">
        <f ca="1">DATEDIF($L184,TODAY(),"y")&amp;"년"&amp;DATEDIF($L184,TODAY(),"ym")&amp;"개월"</f>
        <v>0년6개월</v>
      </c>
      <c r="AG184" s="35" t="s">
        <v>1807</v>
      </c>
      <c r="AH184" s="35" t="s">
        <v>2198</v>
      </c>
      <c r="AI184" s="30" t="s">
        <v>270</v>
      </c>
      <c r="AJ184" s="32">
        <v>42241</v>
      </c>
      <c r="AK184" s="36">
        <f ca="1">VALUE(LEFT($AD184,FIND("년",$AD184)-1))</f>
        <v>4</v>
      </c>
      <c r="AL184" s="31" t="str">
        <f ca="1">IF($AI184="학사",IF($AK184&lt;=8,"초급",IF($AK184&lt;12,"중급",IF($AK184&lt;15,"고급",IF($AK184&gt;=15,"특급")))))</f>
        <v>초급</v>
      </c>
      <c r="AM184" s="31" t="str">
        <f>IF(ISNUMBER(SEARCH("산업기사",$AT184)),IF($AK184&gt;=13,"특급",IF($AK184&gt;=10,"고급",IF($AK184&gt;=7,"중급","초급"))),IF(ISNUMBER(SEARCH("기사",$AR184)),IF($AK184&gt;=10,"특급",IF($AK184&gt;=7,"고급",IF($AK184&gt;=4,"중급","초급"))),"미해당"))</f>
        <v>미해당</v>
      </c>
      <c r="AN184" s="27"/>
      <c r="AO184" s="32"/>
      <c r="AP184" s="27"/>
      <c r="AQ184" s="32"/>
      <c r="AR184" s="27"/>
      <c r="AS184" s="27"/>
      <c r="AT184" s="37"/>
      <c r="AU184" s="27"/>
      <c r="AV184" s="38"/>
      <c r="AW184" s="39"/>
      <c r="AX184" s="39"/>
      <c r="AY184" s="40" t="s">
        <v>251</v>
      </c>
      <c r="AZ184" s="41" t="s">
        <v>252</v>
      </c>
      <c r="BA184" s="30" t="s">
        <v>230</v>
      </c>
      <c r="BB184" s="30" t="s">
        <v>2199</v>
      </c>
      <c r="BC184" s="42" t="s">
        <v>1810</v>
      </c>
      <c r="BD184" s="42" t="s">
        <v>2200</v>
      </c>
      <c r="BE184" s="43" t="s">
        <v>2201</v>
      </c>
      <c r="BF184" s="42" t="s">
        <v>1688</v>
      </c>
      <c r="BG184" s="42" t="s">
        <v>371</v>
      </c>
      <c r="BH184" s="35"/>
      <c r="BI184" s="44" t="s">
        <v>2202</v>
      </c>
      <c r="BJ184" s="45" t="str">
        <f>IFERROR(VLOOKUP($BG184,[1]프로젝트현황!Y:Z,2,0),"기타")</f>
        <v>서남권</v>
      </c>
      <c r="BK184" s="46" t="str">
        <f>(IF(BF184="","",BF184&amp;" "))&amp;(IF(BG184="","",BG184&amp;" "))&amp;(IF(BH184="","",BH184&amp;" "))&amp;BI184</f>
        <v>서울특별시 관악구 호암로 417, 106동 602호 (신림동, 국제산장아파트)</v>
      </c>
      <c r="BL184" s="47">
        <v>30</v>
      </c>
      <c r="BM184" s="47">
        <v>30</v>
      </c>
      <c r="BN184" s="48">
        <v>33000000</v>
      </c>
      <c r="BO184" s="48">
        <f>BP184*12</f>
        <v>33000069.599999998</v>
      </c>
      <c r="BP184" s="49">
        <f>SUM(BQ184:BS184)</f>
        <v>2750005.8</v>
      </c>
      <c r="BQ184" s="49">
        <f>ROUNDUP(BN184/12*209/(209+BU184*1.5)/BL184*BM184,-1)-BS184</f>
        <v>1960720</v>
      </c>
      <c r="BR184" s="49">
        <f>ROUNDUP(BN184/12*(BU184*1.5)/(209+BU184*1.5)/BL184*BM184,1)</f>
        <v>589285.79999999993</v>
      </c>
      <c r="BS184" s="49">
        <v>200000</v>
      </c>
      <c r="BT184" s="50">
        <v>209</v>
      </c>
      <c r="BU184" s="49">
        <f>IF($BN184="","",
IFERROR(
    IF($BN184&lt;'[1]시간외시간 기준표'!$B$2,0,
        IF($BN184&gt;LOOKUP(9.9E+307,'[1]시간외시간 기준표'!$B$2:$B$999),
            LOOKUP(9.9E+307,'[1]시간외시간 기준표'!$C$2:$C$999),
            LOOKUP($BN184,'[1]시간외시간 기준표'!$B$2:$B$999,'[1]시간외시간 기준표'!$C$2:$C$999)
        )
    ),0)
)</f>
        <v>38</v>
      </c>
      <c r="BV184" s="50">
        <f>(BQ184+BS184)/209</f>
        <v>10338.373205741627</v>
      </c>
      <c r="BW184" s="51">
        <v>30</v>
      </c>
      <c r="BX184" s="51">
        <v>30</v>
      </c>
      <c r="BY184" s="52">
        <v>33000000</v>
      </c>
      <c r="BZ184" s="52">
        <f>CA184*12</f>
        <v>33000103.200000003</v>
      </c>
      <c r="CA184" s="49">
        <f>SUM(CB184:CD184)</f>
        <v>2750008.6</v>
      </c>
      <c r="CB184" s="49">
        <f>ROUNDUP(BY184/12*209/(209+CF184*1.5)/BW184*BX184,-1)-CD184</f>
        <v>1913060</v>
      </c>
      <c r="CC184" s="49">
        <f>ROUNDUP(BY184/12*(CF184*1.5)/(209+CF184*1.5)/BW184*BX184,1)</f>
        <v>636948.6</v>
      </c>
      <c r="CD184" s="49">
        <v>200000</v>
      </c>
      <c r="CE184" s="50">
        <v>209</v>
      </c>
      <c r="CF184" s="49">
        <f>IF(BY184&lt;26000000,0,IF(BY184&lt;26500000,4,IF(BY184&lt;27000000,7,IF(BY184&lt;27500000,9,IF(BY184&lt;28000000,11,IF(BY184&lt;28500000,15,IF(BY184&lt;29000000,17,IF(BY184&lt;29500000,20,IF(BY184&lt;30000000,23,IF(BY184&lt;30500000,25,IF(BY184&lt;31000000,27,IF(BY184&lt;31500000,29,IF(BY184&lt;32000000,33,IF(BY184&lt;32500000,37,IF(BY184&lt;33000000,39,IF(BY184&lt;33500000,42,IF(BY184&lt;34000000,45,IF(BY184&lt;34500000,48,IF(BY184&lt;35000000,52,52)))))))))))))))))))</f>
        <v>42</v>
      </c>
      <c r="CG184" s="50">
        <f>(CB184+CD184)/209</f>
        <v>10110.334928229666</v>
      </c>
      <c r="CH184" s="66"/>
      <c r="CI184" s="66"/>
      <c r="CJ184" s="67"/>
      <c r="CK184" s="67"/>
      <c r="CL184" s="49"/>
      <c r="CM184" s="49"/>
      <c r="CN184" s="49"/>
      <c r="CO184" s="50"/>
      <c r="CP184" s="50"/>
      <c r="CQ184" s="50"/>
      <c r="CR184" s="50"/>
      <c r="CS184" s="52"/>
      <c r="CT184" s="53"/>
      <c r="CU184" s="53"/>
      <c r="CV184" s="53"/>
      <c r="CW184" s="54"/>
      <c r="CX184" s="54"/>
      <c r="CY184" s="54"/>
      <c r="CZ184" s="55"/>
      <c r="DA184" s="55"/>
      <c r="DB184" s="56"/>
      <c r="DC184" s="57"/>
      <c r="DD184" s="58"/>
      <c r="DE184" s="58"/>
      <c r="DF184" s="57"/>
      <c r="DG184" s="59">
        <f>B184</f>
        <v>250806</v>
      </c>
      <c r="DH184" s="58"/>
      <c r="DI184" s="58"/>
      <c r="DJ184" s="60"/>
      <c r="DK184" s="58"/>
      <c r="DL184" s="61"/>
      <c r="DM184" s="24"/>
    </row>
    <row r="185" spans="1:117" ht="15" customHeight="1">
      <c r="A185" s="25">
        <f>ROW()-2</f>
        <v>183</v>
      </c>
      <c r="B185" s="26">
        <v>250808</v>
      </c>
      <c r="C185" s="27" t="s">
        <v>2203</v>
      </c>
      <c r="D185" s="27"/>
      <c r="E185" s="27" t="s">
        <v>239</v>
      </c>
      <c r="F185" s="27" t="s">
        <v>196</v>
      </c>
      <c r="G185" s="27" t="s">
        <v>240</v>
      </c>
      <c r="H185" s="27" t="s">
        <v>217</v>
      </c>
      <c r="I185" s="27" t="s">
        <v>479</v>
      </c>
      <c r="J185" s="27" t="str">
        <f>+VLOOKUP($I185,[1]프로젝트현황!$I:$N,5,0)</f>
        <v>경기도</v>
      </c>
      <c r="K185" s="27" t="str">
        <f>+VLOOKUP($I185,[1]프로젝트현황!$I:$N,6,0)</f>
        <v>성남시</v>
      </c>
      <c r="L185" s="28">
        <v>45887</v>
      </c>
      <c r="M185" s="28">
        <v>45887</v>
      </c>
      <c r="N185" s="28"/>
      <c r="O185" s="29"/>
      <c r="P185" s="30" t="s">
        <v>2204</v>
      </c>
      <c r="Q185" s="27" t="s">
        <v>2205</v>
      </c>
      <c r="R185" s="31" t="str">
        <f>LEFT(Q185,6)</f>
        <v>881208</v>
      </c>
      <c r="S185" s="31" t="str">
        <f>MID($Q185,3,2)</f>
        <v>12</v>
      </c>
      <c r="T185" s="31" t="str">
        <f>IF(OR(MID($Q185,8,1)="1",MID($Q185,8,1)="3"),"남자",IF(OR(MID($Q185,8,1)="2",MID($Q185,8,1)="4"),"여자",""))</f>
        <v>남자</v>
      </c>
      <c r="U185" s="31">
        <f ca="1">YEAR(TODAY())-IF(OR(MID($Q185,8,1)="1",MID($Q185,8,1)="2"),19&amp;LEFT($Q185,2),IF(OR(MID($Q185,8,1)="3",MID($Q185,8,1)="4"),20&amp;LEFT($Q185,2),""))+1</f>
        <v>39</v>
      </c>
      <c r="V185" s="31" t="s">
        <v>200</v>
      </c>
      <c r="W185" s="31" t="s">
        <v>201</v>
      </c>
      <c r="X185" s="27" t="s">
        <v>2206</v>
      </c>
      <c r="Y185" s="27"/>
      <c r="Z185" s="27"/>
      <c r="AA185" s="32"/>
      <c r="AB185" s="31" t="s">
        <v>203</v>
      </c>
      <c r="AC185" s="27"/>
      <c r="AD185" s="33" t="str">
        <f ca="1">QUOTIENT(SUMPRODUCT(LEFT($AE185:$AF185,FIND("년",$AE185:$AF185)-1)*12+MID($AE185:$AF185,FIND("년",$AE185:$AF185)+1,FIND("개월",$AE185:$AF185)-FIND("년",$AE185:$AF185)-1)),12)&amp;"년"&amp;MOD(SUMPRODUCT(LEFT($AE185:$AF185,FIND("년",$AE185:$AF185)-1)*12+MID($AE185:$AF185,FIND("년",$AE185:$AF185)+1,FIND("개월",$AE185:$AF185)-FIND("년",$AE185:$AF185)-1)),12)&amp;"개월"</f>
        <v>8년3개월</v>
      </c>
      <c r="AE185" s="33" t="s">
        <v>2207</v>
      </c>
      <c r="AF185" s="34" t="str">
        <f ca="1">DATEDIF($L185,TODAY(),"y")&amp;"년"&amp;DATEDIF($L185,TODAY(),"ym")&amp;"개월"</f>
        <v>0년5개월</v>
      </c>
      <c r="AG185" s="35" t="s">
        <v>972</v>
      </c>
      <c r="AH185" s="35" t="s">
        <v>321</v>
      </c>
      <c r="AI185" s="30" t="s">
        <v>205</v>
      </c>
      <c r="AJ185" s="32">
        <v>43873</v>
      </c>
      <c r="AK185" s="36">
        <f ca="1">VALUE(LEFT($AD185,FIND("년",$AD185)-1))</f>
        <v>8</v>
      </c>
      <c r="AL185" s="31" t="str">
        <f ca="1">IF($AI185="전문학사",IF($AK185&lt;=8,"초급",IF($AK185&lt;12,"중급",IF($AK185&lt;15,"고급",IF($AK185&gt;=15,"특급")))))</f>
        <v>초급</v>
      </c>
      <c r="AM185" s="31" t="str">
        <f>IF(ISNUMBER(SEARCH("산업기사",$AT185)),IF($AK185&gt;=13,"특급",IF($AK185&gt;=10,"고급",IF($AK185&gt;=7,"중급","초급"))),IF(ISNUMBER(SEARCH("기사",$AR185)),IF($AK185&gt;=10,"특급",IF($AK185&gt;=7,"고급",IF($AK185&gt;=4,"중급","초급"))),"미해당"))</f>
        <v>미해당</v>
      </c>
      <c r="AN185" s="27"/>
      <c r="AO185" s="32"/>
      <c r="AP185" s="27"/>
      <c r="AQ185" s="32"/>
      <c r="AR185" s="27"/>
      <c r="AS185" s="27"/>
      <c r="AT185" s="37"/>
      <c r="AU185" s="27"/>
      <c r="AV185" s="38"/>
      <c r="AW185" s="39"/>
      <c r="AX185" s="39"/>
      <c r="AY185" s="40" t="s">
        <v>251</v>
      </c>
      <c r="AZ185" s="41" t="s">
        <v>252</v>
      </c>
      <c r="BA185" s="30" t="s">
        <v>230</v>
      </c>
      <c r="BB185" s="30" t="s">
        <v>2208</v>
      </c>
      <c r="BC185" s="42"/>
      <c r="BD185" s="42"/>
      <c r="BE185" s="69" t="s">
        <v>2209</v>
      </c>
      <c r="BF185" s="42" t="s">
        <v>234</v>
      </c>
      <c r="BG185" s="42" t="s">
        <v>328</v>
      </c>
      <c r="BH185" s="35" t="s">
        <v>1154</v>
      </c>
      <c r="BI185" s="44" t="s">
        <v>2210</v>
      </c>
      <c r="BJ185" s="45" t="str">
        <f>IFERROR(VLOOKUP($BG185,[1]프로젝트현황!Y:Z,2,0),"기타")</f>
        <v>동남권</v>
      </c>
      <c r="BK185" s="46" t="str">
        <f>(IF(BF185="","",BF185&amp;" "))&amp;(IF(BG185="","",BG185&amp;" "))&amp;(IF(BH185="","",BH185&amp;" "))&amp;BI185</f>
        <v>경기도 성남시 분당구 백현로144번길 10 (정자동)</v>
      </c>
      <c r="BL185" s="47">
        <v>30</v>
      </c>
      <c r="BM185" s="47">
        <v>30</v>
      </c>
      <c r="BN185" s="48">
        <v>38000000</v>
      </c>
      <c r="BO185" s="48">
        <f>BP185*12</f>
        <v>38000006.400000006</v>
      </c>
      <c r="BP185" s="49">
        <f>SUM(BQ185:BS185)</f>
        <v>3166667.2</v>
      </c>
      <c r="BQ185" s="49">
        <f>ROUNDUP(BN185/12*209/(209+BU185*1.5)/BL185*BM185,-1)-BS185</f>
        <v>2106040</v>
      </c>
      <c r="BR185" s="49">
        <f>ROUNDUP(BN185/12*(BU185*1.5)/(209+BU185*1.5)/BL185*BM185,1)</f>
        <v>860627.2</v>
      </c>
      <c r="BS185" s="49">
        <v>200000</v>
      </c>
      <c r="BT185" s="50">
        <v>209</v>
      </c>
      <c r="BU185" s="49">
        <f>IF($BN185="","",
IFERROR(
    IF($BN185&lt;'[1]시간외시간 기준표'!$B$2,0,
        IF($BN185&gt;LOOKUP(9.9E+307,'[1]시간외시간 기준표'!$B$2:$B$999),
            LOOKUP(9.9E+307,'[1]시간외시간 기준표'!$C$2:$C$999),
            LOOKUP($BN185,'[1]시간외시간 기준표'!$B$2:$B$999,'[1]시간외시간 기준표'!$C$2:$C$999)
        )
    ),0)
)</f>
        <v>52</v>
      </c>
      <c r="BV185" s="50">
        <f>(BQ185+BS185)/209</f>
        <v>11033.684210526315</v>
      </c>
      <c r="BW185" s="51">
        <v>30</v>
      </c>
      <c r="BX185" s="51">
        <v>30</v>
      </c>
      <c r="BY185" s="52">
        <v>38000000</v>
      </c>
      <c r="BZ185" s="52">
        <f>CA185*12</f>
        <v>38000006.400000006</v>
      </c>
      <c r="CA185" s="49">
        <f>SUM(CB185:CD185)</f>
        <v>3166667.2</v>
      </c>
      <c r="CB185" s="49">
        <f>ROUNDUP(BY185/12*209/(209+CF185*1.5)/BW185*BX185,-1)-CD185</f>
        <v>2106040</v>
      </c>
      <c r="CC185" s="49">
        <f>ROUNDUP(BY185/12*(CF185*1.5)/(209+CF185*1.5)/BW185*BX185,1)</f>
        <v>860627.2</v>
      </c>
      <c r="CD185" s="49">
        <v>200000</v>
      </c>
      <c r="CE185" s="50">
        <v>209</v>
      </c>
      <c r="CF185" s="49">
        <f>IF(BY185&lt;26000000,0,IF(BY185&lt;26500000,4,IF(BY185&lt;27000000,7,IF(BY185&lt;27500000,9,IF(BY185&lt;28000000,11,IF(BY185&lt;28500000,15,IF(BY185&lt;29000000,17,IF(BY185&lt;29500000,20,IF(BY185&lt;30000000,23,IF(BY185&lt;30500000,25,IF(BY185&lt;31000000,27,IF(BY185&lt;31500000,29,IF(BY185&lt;32000000,33,IF(BY185&lt;32500000,37,IF(BY185&lt;33000000,39,IF(BY185&lt;33500000,42,IF(BY185&lt;34000000,45,IF(BY185&lt;34500000,48,IF(BY185&lt;35000000,52,52)))))))))))))))))))</f>
        <v>52</v>
      </c>
      <c r="CG185" s="50">
        <f>(CB185+CD185)/209</f>
        <v>11033.684210526315</v>
      </c>
      <c r="CH185" s="66"/>
      <c r="CI185" s="66"/>
      <c r="CJ185" s="67"/>
      <c r="CK185" s="67"/>
      <c r="CL185" s="49"/>
      <c r="CM185" s="49"/>
      <c r="CN185" s="49"/>
      <c r="CO185" s="50"/>
      <c r="CP185" s="50"/>
      <c r="CQ185" s="50"/>
      <c r="CR185" s="50"/>
      <c r="CS185" s="52"/>
      <c r="CT185" s="53"/>
      <c r="CU185" s="53"/>
      <c r="CV185" s="53"/>
      <c r="CW185" s="54"/>
      <c r="CX185" s="54"/>
      <c r="CY185" s="54"/>
      <c r="CZ185" s="55"/>
      <c r="DA185" s="55"/>
      <c r="DB185" s="56"/>
      <c r="DC185" s="57"/>
      <c r="DD185" s="58"/>
      <c r="DE185" s="58"/>
      <c r="DF185" s="57"/>
      <c r="DG185" s="59">
        <f>B185</f>
        <v>250808</v>
      </c>
      <c r="DH185" s="58"/>
      <c r="DI185" s="58"/>
      <c r="DJ185" s="60"/>
      <c r="DK185" s="58"/>
      <c r="DL185" s="61"/>
      <c r="DM185" s="24"/>
    </row>
    <row r="186" spans="1:117" s="63" customFormat="1" ht="15" customHeight="1">
      <c r="A186" s="25">
        <f>ROW()-2</f>
        <v>184</v>
      </c>
      <c r="B186" s="26">
        <v>250901</v>
      </c>
      <c r="C186" s="27" t="s">
        <v>2211</v>
      </c>
      <c r="D186" s="27"/>
      <c r="E186" s="27" t="s">
        <v>239</v>
      </c>
      <c r="F186" s="27" t="s">
        <v>196</v>
      </c>
      <c r="G186" s="27" t="s">
        <v>240</v>
      </c>
      <c r="H186" s="27" t="s">
        <v>260</v>
      </c>
      <c r="I186" s="27" t="s">
        <v>866</v>
      </c>
      <c r="J186" s="27" t="str">
        <f>+VLOOKUP($I186,[1]프로젝트현황!$I:$N,5,0)</f>
        <v>서울시</v>
      </c>
      <c r="K186" s="27" t="str">
        <f>+VLOOKUP($I186,[1]프로젝트현황!$I:$N,6,0)</f>
        <v>구로구</v>
      </c>
      <c r="L186" s="28">
        <v>45901</v>
      </c>
      <c r="M186" s="28">
        <v>45901</v>
      </c>
      <c r="N186" s="28"/>
      <c r="O186" s="29"/>
      <c r="P186" s="30" t="s">
        <v>2212</v>
      </c>
      <c r="Q186" s="27" t="s">
        <v>2213</v>
      </c>
      <c r="R186" s="31" t="str">
        <f>LEFT(Q186,6)</f>
        <v>901225</v>
      </c>
      <c r="S186" s="31" t="str">
        <f>MID($Q186,3,2)</f>
        <v>12</v>
      </c>
      <c r="T186" s="31" t="str">
        <f>IF(OR(MID($Q186,8,1)="1",MID($Q186,8,1)="3"),"남자",IF(OR(MID($Q186,8,1)="2",MID($Q186,8,1)="4"),"여자",""))</f>
        <v>남자</v>
      </c>
      <c r="U186" s="31">
        <f ca="1">YEAR(TODAY())-IF(OR(MID($Q186,8,1)="1",MID($Q186,8,1)="2"),19&amp;LEFT($Q186,2),IF(OR(MID($Q186,8,1)="3",MID($Q186,8,1)="4"),20&amp;LEFT($Q186,2),""))+1</f>
        <v>37</v>
      </c>
      <c r="V186" s="31" t="s">
        <v>200</v>
      </c>
      <c r="W186" s="31" t="s">
        <v>201</v>
      </c>
      <c r="X186" s="27" t="s">
        <v>2214</v>
      </c>
      <c r="Y186" s="27"/>
      <c r="Z186" s="27"/>
      <c r="AA186" s="32"/>
      <c r="AB186" s="31" t="s">
        <v>203</v>
      </c>
      <c r="AC186" s="27"/>
      <c r="AD186" s="33" t="str">
        <f ca="1">QUOTIENT(SUMPRODUCT(LEFT($AE186:$AF186,FIND("년",$AE186:$AF186)-1)*12+MID($AE186:$AF186,FIND("년",$AE186:$AF186)+1,FIND("개월",$AE186:$AF186)-FIND("년",$AE186:$AF186)-1)),12)&amp;"년"&amp;MOD(SUMPRODUCT(LEFT($AE186:$AF186,FIND("년",$AE186:$AF186)-1)*12+MID($AE186:$AF186,FIND("년",$AE186:$AF186)+1,FIND("개월",$AE186:$AF186)-FIND("년",$AE186:$AF186)-1)),12)&amp;"개월"</f>
        <v>5년7개월</v>
      </c>
      <c r="AE186" s="33" t="s">
        <v>2215</v>
      </c>
      <c r="AF186" s="34" t="str">
        <f ca="1">DATEDIF($L186,TODAY(),"y")&amp;"년"&amp;DATEDIF($L186,TODAY(),"ym")&amp;"개월"</f>
        <v>0년5개월</v>
      </c>
      <c r="AG186" s="35" t="s">
        <v>2216</v>
      </c>
      <c r="AH186" s="35" t="s">
        <v>2217</v>
      </c>
      <c r="AI186" s="30" t="s">
        <v>270</v>
      </c>
      <c r="AJ186" s="32">
        <v>45703</v>
      </c>
      <c r="AK186" s="36">
        <f ca="1">VALUE(LEFT($AD186,FIND("년",$AD186)-1))</f>
        <v>5</v>
      </c>
      <c r="AL186" s="31" t="str">
        <f ca="1">IF($AI186="학사",IF($AK186&lt;=8,"초급",IF($AK186&lt;12,"중급",IF($AK186&lt;15,"고급",IF($AK186&gt;=15,"특급")))))</f>
        <v>초급</v>
      </c>
      <c r="AM186" s="31" t="str">
        <f>IF(ISNUMBER(SEARCH("산업기사",$AT186)),IF($AK186&gt;=13,"특급",IF($AK186&gt;=10,"고급",IF($AK186&gt;=7,"중급","초급"))),IF(ISNUMBER(SEARCH("기사",$AR186)),IF($AK186&gt;=10,"특급",IF($AK186&gt;=7,"고급",IF($AK186&gt;=4,"중급","초급"))),"미해당"))</f>
        <v>미해당</v>
      </c>
      <c r="AN186" s="27"/>
      <c r="AO186" s="32"/>
      <c r="AP186" s="27"/>
      <c r="AQ186" s="32"/>
      <c r="AR186" s="27"/>
      <c r="AS186" s="27"/>
      <c r="AT186" s="37"/>
      <c r="AU186" s="27"/>
      <c r="AV186" s="38"/>
      <c r="AW186" s="39"/>
      <c r="AX186" s="39"/>
      <c r="AY186" s="40" t="s">
        <v>251</v>
      </c>
      <c r="AZ186" s="41" t="s">
        <v>252</v>
      </c>
      <c r="BA186" s="30" t="s">
        <v>2218</v>
      </c>
      <c r="BB186" s="30" t="s">
        <v>2219</v>
      </c>
      <c r="BC186" s="42" t="s">
        <v>275</v>
      </c>
      <c r="BD186" s="42" t="s">
        <v>2220</v>
      </c>
      <c r="BE186" s="69" t="s">
        <v>2221</v>
      </c>
      <c r="BF186" s="42" t="s">
        <v>1688</v>
      </c>
      <c r="BG186" s="42" t="s">
        <v>1239</v>
      </c>
      <c r="BH186" s="35"/>
      <c r="BI186" s="44" t="s">
        <v>2222</v>
      </c>
      <c r="BJ186" s="45" t="str">
        <f>IFERROR(VLOOKUP($BG186,[1]프로젝트현황!Y:Z,2,0),"기타")</f>
        <v>동남권</v>
      </c>
      <c r="BK186" s="46" t="str">
        <f>(IF(BF186="","",BF186&amp;" "))&amp;(IF(BG186="","",BG186&amp;" "))&amp;(IF(BH186="","",BH186&amp;" "))&amp;BI186</f>
        <v>서울특별시 송파구 송파대로 567, 510동 1502호 (잠실동, 아파트)</v>
      </c>
      <c r="BL186" s="47">
        <v>30</v>
      </c>
      <c r="BM186" s="47">
        <v>30</v>
      </c>
      <c r="BN186" s="48">
        <v>34000000</v>
      </c>
      <c r="BO186" s="48">
        <f>BP186*12</f>
        <v>34000082.400000006</v>
      </c>
      <c r="BP186" s="49">
        <f>SUM(BQ186:BS186)</f>
        <v>2833340.2</v>
      </c>
      <c r="BQ186" s="49">
        <f>ROUNDUP(BN186/12*209/(209+BU186*1.5)/BL186*BM186,-1)-BS186</f>
        <v>1965150</v>
      </c>
      <c r="BR186" s="49">
        <f>ROUNDUP(BN186/12*(BU186*1.5)/(209+BU186*1.5)/BL186*BM186,1)</f>
        <v>668190.19999999995</v>
      </c>
      <c r="BS186" s="49">
        <v>200000</v>
      </c>
      <c r="BT186" s="50">
        <v>209</v>
      </c>
      <c r="BU186" s="49">
        <f>IF($BN186="","",
IFERROR(
    IF($BN186&lt;'[1]시간외시간 기준표'!$B$2,0,
        IF($BN186&gt;LOOKUP(9.9E+307,'[1]시간외시간 기준표'!$B$2:$B$999),
            LOOKUP(9.9E+307,'[1]시간외시간 기준표'!$C$2:$C$999),
            LOOKUP($BN186,'[1]시간외시간 기준표'!$B$2:$B$999,'[1]시간외시간 기준표'!$C$2:$C$999)
        )
    ),0)
)</f>
        <v>43</v>
      </c>
      <c r="BV186" s="50">
        <f>(BQ186+BS186)/209</f>
        <v>10359.56937799043</v>
      </c>
      <c r="BW186" s="51">
        <v>30</v>
      </c>
      <c r="BX186" s="51">
        <v>30</v>
      </c>
      <c r="BY186" s="52">
        <v>34000000</v>
      </c>
      <c r="BZ186" s="52">
        <f>CA186*12</f>
        <v>34000064.400000006</v>
      </c>
      <c r="CA186" s="49">
        <f>SUM(CB186:CD186)</f>
        <v>2833338.7</v>
      </c>
      <c r="CB186" s="49">
        <f>ROUNDUP(BY186/12*209/(209+CF186*1.5)/BW186*BX186,-1)-CD186</f>
        <v>1907360</v>
      </c>
      <c r="CC186" s="49">
        <f>ROUNDUP(BY186/12*(CF186*1.5)/(209+CF186*1.5)/BW186*BX186,1)</f>
        <v>725978.7</v>
      </c>
      <c r="CD186" s="49">
        <v>200000</v>
      </c>
      <c r="CE186" s="50">
        <v>209</v>
      </c>
      <c r="CF186" s="49">
        <f>IF(BY186&lt;26000000,0,IF(BY186&lt;26500000,4,IF(BY186&lt;27000000,7,IF(BY186&lt;27500000,9,IF(BY186&lt;28000000,11,IF(BY186&lt;28500000,15,IF(BY186&lt;29000000,17,IF(BY186&lt;29500000,20,IF(BY186&lt;30000000,23,IF(BY186&lt;30500000,25,IF(BY186&lt;31000000,27,IF(BY186&lt;31500000,29,IF(BY186&lt;32000000,33,IF(BY186&lt;32500000,37,IF(BY186&lt;33000000,39,IF(BY186&lt;33500000,42,IF(BY186&lt;34000000,45,IF(BY186&lt;34500000,48,IF(BY186&lt;35000000,52,52)))))))))))))))))))</f>
        <v>48</v>
      </c>
      <c r="CG186" s="50">
        <f>(CB186+CD186)/209</f>
        <v>10083.062200956938</v>
      </c>
      <c r="CH186" s="66"/>
      <c r="CI186" s="66"/>
      <c r="CJ186" s="67"/>
      <c r="CK186" s="67"/>
      <c r="CL186" s="49"/>
      <c r="CM186" s="49"/>
      <c r="CN186" s="49"/>
      <c r="CO186" s="50"/>
      <c r="CP186" s="50"/>
      <c r="CQ186" s="50"/>
      <c r="CR186" s="50"/>
      <c r="CS186" s="52"/>
      <c r="CT186" s="53"/>
      <c r="CU186" s="53"/>
      <c r="CV186" s="53"/>
      <c r="CW186" s="54"/>
      <c r="CX186" s="54"/>
      <c r="CY186" s="54"/>
      <c r="CZ186" s="55"/>
      <c r="DA186" s="55"/>
      <c r="DB186" s="56"/>
      <c r="DC186" s="57"/>
      <c r="DD186" s="58"/>
      <c r="DE186" s="58"/>
      <c r="DF186" s="57"/>
      <c r="DG186" s="59">
        <f>B186</f>
        <v>250901</v>
      </c>
      <c r="DH186" s="58"/>
      <c r="DI186" s="58"/>
      <c r="DJ186" s="60"/>
      <c r="DK186" s="58"/>
      <c r="DL186" s="61"/>
      <c r="DM186" s="24"/>
    </row>
    <row r="187" spans="1:117" ht="15" customHeight="1">
      <c r="A187" s="25">
        <f>ROW()-2</f>
        <v>185</v>
      </c>
      <c r="B187" s="26">
        <v>250902</v>
      </c>
      <c r="C187" s="27" t="s">
        <v>2223</v>
      </c>
      <c r="D187" s="27"/>
      <c r="E187" s="27" t="s">
        <v>283</v>
      </c>
      <c r="F187" s="27" t="s">
        <v>196</v>
      </c>
      <c r="G187" s="27" t="s">
        <v>240</v>
      </c>
      <c r="H187" s="27" t="s">
        <v>1331</v>
      </c>
      <c r="I187" s="27" t="s">
        <v>1332</v>
      </c>
      <c r="J187" s="27" t="str">
        <f>+VLOOKUP($I187,[1]프로젝트현황!$I:$N,5,0)</f>
        <v>서울시</v>
      </c>
      <c r="K187" s="27" t="str">
        <f>+VLOOKUP($I187,[1]프로젝트현황!$I:$N,6,0)</f>
        <v>강남구</v>
      </c>
      <c r="L187" s="28">
        <v>45901</v>
      </c>
      <c r="M187" s="28">
        <v>45901</v>
      </c>
      <c r="N187" s="28"/>
      <c r="O187" s="29"/>
      <c r="P187" s="30" t="s">
        <v>2224</v>
      </c>
      <c r="Q187" s="27" t="s">
        <v>2225</v>
      </c>
      <c r="R187" s="31" t="str">
        <f>LEFT(Q187,6)</f>
        <v>800628</v>
      </c>
      <c r="S187" s="31" t="str">
        <f>MID($Q187,3,2)</f>
        <v>06</v>
      </c>
      <c r="T187" s="31" t="str">
        <f>IF(OR(MID($Q187,8,1)="1",MID($Q187,8,1)="3"),"남자",IF(OR(MID($Q187,8,1)="2",MID($Q187,8,1)="4"),"여자",""))</f>
        <v>남자</v>
      </c>
      <c r="U187" s="31">
        <f ca="1">YEAR(TODAY())-IF(OR(MID($Q187,8,1)="1",MID($Q187,8,1)="2"),19&amp;LEFT($Q187,2),IF(OR(MID($Q187,8,1)="3",MID($Q187,8,1)="4"),20&amp;LEFT($Q187,2),""))+1</f>
        <v>47</v>
      </c>
      <c r="V187" s="31" t="s">
        <v>200</v>
      </c>
      <c r="W187" s="31" t="s">
        <v>201</v>
      </c>
      <c r="X187" s="27" t="s">
        <v>2226</v>
      </c>
      <c r="Y187" s="27"/>
      <c r="Z187" s="27"/>
      <c r="AA187" s="32"/>
      <c r="AB187" s="31" t="s">
        <v>203</v>
      </c>
      <c r="AC187" s="27"/>
      <c r="AD187" s="33" t="str">
        <f ca="1">QUOTIENT(SUMPRODUCT(LEFT($AE187:$AF187,FIND("년",$AE187:$AF187)-1)*12+MID($AE187:$AF187,FIND("년",$AE187:$AF187)+1,FIND("개월",$AE187:$AF187)-FIND("년",$AE187:$AF187)-1)),12)&amp;"년"&amp;MOD(SUMPRODUCT(LEFT($AE187:$AF187,FIND("년",$AE187:$AF187)-1)*12+MID($AE187:$AF187,FIND("년",$AE187:$AF187)+1,FIND("개월",$AE187:$AF187)-FIND("년",$AE187:$AF187)-1)),12)&amp;"개월"</f>
        <v>17년7개월</v>
      </c>
      <c r="AE187" s="33" t="s">
        <v>2227</v>
      </c>
      <c r="AF187" s="34" t="str">
        <f ca="1">DATEDIF($L187,TODAY(),"y")&amp;"년"&amp;DATEDIF($L187,TODAY(),"ym")&amp;"개월"</f>
        <v>0년5개월</v>
      </c>
      <c r="AG187" s="35" t="s">
        <v>1148</v>
      </c>
      <c r="AH187" s="35" t="s">
        <v>1467</v>
      </c>
      <c r="AI187" s="30" t="s">
        <v>270</v>
      </c>
      <c r="AJ187" s="32">
        <v>39135</v>
      </c>
      <c r="AK187" s="36">
        <f ca="1">VALUE(LEFT($AD187,FIND("년",$AD187)-1))</f>
        <v>17</v>
      </c>
      <c r="AL187" s="31" t="str">
        <f ca="1">IF($AI187="학사",IF($AK187&lt;=8,"초급",IF($AK187&lt;12,"중급",IF($AK187&lt;15,"고급",IF($AK187&gt;=15,"특급")))))</f>
        <v>특급</v>
      </c>
      <c r="AM187" s="31" t="str">
        <f ca="1">IF(ISNUMBER(SEARCH("산업기사",$AT187)),IF($AK187&gt;=13,"특급",IF($AK187&gt;=10,"고급",IF($AK187&gt;=7,"중급","초급"))),IF(ISNUMBER(SEARCH("기사",$AR187)),IF($AK187&gt;=10,"특급",IF($AK187&gt;=7,"고급",IF($AK187&gt;=4,"중급","초급"))),"미해당"))</f>
        <v>특급</v>
      </c>
      <c r="AN187" s="27"/>
      <c r="AO187" s="32"/>
      <c r="AP187" s="27"/>
      <c r="AQ187" s="32"/>
      <c r="AR187" s="27" t="s">
        <v>139</v>
      </c>
      <c r="AS187" s="32">
        <v>38950</v>
      </c>
      <c r="AT187" s="37"/>
      <c r="AU187" s="27"/>
      <c r="AV187" s="38"/>
      <c r="AW187" s="39"/>
      <c r="AX187" s="39"/>
      <c r="AY187" s="40" t="s">
        <v>251</v>
      </c>
      <c r="AZ187" s="41" t="s">
        <v>252</v>
      </c>
      <c r="BA187" s="30" t="s">
        <v>2218</v>
      </c>
      <c r="BB187" s="30" t="s">
        <v>2228</v>
      </c>
      <c r="BC187" s="42"/>
      <c r="BD187" s="42"/>
      <c r="BE187" s="69" t="s">
        <v>2229</v>
      </c>
      <c r="BF187" s="42" t="s">
        <v>234</v>
      </c>
      <c r="BG187" s="42" t="s">
        <v>278</v>
      </c>
      <c r="BH187" s="35" t="s">
        <v>1568</v>
      </c>
      <c r="BI187" s="44" t="s">
        <v>2230</v>
      </c>
      <c r="BJ187" s="45" t="str">
        <f>IFERROR(VLOOKUP($BG187,[1]프로젝트현황!Y:Z,2,0),"기타")</f>
        <v>서남권</v>
      </c>
      <c r="BK187" s="46" t="str">
        <f>(IF(BF187="","",BF187&amp;" "))&amp;(IF(BG187="","",BG187&amp;" "))&amp;(IF(BH187="","",BH187&amp;" "))&amp;BI187</f>
        <v>경기도 안산시 상록구 본삼로 48, 123동 106호(본오동, 월드아파트)</v>
      </c>
      <c r="BL187" s="47">
        <v>30</v>
      </c>
      <c r="BM187" s="47">
        <v>30</v>
      </c>
      <c r="BN187" s="48">
        <v>55000000</v>
      </c>
      <c r="BO187" s="48">
        <f>BP187*12</f>
        <v>55000015.199999996</v>
      </c>
      <c r="BP187" s="49">
        <f>SUM(BQ187:BS187)</f>
        <v>4583334.5999999996</v>
      </c>
      <c r="BQ187" s="49">
        <f>ROUNDUP(BN187/12*209/(209+BU187*1.5)/BL187*BM187,-1)-BS187</f>
        <v>3137690</v>
      </c>
      <c r="BR187" s="49">
        <f>ROUNDUP(BN187/12*(BU187*1.5)/(209+BU187*1.5)/BL187*BM187,1)</f>
        <v>1245644.6000000001</v>
      </c>
      <c r="BS187" s="49">
        <v>200000</v>
      </c>
      <c r="BT187" s="50">
        <v>209</v>
      </c>
      <c r="BU187" s="49">
        <f>IF($BN187="","",
IFERROR(
    IF($BN187&lt;'[1]시간외시간 기준표'!$B$2,0,
        IF($BN187&gt;LOOKUP(9.9E+307,'[1]시간외시간 기준표'!$B$2:$B$999),
            LOOKUP(9.9E+307,'[1]시간외시간 기준표'!$C$2:$C$999),
            LOOKUP($BN187,'[1]시간외시간 기준표'!$B$2:$B$999,'[1]시간외시간 기준표'!$C$2:$C$999)
        )
    ),0)
)</f>
        <v>52</v>
      </c>
      <c r="BV187" s="50">
        <f>(BQ187+BS187)/209</f>
        <v>15969.808612440191</v>
      </c>
      <c r="BW187" s="51">
        <v>30</v>
      </c>
      <c r="BX187" s="51">
        <v>30</v>
      </c>
      <c r="BY187" s="52">
        <v>55000000</v>
      </c>
      <c r="BZ187" s="52">
        <f>CA187*12</f>
        <v>55000015.199999996</v>
      </c>
      <c r="CA187" s="49">
        <f>SUM(CB187:CD187)</f>
        <v>4583334.5999999996</v>
      </c>
      <c r="CB187" s="49">
        <f>ROUNDUP(BY187/12*209/(209+CF187*1.5)/BW187*BX187,-1)-CD187</f>
        <v>3137690</v>
      </c>
      <c r="CC187" s="49">
        <f>ROUNDUP(BY187/12*(CF187*1.5)/(209+CF187*1.5)/BW187*BX187,1)</f>
        <v>1245644.6000000001</v>
      </c>
      <c r="CD187" s="49">
        <v>200000</v>
      </c>
      <c r="CE187" s="50">
        <v>209</v>
      </c>
      <c r="CF187" s="49">
        <f>IF(BY187&lt;26000000,0,IF(BY187&lt;26500000,4,IF(BY187&lt;27000000,7,IF(BY187&lt;27500000,9,IF(BY187&lt;28000000,11,IF(BY187&lt;28500000,15,IF(BY187&lt;29000000,17,IF(BY187&lt;29500000,20,IF(BY187&lt;30000000,23,IF(BY187&lt;30500000,25,IF(BY187&lt;31000000,27,IF(BY187&lt;31500000,29,IF(BY187&lt;32000000,33,IF(BY187&lt;32500000,37,IF(BY187&lt;33000000,39,IF(BY187&lt;33500000,42,IF(BY187&lt;34000000,45,IF(BY187&lt;34500000,48,IF(BY187&lt;35000000,52,52)))))))))))))))))))</f>
        <v>52</v>
      </c>
      <c r="CG187" s="50">
        <f>(CB187+CD187)/209</f>
        <v>15969.808612440191</v>
      </c>
      <c r="CH187" s="66"/>
      <c r="CI187" s="66"/>
      <c r="CJ187" s="67"/>
      <c r="CK187" s="67"/>
      <c r="CL187" s="49"/>
      <c r="CM187" s="49"/>
      <c r="CN187" s="49"/>
      <c r="CO187" s="50"/>
      <c r="CP187" s="50"/>
      <c r="CQ187" s="50"/>
      <c r="CR187" s="50"/>
      <c r="CS187" s="52"/>
      <c r="CT187" s="53"/>
      <c r="CU187" s="53"/>
      <c r="CV187" s="53"/>
      <c r="CW187" s="54"/>
      <c r="CX187" s="54"/>
      <c r="CY187" s="54"/>
      <c r="CZ187" s="55"/>
      <c r="DA187" s="55"/>
      <c r="DB187" s="56"/>
      <c r="DC187" s="57"/>
      <c r="DD187" s="58"/>
      <c r="DE187" s="58"/>
      <c r="DF187" s="57"/>
      <c r="DG187" s="59">
        <f>B187</f>
        <v>250902</v>
      </c>
      <c r="DH187" s="58"/>
      <c r="DI187" s="58"/>
      <c r="DJ187" s="60"/>
      <c r="DK187" s="58"/>
      <c r="DL187" s="61"/>
      <c r="DM187" s="24"/>
    </row>
    <row r="188" spans="1:117" ht="15" customHeight="1">
      <c r="A188" s="25">
        <f>ROW()-2</f>
        <v>186</v>
      </c>
      <c r="B188" s="26">
        <v>250903</v>
      </c>
      <c r="C188" s="27" t="s">
        <v>2231</v>
      </c>
      <c r="D188" s="27"/>
      <c r="E188" s="27" t="s">
        <v>239</v>
      </c>
      <c r="F188" s="27" t="s">
        <v>196</v>
      </c>
      <c r="G188" s="27" t="s">
        <v>240</v>
      </c>
      <c r="H188" s="27" t="s">
        <v>260</v>
      </c>
      <c r="I188" s="27" t="s">
        <v>902</v>
      </c>
      <c r="J188" s="27" t="str">
        <f>+VLOOKUP($I188,[1]프로젝트현황!$I:$N,5,0)</f>
        <v>서울시</v>
      </c>
      <c r="K188" s="27" t="str">
        <f>+VLOOKUP($I188,[1]프로젝트현황!$I:$N,6,0)</f>
        <v>종로구</v>
      </c>
      <c r="L188" s="28">
        <v>45908</v>
      </c>
      <c r="M188" s="28">
        <v>45908</v>
      </c>
      <c r="N188" s="28"/>
      <c r="O188" s="29"/>
      <c r="P188" s="30" t="s">
        <v>2232</v>
      </c>
      <c r="Q188" s="27" t="s">
        <v>2233</v>
      </c>
      <c r="R188" s="31" t="str">
        <f>LEFT(Q188,6)</f>
        <v>920404</v>
      </c>
      <c r="S188" s="31" t="str">
        <f>MID($Q188,3,2)</f>
        <v>04</v>
      </c>
      <c r="T188" s="31" t="str">
        <f>IF(OR(MID($Q188,8,1)="1",MID($Q188,8,1)="3"),"남자",IF(OR(MID($Q188,8,1)="2",MID($Q188,8,1)="4"),"여자",""))</f>
        <v>남자</v>
      </c>
      <c r="U188" s="31">
        <f ca="1">YEAR(TODAY())-IF(OR(MID($Q188,8,1)="1",MID($Q188,8,1)="2"),19&amp;LEFT($Q188,2),IF(OR(MID($Q188,8,1)="3",MID($Q188,8,1)="4"),20&amp;LEFT($Q188,2),""))+1</f>
        <v>35</v>
      </c>
      <c r="V188" s="31" t="s">
        <v>200</v>
      </c>
      <c r="W188" s="31" t="s">
        <v>201</v>
      </c>
      <c r="X188" s="27" t="s">
        <v>2234</v>
      </c>
      <c r="Y188" s="27"/>
      <c r="Z188" s="27"/>
      <c r="AA188" s="32"/>
      <c r="AB188" s="31" t="s">
        <v>203</v>
      </c>
      <c r="AC188" s="27"/>
      <c r="AD188" s="33" t="str">
        <f ca="1">QUOTIENT(SUMPRODUCT(LEFT($AE188:$AF188,FIND("년",$AE188:$AF188)-1)*12+MID($AE188:$AF188,FIND("년",$AE188:$AF188)+1,FIND("개월",$AE188:$AF188)-FIND("년",$AE188:$AF188)-1)),12)&amp;"년"&amp;MOD(SUMPRODUCT(LEFT($AE188:$AF188,FIND("년",$AE188:$AF188)-1)*12+MID($AE188:$AF188,FIND("년",$AE188:$AF188)+1,FIND("개월",$AE188:$AF188)-FIND("년",$AE188:$AF188)-1)),12)&amp;"개월"</f>
        <v>2년10개월</v>
      </c>
      <c r="AE188" s="33" t="s">
        <v>1796</v>
      </c>
      <c r="AF188" s="34" t="str">
        <f ca="1">DATEDIF($L188,TODAY(),"y")&amp;"년"&amp;DATEDIF($L188,TODAY(),"ym")&amp;"개월"</f>
        <v>0년5개월</v>
      </c>
      <c r="AG188" s="35" t="s">
        <v>2235</v>
      </c>
      <c r="AH188" s="35" t="s">
        <v>2236</v>
      </c>
      <c r="AI188" s="30" t="s">
        <v>270</v>
      </c>
      <c r="AJ188" s="32">
        <v>39136</v>
      </c>
      <c r="AK188" s="36">
        <f ca="1">VALUE(LEFT($AD188,FIND("년",$AD188)-1))</f>
        <v>2</v>
      </c>
      <c r="AL188" s="31" t="str">
        <f ca="1">IF($AI188="학사",IF($AK188&lt;=8,"초급",IF($AK188&lt;12,"중급",IF($AK188&lt;15,"고급",IF($AK188&gt;=15,"특급")))))</f>
        <v>초급</v>
      </c>
      <c r="AM188" s="31" t="str">
        <f>IF(ISNUMBER(SEARCH("산업기사",$AT188)),IF($AK188&gt;=13,"특급",IF($AK188&gt;=10,"고급",IF($AK188&gt;=7,"중급","초급"))),IF(ISNUMBER(SEARCH("기사",$AR188)),IF($AK188&gt;=10,"특급",IF($AK188&gt;=7,"고급",IF($AK188&gt;=4,"중급","초급"))),"미해당"))</f>
        <v>미해당</v>
      </c>
      <c r="AN188" s="27"/>
      <c r="AO188" s="32"/>
      <c r="AP188" s="27" t="s">
        <v>2126</v>
      </c>
      <c r="AQ188" s="32">
        <v>44973</v>
      </c>
      <c r="AR188" s="27"/>
      <c r="AS188" s="32"/>
      <c r="AT188" s="37"/>
      <c r="AU188" s="27"/>
      <c r="AV188" s="38"/>
      <c r="AW188" s="39"/>
      <c r="AX188" s="39"/>
      <c r="AY188" s="40" t="s">
        <v>251</v>
      </c>
      <c r="AZ188" s="41" t="s">
        <v>252</v>
      </c>
      <c r="BA188" s="30" t="s">
        <v>230</v>
      </c>
      <c r="BB188" s="30" t="s">
        <v>2237</v>
      </c>
      <c r="BC188" s="42"/>
      <c r="BD188" s="42"/>
      <c r="BE188" s="69" t="s">
        <v>2238</v>
      </c>
      <c r="BF188" s="42" t="s">
        <v>1688</v>
      </c>
      <c r="BG188" s="42" t="s">
        <v>371</v>
      </c>
      <c r="BH188" s="35"/>
      <c r="BI188" s="44" t="s">
        <v>2239</v>
      </c>
      <c r="BJ188" s="45" t="str">
        <f>IFERROR(VLOOKUP($BG188,[1]프로젝트현황!Y:Z,2,0),"기타")</f>
        <v>서남권</v>
      </c>
      <c r="BK188" s="46" t="str">
        <f>(IF(BF188="","",BF188&amp;" "))&amp;(IF(BG188="","",BG188&amp;" "))&amp;(IF(BH188="","",BH188&amp;" "))&amp;BI188</f>
        <v>서울특별시 관악구 신림로11길 73-14, 601호 (신림동)</v>
      </c>
      <c r="BL188" s="47">
        <v>30</v>
      </c>
      <c r="BM188" s="47">
        <v>30</v>
      </c>
      <c r="BN188" s="48">
        <v>31000000</v>
      </c>
      <c r="BO188" s="48">
        <f>BP188*12</f>
        <v>31000064.400000002</v>
      </c>
      <c r="BP188" s="49">
        <f>SUM(BQ188:BS188)</f>
        <v>2583338.7000000002</v>
      </c>
      <c r="BQ188" s="49">
        <f>ROUNDUP(BN188/12*209/(209+BU188*1.5)/BL188*BM188,-1)-BS188</f>
        <v>1964000</v>
      </c>
      <c r="BR188" s="49">
        <f>ROUNDUP(BN188/12*(BU188*1.5)/(209+BU188*1.5)/BL188*BM188,1)</f>
        <v>419338.69999999995</v>
      </c>
      <c r="BS188" s="49">
        <v>200000</v>
      </c>
      <c r="BT188" s="50">
        <v>209</v>
      </c>
      <c r="BU188" s="49">
        <f>IF($BN188="","",
IFERROR(
    IF($BN188&lt;'[1]시간외시간 기준표'!$B$2,0,
        IF($BN188&gt;LOOKUP(9.9E+307,'[1]시간외시간 기준표'!$B$2:$B$999),
            LOOKUP(9.9E+307,'[1]시간외시간 기준표'!$C$2:$C$999),
            LOOKUP($BN188,'[1]시간외시간 기준표'!$B$2:$B$999,'[1]시간외시간 기준표'!$C$2:$C$999)
        )
    ),0)
)</f>
        <v>27</v>
      </c>
      <c r="BV188" s="50">
        <f>(BQ188+BS188)/209</f>
        <v>10354.066985645934</v>
      </c>
      <c r="BW188" s="51">
        <v>30</v>
      </c>
      <c r="BX188" s="51">
        <v>30</v>
      </c>
      <c r="BY188" s="52">
        <v>31000000</v>
      </c>
      <c r="BZ188" s="52">
        <f>CA188*12</f>
        <v>31000075.200000003</v>
      </c>
      <c r="CA188" s="49">
        <f>SUM(CB188:CD188)</f>
        <v>2583339.6</v>
      </c>
      <c r="CB188" s="49">
        <f>ROUNDUP(BY188/12*209/(209+CF188*1.5)/BW188*BX188,-1)-CD188</f>
        <v>1938290</v>
      </c>
      <c r="CC188" s="49">
        <f>ROUNDUP(BY188/12*(CF188*1.5)/(209+CF188*1.5)/BW188*BX188,1)</f>
        <v>445049.59999999998</v>
      </c>
      <c r="CD188" s="49">
        <v>200000</v>
      </c>
      <c r="CE188" s="50">
        <v>209</v>
      </c>
      <c r="CF188" s="49">
        <f>IF(BY188&lt;26000000,0,IF(BY188&lt;26500000,4,IF(BY188&lt;27000000,7,IF(BY188&lt;27500000,9,IF(BY188&lt;28000000,11,IF(BY188&lt;28500000,15,IF(BY188&lt;29000000,17,IF(BY188&lt;29500000,20,IF(BY188&lt;30000000,23,IF(BY188&lt;30500000,25,IF(BY188&lt;31000000,27,IF(BY188&lt;31500000,29,IF(BY188&lt;32000000,33,IF(BY188&lt;32500000,37,IF(BY188&lt;33000000,39,IF(BY188&lt;33500000,42,IF(BY188&lt;34000000,45,IF(BY188&lt;34500000,48,IF(BY188&lt;35000000,52,52)))))))))))))))))))</f>
        <v>29</v>
      </c>
      <c r="CG188" s="50">
        <f>(CB188+CD188)/209</f>
        <v>10231.052631578947</v>
      </c>
      <c r="CH188" s="66"/>
      <c r="CI188" s="66"/>
      <c r="CJ188" s="67"/>
      <c r="CK188" s="67"/>
      <c r="CL188" s="49"/>
      <c r="CM188" s="49"/>
      <c r="CN188" s="49"/>
      <c r="CO188" s="50"/>
      <c r="CP188" s="50"/>
      <c r="CQ188" s="50"/>
      <c r="CR188" s="50"/>
      <c r="CS188" s="52"/>
      <c r="CT188" s="53"/>
      <c r="CU188" s="53"/>
      <c r="CV188" s="53"/>
      <c r="CW188" s="54"/>
      <c r="CX188" s="54"/>
      <c r="CY188" s="54"/>
      <c r="CZ188" s="55"/>
      <c r="DA188" s="55"/>
      <c r="DB188" s="56"/>
      <c r="DC188" s="57"/>
      <c r="DD188" s="58"/>
      <c r="DE188" s="58"/>
      <c r="DF188" s="57"/>
      <c r="DG188" s="59">
        <f>B188</f>
        <v>250903</v>
      </c>
      <c r="DH188" s="58"/>
      <c r="DI188" s="58"/>
      <c r="DJ188" s="60"/>
      <c r="DK188" s="58"/>
      <c r="DL188" s="61"/>
      <c r="DM188" s="24"/>
    </row>
    <row r="189" spans="1:117" ht="15" customHeight="1">
      <c r="A189" s="25">
        <f>ROW()-2</f>
        <v>187</v>
      </c>
      <c r="B189" s="26">
        <v>250904</v>
      </c>
      <c r="C189" s="27" t="s">
        <v>2240</v>
      </c>
      <c r="D189" s="27" t="s">
        <v>282</v>
      </c>
      <c r="E189" s="27" t="s">
        <v>283</v>
      </c>
      <c r="F189" s="27" t="s">
        <v>196</v>
      </c>
      <c r="G189" s="27" t="s">
        <v>240</v>
      </c>
      <c r="H189" s="27" t="s">
        <v>260</v>
      </c>
      <c r="I189" s="27" t="s">
        <v>2159</v>
      </c>
      <c r="J189" s="27" t="str">
        <f>+VLOOKUP($I189,[1]프로젝트현황!$I:$N,5,0)</f>
        <v>서울시</v>
      </c>
      <c r="K189" s="27" t="str">
        <f>+VLOOKUP($I189,[1]프로젝트현황!$I:$N,6,0)</f>
        <v>마포구</v>
      </c>
      <c r="L189" s="28">
        <v>45915</v>
      </c>
      <c r="M189" s="28">
        <v>45915</v>
      </c>
      <c r="N189" s="28"/>
      <c r="O189" s="29"/>
      <c r="P189" s="30" t="s">
        <v>2241</v>
      </c>
      <c r="Q189" s="27" t="s">
        <v>2242</v>
      </c>
      <c r="R189" s="31" t="str">
        <f>LEFT(Q189,6)</f>
        <v>830625</v>
      </c>
      <c r="S189" s="31" t="str">
        <f>MID($Q189,3,2)</f>
        <v>06</v>
      </c>
      <c r="T189" s="31" t="str">
        <f>IF(OR(MID($Q189,8,1)="1",MID($Q189,8,1)="3"),"남자",IF(OR(MID($Q189,8,1)="2",MID($Q189,8,1)="4"),"여자",""))</f>
        <v>남자</v>
      </c>
      <c r="U189" s="31">
        <f ca="1">YEAR(TODAY())-IF(OR(MID($Q189,8,1)="1",MID($Q189,8,1)="2"),19&amp;LEFT($Q189,2),IF(OR(MID($Q189,8,1)="3",MID($Q189,8,1)="4"),20&amp;LEFT($Q189,2),""))+1</f>
        <v>44</v>
      </c>
      <c r="V189" s="31" t="s">
        <v>200</v>
      </c>
      <c r="W189" s="31" t="s">
        <v>201</v>
      </c>
      <c r="X189" s="27" t="s">
        <v>2243</v>
      </c>
      <c r="Y189" s="27"/>
      <c r="Z189" s="27"/>
      <c r="AA189" s="32"/>
      <c r="AB189" s="31" t="s">
        <v>203</v>
      </c>
      <c r="AC189" s="27"/>
      <c r="AD189" s="33" t="str">
        <f ca="1">QUOTIENT(SUMPRODUCT(LEFT($AE189:$AF189,FIND("년",$AE189:$AF189)-1)*12+MID($AE189:$AF189,FIND("년",$AE189:$AF189)+1,FIND("개월",$AE189:$AF189)-FIND("년",$AE189:$AF189)-1)),12)&amp;"년"&amp;MOD(SUMPRODUCT(LEFT($AE189:$AF189,FIND("년",$AE189:$AF189)-1)*12+MID($AE189:$AF189,FIND("년",$AE189:$AF189)+1,FIND("개월",$AE189:$AF189)-FIND("년",$AE189:$AF189)-1)),12)&amp;"개월"</f>
        <v>21년4개월</v>
      </c>
      <c r="AE189" s="33" t="s">
        <v>2244</v>
      </c>
      <c r="AF189" s="34" t="str">
        <f ca="1">DATEDIF($L189,TODAY(),"y")&amp;"년"&amp;DATEDIF($L189,TODAY(),"ym")&amp;"개월"</f>
        <v>0년4개월</v>
      </c>
      <c r="AG189" s="35" t="s">
        <v>2245</v>
      </c>
      <c r="AH189" s="35" t="s">
        <v>321</v>
      </c>
      <c r="AI189" s="30" t="s">
        <v>270</v>
      </c>
      <c r="AJ189" s="32">
        <v>38386</v>
      </c>
      <c r="AK189" s="36">
        <f ca="1">VALUE(LEFT($AD189,FIND("년",$AD189)-1))</f>
        <v>21</v>
      </c>
      <c r="AL189" s="31" t="str">
        <f ca="1">IF($AI189="학사",IF($AK189&lt;=8,"초급",IF($AK189&lt;12,"중급",IF($AK189&lt;15,"고급",IF($AK189&gt;=15,"특급")))))</f>
        <v>특급</v>
      </c>
      <c r="AM189" s="31" t="str">
        <f>IF(ISNUMBER(SEARCH("산업기사",$AT189)),IF($AK189&gt;=13,"특급",IF($AK189&gt;=10,"고급",IF($AK189&gt;=7,"중급","초급"))),IF(ISNUMBER(SEARCH("기사",$AR189)),IF($AK189&gt;=10,"특급",IF($AK189&gt;=7,"고급",IF($AK189&gt;=4,"중급","초급"))),"미해당"))</f>
        <v>미해당</v>
      </c>
      <c r="AN189" s="27" t="s">
        <v>2246</v>
      </c>
      <c r="AO189" s="32" t="s">
        <v>2247</v>
      </c>
      <c r="AP189" s="27" t="s">
        <v>2126</v>
      </c>
      <c r="AQ189" s="32">
        <v>42059</v>
      </c>
      <c r="AR189" s="27"/>
      <c r="AS189" s="27"/>
      <c r="AT189" s="37"/>
      <c r="AU189" s="27"/>
      <c r="AV189" s="38"/>
      <c r="AW189" s="39"/>
      <c r="AX189" s="39"/>
      <c r="AY189" s="40" t="s">
        <v>251</v>
      </c>
      <c r="AZ189" s="41" t="s">
        <v>252</v>
      </c>
      <c r="BA189" s="30" t="s">
        <v>230</v>
      </c>
      <c r="BB189" s="30" t="s">
        <v>2248</v>
      </c>
      <c r="BC189" s="42"/>
      <c r="BD189" s="42"/>
      <c r="BE189" s="69" t="s">
        <v>2249</v>
      </c>
      <c r="BF189" s="42" t="s">
        <v>234</v>
      </c>
      <c r="BG189" s="42" t="s">
        <v>328</v>
      </c>
      <c r="BH189" s="35" t="s">
        <v>1617</v>
      </c>
      <c r="BI189" s="44" t="s">
        <v>2250</v>
      </c>
      <c r="BJ189" s="45" t="str">
        <f>IFERROR(VLOOKUP($BG189,[1]프로젝트현황!Y:Z,2,0),"기타")</f>
        <v>동남권</v>
      </c>
      <c r="BK189" s="46" t="str">
        <f>(IF(BF189="","",BF189&amp;" "))&amp;(IF(BG189="","",BG189&amp;" "))&amp;(IF(BH189="","",BH189&amp;" "))&amp;BI189</f>
        <v>경기도 성남시 수정구 수정남로326번길 10-6, 201호</v>
      </c>
      <c r="BL189" s="47">
        <v>30</v>
      </c>
      <c r="BM189" s="47">
        <v>30</v>
      </c>
      <c r="BN189" s="48">
        <v>58500000</v>
      </c>
      <c r="BO189" s="48">
        <f>BP189*12</f>
        <v>58500034.800000004</v>
      </c>
      <c r="BP189" s="49">
        <f>SUM(BQ189:BS189)</f>
        <v>4875002.9000000004</v>
      </c>
      <c r="BQ189" s="49">
        <f>ROUNDUP(BN189/12*209/(209+BU189*1.5)/BL189*BM189,-1)-BS189</f>
        <v>3350090</v>
      </c>
      <c r="BR189" s="49">
        <f>ROUNDUP(BN189/12*(BU189*1.5)/(209+BU189*1.5)/BL189*BM189,1)</f>
        <v>1324912.9000000001</v>
      </c>
      <c r="BS189" s="49">
        <v>200000</v>
      </c>
      <c r="BT189" s="50">
        <v>209</v>
      </c>
      <c r="BU189" s="49">
        <f>IF($BN189="","",
IFERROR(
    IF($BN189&lt;'[1]시간외시간 기준표'!$B$2,0,
        IF($BN189&gt;LOOKUP(9.9E+307,'[1]시간외시간 기준표'!$B$2:$B$999),
            LOOKUP(9.9E+307,'[1]시간외시간 기준표'!$C$2:$C$999),
            LOOKUP($BN189,'[1]시간외시간 기준표'!$B$2:$B$999,'[1]시간외시간 기준표'!$C$2:$C$999)
        )
    ),0)
)</f>
        <v>52</v>
      </c>
      <c r="BV189" s="50">
        <f>(BQ189+BS189)/209</f>
        <v>16986.076555023923</v>
      </c>
      <c r="BW189" s="51">
        <v>30</v>
      </c>
      <c r="BX189" s="51">
        <v>30</v>
      </c>
      <c r="BY189" s="52">
        <v>58500000</v>
      </c>
      <c r="BZ189" s="52">
        <f>CA189*12</f>
        <v>58500034.800000004</v>
      </c>
      <c r="CA189" s="49">
        <f>SUM(CB189:CD189)</f>
        <v>4875002.9000000004</v>
      </c>
      <c r="CB189" s="49">
        <f>ROUNDUP(BY189/12*209/(209+CF189*1.5)/BW189*BX189,-1)-CD189</f>
        <v>3350090</v>
      </c>
      <c r="CC189" s="49">
        <f>ROUNDUP(BY189/12*(CF189*1.5)/(209+CF189*1.5)/BW189*BX189,1)</f>
        <v>1324912.9000000001</v>
      </c>
      <c r="CD189" s="49">
        <v>200000</v>
      </c>
      <c r="CE189" s="50">
        <v>209</v>
      </c>
      <c r="CF189" s="49">
        <f>IF(BY189&lt;26000000,0,IF(BY189&lt;26500000,4,IF(BY189&lt;27000000,7,IF(BY189&lt;27500000,9,IF(BY189&lt;28000000,11,IF(BY189&lt;28500000,15,IF(BY189&lt;29000000,17,IF(BY189&lt;29500000,20,IF(BY189&lt;30000000,23,IF(BY189&lt;30500000,25,IF(BY189&lt;31000000,27,IF(BY189&lt;31500000,29,IF(BY189&lt;32000000,33,IF(BY189&lt;32500000,37,IF(BY189&lt;33000000,39,IF(BY189&lt;33500000,42,IF(BY189&lt;34000000,45,IF(BY189&lt;34500000,48,IF(BY189&lt;35000000,52,52)))))))))))))))))))</f>
        <v>52</v>
      </c>
      <c r="CG189" s="50">
        <f>(CB189+CD189)/209</f>
        <v>16986.076555023923</v>
      </c>
      <c r="CH189" s="66" t="s">
        <v>2251</v>
      </c>
      <c r="CI189" s="66"/>
      <c r="CJ189" s="67"/>
      <c r="CK189" s="67"/>
      <c r="CL189" s="49"/>
      <c r="CM189" s="49"/>
      <c r="CN189" s="49"/>
      <c r="CO189" s="50"/>
      <c r="CP189" s="50"/>
      <c r="CQ189" s="50"/>
      <c r="CR189" s="50"/>
      <c r="CS189" s="52"/>
      <c r="CT189" s="53"/>
      <c r="CU189" s="53"/>
      <c r="CV189" s="53"/>
      <c r="CW189" s="54"/>
      <c r="CX189" s="54"/>
      <c r="CY189" s="54"/>
      <c r="CZ189" s="55"/>
      <c r="DA189" s="55"/>
      <c r="DB189" s="56"/>
      <c r="DC189" s="57"/>
      <c r="DD189" s="58"/>
      <c r="DE189" s="58"/>
      <c r="DF189" s="57"/>
      <c r="DG189" s="59">
        <f>B189</f>
        <v>250904</v>
      </c>
      <c r="DH189" s="58"/>
      <c r="DI189" s="58"/>
      <c r="DJ189" s="60"/>
      <c r="DK189" s="58"/>
      <c r="DL189" s="61"/>
      <c r="DM189" s="24"/>
    </row>
    <row r="190" spans="1:117" s="63" customFormat="1" ht="15" customHeight="1">
      <c r="A190" s="25">
        <f>ROW()-2</f>
        <v>188</v>
      </c>
      <c r="B190" s="26">
        <v>250905</v>
      </c>
      <c r="C190" s="27" t="s">
        <v>2252</v>
      </c>
      <c r="D190" s="27"/>
      <c r="E190" s="27" t="s">
        <v>613</v>
      </c>
      <c r="F190" s="27" t="s">
        <v>196</v>
      </c>
      <c r="G190" s="27" t="s">
        <v>216</v>
      </c>
      <c r="H190" s="27" t="s">
        <v>198</v>
      </c>
      <c r="I190" s="27" t="s">
        <v>1354</v>
      </c>
      <c r="J190" s="27" t="str">
        <f>+VLOOKUP($I190,[1]프로젝트현황!$I:$N,5,0)</f>
        <v>서울시</v>
      </c>
      <c r="K190" s="27" t="str">
        <f>+VLOOKUP($I190,[1]프로젝트현황!$I:$N,6,0)</f>
        <v>강남구</v>
      </c>
      <c r="L190" s="28">
        <v>45915</v>
      </c>
      <c r="M190" s="28">
        <v>45915</v>
      </c>
      <c r="N190" s="28"/>
      <c r="O190" s="29"/>
      <c r="P190" s="30" t="s">
        <v>2253</v>
      </c>
      <c r="Q190" s="27" t="s">
        <v>2254</v>
      </c>
      <c r="R190" s="31" t="str">
        <f>LEFT(Q190,6)</f>
        <v>020804</v>
      </c>
      <c r="S190" s="31" t="str">
        <f>MID($Q190,3,2)</f>
        <v>08</v>
      </c>
      <c r="T190" s="31" t="str">
        <f>IF(OR(MID($Q190,8,1)="1",MID($Q190,8,1)="3"),"남자",IF(OR(MID($Q190,8,1)="2",MID($Q190,8,1)="4"),"여자",""))</f>
        <v>여자</v>
      </c>
      <c r="U190" s="31">
        <f ca="1">YEAR(TODAY())-IF(OR(MID($Q190,8,1)="1",MID($Q190,8,1)="2"),19&amp;LEFT($Q190,2),IF(OR(MID($Q190,8,1)="3",MID($Q190,8,1)="4"),20&amp;LEFT($Q190,2),""))+1</f>
        <v>25</v>
      </c>
      <c r="V190" s="31" t="s">
        <v>200</v>
      </c>
      <c r="W190" s="31" t="s">
        <v>201</v>
      </c>
      <c r="X190" s="27" t="s">
        <v>2255</v>
      </c>
      <c r="Y190" s="27"/>
      <c r="Z190" s="27"/>
      <c r="AA190" s="32"/>
      <c r="AB190" s="31" t="s">
        <v>203</v>
      </c>
      <c r="AC190" s="27"/>
      <c r="AD190" s="33" t="str">
        <f ca="1">QUOTIENT(SUMPRODUCT(LEFT($AE190:$AF190,FIND("년",$AE190:$AF190)-1)*12+MID($AE190:$AF190,FIND("년",$AE190:$AF190)+1,FIND("개월",$AE190:$AF190)-FIND("년",$AE190:$AF190)-1)),12)&amp;"년"&amp;MOD(SUMPRODUCT(LEFT($AE190:$AF190,FIND("년",$AE190:$AF190)-1)*12+MID($AE190:$AF190,FIND("년",$AE190:$AF190)+1,FIND("개월",$AE190:$AF190)-FIND("년",$AE190:$AF190)-1)),12)&amp;"개월"</f>
        <v>0년4개월</v>
      </c>
      <c r="AE190" s="33" t="s">
        <v>543</v>
      </c>
      <c r="AF190" s="34" t="str">
        <f ca="1">DATEDIF($L190,TODAY(),"y")&amp;"년"&amp;DATEDIF($L190,TODAY(),"ym")&amp;"개월"</f>
        <v>0년4개월</v>
      </c>
      <c r="AG190" s="35" t="s">
        <v>1433</v>
      </c>
      <c r="AH190" s="35" t="s">
        <v>2256</v>
      </c>
      <c r="AI190" s="30" t="s">
        <v>270</v>
      </c>
      <c r="AJ190" s="32">
        <v>45708</v>
      </c>
      <c r="AK190" s="36">
        <f ca="1">VALUE(LEFT($AD190,FIND("년",$AD190)-1))</f>
        <v>0</v>
      </c>
      <c r="AL190" s="31" t="str">
        <f ca="1">IF($AI190="학사",IF($AK190&lt;=8,"초급",IF($AK190&lt;12,"중급",IF($AK190&lt;15,"고급",IF($AK190&gt;=15,"특급")))))</f>
        <v>초급</v>
      </c>
      <c r="AM190" s="31" t="str">
        <f>IF(ISNUMBER(SEARCH("산업기사",$AT190)),IF($AK190&gt;=13,"특급",IF($AK190&gt;=10,"고급",IF($AK190&gt;=7,"중급","초급"))),IF(ISNUMBER(SEARCH("기사",$AR190)),IF($AK190&gt;=10,"특급",IF($AK190&gt;=7,"고급",IF($AK190&gt;=4,"중급","초급"))),"미해당"))</f>
        <v>미해당</v>
      </c>
      <c r="AN190" s="27"/>
      <c r="AO190" s="32"/>
      <c r="AP190" s="27"/>
      <c r="AQ190" s="32"/>
      <c r="AR190" s="27"/>
      <c r="AS190" s="27"/>
      <c r="AT190" s="37"/>
      <c r="AU190" s="27"/>
      <c r="AV190" s="38"/>
      <c r="AW190" s="39"/>
      <c r="AX190" s="39"/>
      <c r="AY190" s="40" t="s">
        <v>229</v>
      </c>
      <c r="AZ190" s="41" t="s">
        <v>229</v>
      </c>
      <c r="BA190" s="30" t="s">
        <v>230</v>
      </c>
      <c r="BB190" s="30" t="s">
        <v>2257</v>
      </c>
      <c r="BC190" s="42" t="s">
        <v>275</v>
      </c>
      <c r="BD190" s="42" t="s">
        <v>2258</v>
      </c>
      <c r="BE190" s="69" t="s">
        <v>2259</v>
      </c>
      <c r="BF190" s="42" t="s">
        <v>1830</v>
      </c>
      <c r="BG190" s="42" t="s">
        <v>579</v>
      </c>
      <c r="BH190" s="35"/>
      <c r="BI190" s="44" t="s">
        <v>2260</v>
      </c>
      <c r="BJ190" s="45" t="str">
        <f>IFERROR(VLOOKUP($BG190,[1]프로젝트현황!Y:Z,2,0),"기타")</f>
        <v>서남권</v>
      </c>
      <c r="BK190" s="46" t="str">
        <f>(IF(BF190="","",BF190&amp;" "))&amp;(IF(BG190="","",BG190&amp;" "))&amp;(IF(BH190="","",BH190&amp;" "))&amp;BI190</f>
        <v>인천광역시 부평구 상정로 41, 104동 2102호</v>
      </c>
      <c r="BL190" s="47">
        <v>30</v>
      </c>
      <c r="BM190" s="47">
        <v>30</v>
      </c>
      <c r="BN190" s="48">
        <v>28000000</v>
      </c>
      <c r="BO190" s="48">
        <f>BP190*12</f>
        <v>28000101.599999998</v>
      </c>
      <c r="BP190" s="49">
        <f>SUM(BQ190:BS190)</f>
        <v>2333341.7999999998</v>
      </c>
      <c r="BQ190" s="49">
        <f>ROUNDUP(BN190/12*209/(209+BU190*1.5)/BL190*BM190,-1)-BS190</f>
        <v>1962610</v>
      </c>
      <c r="BR190" s="49">
        <f>ROUNDUP(BN190/12*(BU190*1.5)/(209+BU190*1.5)/BL190*BM190,1)</f>
        <v>170731.80000000002</v>
      </c>
      <c r="BS190" s="49">
        <v>200000</v>
      </c>
      <c r="BT190" s="50">
        <v>209</v>
      </c>
      <c r="BU190" s="49">
        <f>IF($BN190="","",
IFERROR(
    IF($BN190&lt;'[1]시간외시간 기준표'!$B$2,0,
        IF($BN190&gt;LOOKUP(9.9E+307,'[1]시간외시간 기준표'!$B$2:$B$999),
            LOOKUP(9.9E+307,'[1]시간외시간 기준표'!$C$2:$C$999),
            LOOKUP($BN190,'[1]시간외시간 기준표'!$B$2:$B$999,'[1]시간외시간 기준표'!$C$2:$C$999)
        )
    ),0)
)</f>
        <v>11</v>
      </c>
      <c r="BV190" s="50">
        <f>(BQ190+BS190)/209</f>
        <v>10347.416267942584</v>
      </c>
      <c r="BW190" s="51">
        <v>30</v>
      </c>
      <c r="BX190" s="51">
        <v>30</v>
      </c>
      <c r="BY190" s="52">
        <v>28000000</v>
      </c>
      <c r="BZ190" s="52">
        <f>CA190*12</f>
        <v>28000102.799999997</v>
      </c>
      <c r="CA190" s="49">
        <f>SUM(CB190:CD190)</f>
        <v>2333341.9</v>
      </c>
      <c r="CB190" s="49">
        <f>ROUNDUP(BY190/12*209/(209+CF190*1.5)/BW190*BX190,-1)-CD190</f>
        <v>1906560</v>
      </c>
      <c r="CC190" s="49">
        <f>ROUNDUP(BY190/12*(CF190*1.5)/(209+CF190*1.5)/BW190*BX190,1)</f>
        <v>226781.9</v>
      </c>
      <c r="CD190" s="49">
        <v>200000</v>
      </c>
      <c r="CE190" s="50">
        <v>209</v>
      </c>
      <c r="CF190" s="49">
        <f>IF(BY190&lt;26000000,0,IF(BY190&lt;26500000,4,IF(BY190&lt;27000000,7,IF(BY190&lt;27500000,9,IF(BY190&lt;28000000,11,IF(BY190&lt;28500000,15,IF(BY190&lt;29000000,17,IF(BY190&lt;29500000,20,IF(BY190&lt;30000000,23,IF(BY190&lt;30500000,25,IF(BY190&lt;31000000,27,IF(BY190&lt;31500000,29,IF(BY190&lt;32000000,33,IF(BY190&lt;32500000,37,IF(BY190&lt;33000000,39,IF(BY190&lt;33500000,42,IF(BY190&lt;34000000,45,IF(BY190&lt;34500000,48,IF(BY190&lt;35000000,52,52)))))))))))))))))))</f>
        <v>15</v>
      </c>
      <c r="CG190" s="50">
        <f>(CB190+CD190)/209</f>
        <v>10079.234449760766</v>
      </c>
      <c r="CH190" s="66"/>
      <c r="CI190" s="66"/>
      <c r="CJ190" s="67"/>
      <c r="CK190" s="67"/>
      <c r="CL190" s="49"/>
      <c r="CM190" s="49"/>
      <c r="CN190" s="49"/>
      <c r="CO190" s="50"/>
      <c r="CP190" s="50"/>
      <c r="CQ190" s="50"/>
      <c r="CR190" s="50"/>
      <c r="CS190" s="52"/>
      <c r="CT190" s="53"/>
      <c r="CU190" s="53"/>
      <c r="CV190" s="53"/>
      <c r="CW190" s="54"/>
      <c r="CX190" s="54"/>
      <c r="CY190" s="54"/>
      <c r="CZ190" s="55"/>
      <c r="DA190" s="55"/>
      <c r="DB190" s="56"/>
      <c r="DC190" s="57"/>
      <c r="DD190" s="58"/>
      <c r="DE190" s="58"/>
      <c r="DF190" s="57"/>
      <c r="DG190" s="59">
        <f>B190</f>
        <v>250905</v>
      </c>
      <c r="DH190" s="58"/>
      <c r="DI190" s="58"/>
      <c r="DJ190" s="60"/>
      <c r="DK190" s="58"/>
      <c r="DL190" s="61"/>
      <c r="DM190" s="24"/>
    </row>
    <row r="191" spans="1:117" s="63" customFormat="1" ht="15" customHeight="1">
      <c r="A191" s="25">
        <f>ROW()-2</f>
        <v>189</v>
      </c>
      <c r="B191" s="26">
        <v>250906</v>
      </c>
      <c r="C191" s="27" t="s">
        <v>2261</v>
      </c>
      <c r="D191" s="27"/>
      <c r="E191" s="27" t="s">
        <v>613</v>
      </c>
      <c r="F191" s="27" t="s">
        <v>196</v>
      </c>
      <c r="G191" s="27" t="s">
        <v>240</v>
      </c>
      <c r="H191" s="27" t="s">
        <v>241</v>
      </c>
      <c r="I191" s="27" t="s">
        <v>675</v>
      </c>
      <c r="J191" s="27" t="str">
        <f>+VLOOKUP($I191,[1]프로젝트현황!$I:$N,5,0)</f>
        <v>경기도</v>
      </c>
      <c r="K191" s="27" t="str">
        <f>+VLOOKUP($I191,[1]프로젝트현황!$I:$N,6,0)</f>
        <v>성남시</v>
      </c>
      <c r="L191" s="28">
        <v>45915</v>
      </c>
      <c r="M191" s="28">
        <v>45915</v>
      </c>
      <c r="N191" s="28"/>
      <c r="O191" s="29"/>
      <c r="P191" s="30" t="s">
        <v>2262</v>
      </c>
      <c r="Q191" s="27" t="s">
        <v>2263</v>
      </c>
      <c r="R191" s="31" t="str">
        <f>LEFT(Q191,6)</f>
        <v>910217</v>
      </c>
      <c r="S191" s="31" t="str">
        <f>MID($Q191,3,2)</f>
        <v>02</v>
      </c>
      <c r="T191" s="31" t="str">
        <f>IF(OR(MID($Q191,8,1)="1",MID($Q191,8,1)="3"),"남자",IF(OR(MID($Q191,8,1)="2",MID($Q191,8,1)="4"),"여자",""))</f>
        <v>여자</v>
      </c>
      <c r="U191" s="31">
        <f ca="1">YEAR(TODAY())-IF(OR(MID($Q191,8,1)="1",MID($Q191,8,1)="2"),19&amp;LEFT($Q191,2),IF(OR(MID($Q191,8,1)="3",MID($Q191,8,1)="4"),20&amp;LEFT($Q191,2),""))+1</f>
        <v>36</v>
      </c>
      <c r="V191" s="31" t="s">
        <v>200</v>
      </c>
      <c r="W191" s="31" t="s">
        <v>201</v>
      </c>
      <c r="X191" s="27" t="s">
        <v>2264</v>
      </c>
      <c r="Y191" s="27"/>
      <c r="Z191" s="27"/>
      <c r="AA191" s="32"/>
      <c r="AB191" s="31" t="s">
        <v>203</v>
      </c>
      <c r="AC191" s="27"/>
      <c r="AD191" s="33" t="str">
        <f ca="1">QUOTIENT(SUMPRODUCT(LEFT($AE191:$AF191,FIND("년",$AE191:$AF191)-1)*12+MID($AE191:$AF191,FIND("년",$AE191:$AF191)+1,FIND("개월",$AE191:$AF191)-FIND("년",$AE191:$AF191)-1)),12)&amp;"년"&amp;MOD(SUMPRODUCT(LEFT($AE191:$AF191,FIND("년",$AE191:$AF191)-1)*12+MID($AE191:$AF191,FIND("년",$AE191:$AF191)+1,FIND("개월",$AE191:$AF191)-FIND("년",$AE191:$AF191)-1)),12)&amp;"개월"</f>
        <v>5년8개월</v>
      </c>
      <c r="AE191" s="33" t="s">
        <v>2026</v>
      </c>
      <c r="AF191" s="34" t="str">
        <f ca="1">DATEDIF($L191,TODAY(),"y")&amp;"년"&amp;DATEDIF($L191,TODAY(),"ym")&amp;"개월"</f>
        <v>0년4개월</v>
      </c>
      <c r="AG191" s="35" t="s">
        <v>2265</v>
      </c>
      <c r="AH191" s="35" t="s">
        <v>2266</v>
      </c>
      <c r="AI191" s="30" t="s">
        <v>2267</v>
      </c>
      <c r="AJ191" s="32">
        <v>38386</v>
      </c>
      <c r="AK191" s="36">
        <f ca="1">VALUE(LEFT($AD191,FIND("년",$AD191)-1))</f>
        <v>5</v>
      </c>
      <c r="AL191" s="31" t="str">
        <f ca="1">IF($AI191="학사",IF($AK191&lt;=8,"초급",IF($AK191&lt;12,"중급",IF($AK191&lt;15,"고급",IF($AK191&gt;=15,"특급")))))</f>
        <v>초급</v>
      </c>
      <c r="AM191" s="31" t="str">
        <f>IF(ISNUMBER(SEARCH("산업기사",$AT191)),IF($AK191&gt;=13,"특급",IF($AK191&gt;=10,"고급",IF($AK191&gt;=7,"중급","초급"))),IF(ISNUMBER(SEARCH("기사",$AR191)),IF($AK191&gt;=10,"특급",IF($AK191&gt;=7,"고급",IF($AK191&gt;=4,"중급","초급"))),"미해당"))</f>
        <v>미해당</v>
      </c>
      <c r="AN191" s="27"/>
      <c r="AO191" s="32"/>
      <c r="AP191" s="27"/>
      <c r="AQ191" s="32"/>
      <c r="AR191" s="27"/>
      <c r="AS191" s="27"/>
      <c r="AT191" s="37"/>
      <c r="AU191" s="27"/>
      <c r="AV191" s="38"/>
      <c r="AW191" s="39"/>
      <c r="AX191" s="39"/>
      <c r="AY191" s="40" t="s">
        <v>251</v>
      </c>
      <c r="AZ191" s="41" t="s">
        <v>252</v>
      </c>
      <c r="BA191" s="30" t="s">
        <v>230</v>
      </c>
      <c r="BB191" s="30" t="s">
        <v>2268</v>
      </c>
      <c r="BC191" s="42"/>
      <c r="BD191" s="42"/>
      <c r="BE191" s="69" t="s">
        <v>2269</v>
      </c>
      <c r="BF191" s="42" t="s">
        <v>1688</v>
      </c>
      <c r="BG191" s="42" t="s">
        <v>718</v>
      </c>
      <c r="BH191" s="35"/>
      <c r="BI191" s="44" t="s">
        <v>2270</v>
      </c>
      <c r="BJ191" s="45" t="str">
        <f>IFERROR(VLOOKUP($BG191,[1]프로젝트현황!Y:Z,2,0),"기타")</f>
        <v>동북권</v>
      </c>
      <c r="BK191" s="46" t="str">
        <f>(IF(BF191="","",BF191&amp;" "))&amp;(IF(BG191="","",BG191&amp;" "))&amp;(IF(BH191="","",BH191&amp;" "))&amp;BI191</f>
        <v>서울특별시 중랑구 동일로 126길 35-16, 202호</v>
      </c>
      <c r="BL191" s="47">
        <v>30</v>
      </c>
      <c r="BM191" s="47">
        <v>30</v>
      </c>
      <c r="BN191" s="48">
        <v>35000000</v>
      </c>
      <c r="BO191" s="48">
        <f>BP191*12</f>
        <v>35000035.200000003</v>
      </c>
      <c r="BP191" s="49">
        <f>SUM(BQ191:BS191)</f>
        <v>2916669.6</v>
      </c>
      <c r="BQ191" s="49">
        <f>ROUNDUP(BN191/12*209/(209+BU191*1.5)/BL191*BM191,-1)-BS191</f>
        <v>1957820</v>
      </c>
      <c r="BR191" s="49">
        <f>ROUNDUP(BN191/12*(BU191*1.5)/(209+BU191*1.5)/BL191*BM191,1)</f>
        <v>758849.6</v>
      </c>
      <c r="BS191" s="49">
        <v>200000</v>
      </c>
      <c r="BT191" s="50">
        <v>209</v>
      </c>
      <c r="BU191" s="49">
        <f>IF($BN191="","",
IFERROR(
    IF($BN191&lt;'[1]시간외시간 기준표'!$B$2,0,
        IF($BN191&gt;LOOKUP(9.9E+307,'[1]시간외시간 기준표'!$B$2:$B$999),
            LOOKUP(9.9E+307,'[1]시간외시간 기준표'!$C$2:$C$999),
            LOOKUP($BN191,'[1]시간외시간 기준표'!$B$2:$B$999,'[1]시간외시간 기준표'!$C$2:$C$999)
        )
    ),0)
)</f>
        <v>49</v>
      </c>
      <c r="BV191" s="50">
        <f>(BQ191+BS191)/209</f>
        <v>10324.497607655503</v>
      </c>
      <c r="BW191" s="51">
        <v>30</v>
      </c>
      <c r="BX191" s="51">
        <v>30</v>
      </c>
      <c r="BY191" s="52">
        <v>35000000</v>
      </c>
      <c r="BZ191" s="52">
        <f>CA191*12</f>
        <v>35000076</v>
      </c>
      <c r="CA191" s="49">
        <f>SUM(CB191:CD191)</f>
        <v>2916673</v>
      </c>
      <c r="CB191" s="49">
        <f>ROUNDUP(BY191/12*209/(209+CF191*1.5)/BW191*BX191,-1)-CD191</f>
        <v>1923990</v>
      </c>
      <c r="CC191" s="49">
        <f>ROUNDUP(BY191/12*(CF191*1.5)/(209+CF191*1.5)/BW191*BX191,1)</f>
        <v>792683</v>
      </c>
      <c r="CD191" s="49">
        <v>200000</v>
      </c>
      <c r="CE191" s="50">
        <v>209</v>
      </c>
      <c r="CF191" s="49">
        <f>IF(BY191&lt;26000000,0,IF(BY191&lt;26500000,4,IF(BY191&lt;27000000,7,IF(BY191&lt;27500000,9,IF(BY191&lt;28000000,11,IF(BY191&lt;28500000,15,IF(BY191&lt;29000000,17,IF(BY191&lt;29500000,20,IF(BY191&lt;30000000,23,IF(BY191&lt;30500000,25,IF(BY191&lt;31000000,27,IF(BY191&lt;31500000,29,IF(BY191&lt;32000000,33,IF(BY191&lt;32500000,37,IF(BY191&lt;33000000,39,IF(BY191&lt;33500000,42,IF(BY191&lt;34000000,45,IF(BY191&lt;34500000,48,IF(BY191&lt;35000000,52,52)))))))))))))))))))</f>
        <v>52</v>
      </c>
      <c r="CG191" s="50">
        <f>(CB191+CD191)/209</f>
        <v>10162.631578947368</v>
      </c>
      <c r="CH191" s="66"/>
      <c r="CI191" s="66"/>
      <c r="CJ191" s="67"/>
      <c r="CK191" s="67"/>
      <c r="CL191" s="49"/>
      <c r="CM191" s="49"/>
      <c r="CN191" s="49"/>
      <c r="CO191" s="50"/>
      <c r="CP191" s="50"/>
      <c r="CQ191" s="50"/>
      <c r="CR191" s="50"/>
      <c r="CS191" s="52"/>
      <c r="CT191" s="53"/>
      <c r="CU191" s="53"/>
      <c r="CV191" s="53"/>
      <c r="CW191" s="54"/>
      <c r="CX191" s="54"/>
      <c r="CY191" s="54"/>
      <c r="CZ191" s="55"/>
      <c r="DA191" s="55"/>
      <c r="DB191" s="56"/>
      <c r="DC191" s="57"/>
      <c r="DD191" s="58"/>
      <c r="DE191" s="58"/>
      <c r="DF191" s="57"/>
      <c r="DG191" s="59">
        <f>B191</f>
        <v>250906</v>
      </c>
      <c r="DH191" s="58"/>
      <c r="DI191" s="58"/>
      <c r="DJ191" s="60"/>
      <c r="DK191" s="58"/>
      <c r="DL191" s="61"/>
      <c r="DM191" s="24"/>
    </row>
    <row r="192" spans="1:117" s="63" customFormat="1" ht="15" customHeight="1">
      <c r="A192" s="25">
        <f>ROW()-2</f>
        <v>190</v>
      </c>
      <c r="B192" s="26">
        <v>250907</v>
      </c>
      <c r="C192" s="27" t="s">
        <v>2271</v>
      </c>
      <c r="D192" s="27"/>
      <c r="E192" s="27" t="s">
        <v>613</v>
      </c>
      <c r="F192" s="27" t="s">
        <v>196</v>
      </c>
      <c r="G192" s="27" t="s">
        <v>240</v>
      </c>
      <c r="H192" s="27" t="s">
        <v>217</v>
      </c>
      <c r="I192" s="27" t="s">
        <v>1052</v>
      </c>
      <c r="J192" s="27" t="str">
        <f>+VLOOKUP($I192,[1]프로젝트현황!$I:$N,5,0)</f>
        <v>서울시</v>
      </c>
      <c r="K192" s="27" t="str">
        <f>+VLOOKUP($I192,[1]프로젝트현황!$I:$N,6,0)</f>
        <v>서초구</v>
      </c>
      <c r="L192" s="28">
        <v>45929</v>
      </c>
      <c r="M192" s="28">
        <v>45929</v>
      </c>
      <c r="N192" s="28"/>
      <c r="O192" s="29"/>
      <c r="P192" s="30" t="s">
        <v>2272</v>
      </c>
      <c r="Q192" s="27" t="s">
        <v>2273</v>
      </c>
      <c r="R192" s="31" t="str">
        <f>LEFT(Q192,6)</f>
        <v>930928</v>
      </c>
      <c r="S192" s="31" t="str">
        <f>MID($Q192,3,2)</f>
        <v>09</v>
      </c>
      <c r="T192" s="31" t="str">
        <f>IF(OR(MID($Q192,8,1)="1",MID($Q192,8,1)="3"),"남자",IF(OR(MID($Q192,8,1)="2",MID($Q192,8,1)="4"),"여자",""))</f>
        <v>남자</v>
      </c>
      <c r="U192" s="31">
        <f ca="1">YEAR(TODAY())-IF(OR(MID($Q192,8,1)="1",MID($Q192,8,1)="2"),19&amp;LEFT($Q192,2),IF(OR(MID($Q192,8,1)="3",MID($Q192,8,1)="4"),20&amp;LEFT($Q192,2),""))+1</f>
        <v>34</v>
      </c>
      <c r="V192" s="31" t="s">
        <v>200</v>
      </c>
      <c r="W192" s="31" t="s">
        <v>201</v>
      </c>
      <c r="X192" s="27" t="s">
        <v>2274</v>
      </c>
      <c r="Y192" s="27"/>
      <c r="Z192" s="27"/>
      <c r="AA192" s="32"/>
      <c r="AB192" s="31" t="s">
        <v>203</v>
      </c>
      <c r="AC192" s="27"/>
      <c r="AD192" s="33" t="str">
        <f ca="1">QUOTIENT(SUMPRODUCT(LEFT($AE192:$AF192,FIND("년",$AE192:$AF192)-1)*12+MID($AE192:$AF192,FIND("년",$AE192:$AF192)+1,FIND("개월",$AE192:$AF192)-FIND("년",$AE192:$AF192)-1)),12)&amp;"년"&amp;MOD(SUMPRODUCT(LEFT($AE192:$AF192,FIND("년",$AE192:$AF192)-1)*12+MID($AE192:$AF192,FIND("년",$AE192:$AF192)+1,FIND("개월",$AE192:$AF192)-FIND("년",$AE192:$AF192)-1)),12)&amp;"개월"</f>
        <v>1년0개월</v>
      </c>
      <c r="AE192" s="33" t="s">
        <v>1043</v>
      </c>
      <c r="AF192" s="34" t="str">
        <f ca="1">DATEDIF($L192,TODAY(),"y")&amp;"년"&amp;DATEDIF($L192,TODAY(),"ym")&amp;"개월"</f>
        <v>0년4개월</v>
      </c>
      <c r="AG192" s="35" t="s">
        <v>2275</v>
      </c>
      <c r="AH192" s="35" t="s">
        <v>2276</v>
      </c>
      <c r="AI192" s="30" t="s">
        <v>270</v>
      </c>
      <c r="AJ192" s="32">
        <v>45338</v>
      </c>
      <c r="AK192" s="36">
        <f ca="1">VALUE(LEFT($AD192,FIND("년",$AD192)-1))</f>
        <v>1</v>
      </c>
      <c r="AL192" s="31" t="str">
        <f ca="1">IF($AI192="학사",IF($AK192&lt;=8,"초급",IF($AK192&lt;12,"중급",IF($AK192&lt;15,"고급",IF($AK192&gt;=15,"특급")))))</f>
        <v>초급</v>
      </c>
      <c r="AM192" s="31" t="str">
        <f>IF(ISNUMBER(SEARCH("산업기사",$AT192)),IF($AK192&gt;=13,"특급",IF($AK192&gt;=10,"고급",IF($AK192&gt;=7,"중급","초급"))),IF(ISNUMBER(SEARCH("기사",$AR192)),IF($AK192&gt;=10,"특급",IF($AK192&gt;=7,"고급",IF($AK192&gt;=4,"중급","초급"))),"미해당"))</f>
        <v>미해당</v>
      </c>
      <c r="AN192" s="27"/>
      <c r="AO192" s="32"/>
      <c r="AP192" s="27"/>
      <c r="AQ192" s="32"/>
      <c r="AR192" s="27"/>
      <c r="AS192" s="27"/>
      <c r="AT192" s="37"/>
      <c r="AU192" s="27"/>
      <c r="AV192" s="38"/>
      <c r="AW192" s="39"/>
      <c r="AX192" s="39"/>
      <c r="AY192" s="40" t="s">
        <v>251</v>
      </c>
      <c r="AZ192" s="41" t="s">
        <v>252</v>
      </c>
      <c r="BA192" s="30" t="s">
        <v>230</v>
      </c>
      <c r="BB192" s="30" t="s">
        <v>2277</v>
      </c>
      <c r="BC192" s="42" t="s">
        <v>254</v>
      </c>
      <c r="BD192" s="42" t="s">
        <v>2278</v>
      </c>
      <c r="BE192" s="69" t="s">
        <v>2279</v>
      </c>
      <c r="BF192" s="42" t="s">
        <v>1688</v>
      </c>
      <c r="BG192" s="42" t="s">
        <v>212</v>
      </c>
      <c r="BH192" s="35"/>
      <c r="BI192" s="44" t="s">
        <v>2280</v>
      </c>
      <c r="BJ192" s="45" t="str">
        <f>IFERROR(VLOOKUP($BG192,[1]프로젝트현황!Y:Z,2,0),"기타")</f>
        <v>서북권</v>
      </c>
      <c r="BK192" s="46" t="str">
        <f>(IF(BF192="","",BF192&amp;" "))&amp;(IF(BG192="","",BG192&amp;" "))&amp;(IF(BH192="","",BH192&amp;" "))&amp;BI192</f>
        <v>서울특별시 서대문구 포방터2나길 21-8, 201호</v>
      </c>
      <c r="BL192" s="47">
        <v>30</v>
      </c>
      <c r="BM192" s="47">
        <v>30</v>
      </c>
      <c r="BN192" s="48">
        <v>29000000</v>
      </c>
      <c r="BO192" s="48">
        <f>BP192*12</f>
        <v>29000005.200000003</v>
      </c>
      <c r="BP192" s="49">
        <f>SUM(BQ192:BS192)</f>
        <v>2416667.1</v>
      </c>
      <c r="BQ192" s="49">
        <f>ROUNDUP(BN192/12*209/(209+BU192*1.5)/BL192*BM192,-1)-BS192</f>
        <v>1967740</v>
      </c>
      <c r="BR192" s="49">
        <f>ROUNDUP(BN192/12*(BU192*1.5)/(209+BU192*1.5)/BL192*BM192,1)</f>
        <v>248927.1</v>
      </c>
      <c r="BS192" s="49">
        <v>200000</v>
      </c>
      <c r="BT192" s="50">
        <v>209</v>
      </c>
      <c r="BU192" s="49">
        <f>IF($BN192="","",
IFERROR(
    IF($BN192&lt;'[1]시간외시간 기준표'!$B$2,0,
        IF($BN192&gt;LOOKUP(9.9E+307,'[1]시간외시간 기준표'!$B$2:$B$999),
            LOOKUP(9.9E+307,'[1]시간외시간 기준표'!$C$2:$C$999),
            LOOKUP($BN192,'[1]시간외시간 기준표'!$B$2:$B$999,'[1]시간외시간 기준표'!$C$2:$C$999)
        )
    ),0)
)</f>
        <v>16</v>
      </c>
      <c r="BV192" s="50">
        <f>(BQ192+BS192)/209</f>
        <v>10371.961722488039</v>
      </c>
      <c r="BW192" s="51">
        <v>30</v>
      </c>
      <c r="BX192" s="51">
        <v>30</v>
      </c>
      <c r="BY192" s="52">
        <v>29000000</v>
      </c>
      <c r="BZ192" s="52">
        <f>CA192*12</f>
        <v>29000007.599999998</v>
      </c>
      <c r="CA192" s="49">
        <f>SUM(CB192:CD192)</f>
        <v>2416667.2999999998</v>
      </c>
      <c r="CB192" s="49">
        <f>ROUNDUP(BY192/12*209/(209+CF192*1.5)/BW192*BX192,-1)-CD192</f>
        <v>1913320</v>
      </c>
      <c r="CC192" s="49">
        <f>ROUNDUP(BY192/12*(CF192*1.5)/(209+CF192*1.5)/BW192*BX192,1)</f>
        <v>303347.3</v>
      </c>
      <c r="CD192" s="49">
        <v>200000</v>
      </c>
      <c r="CE192" s="50">
        <v>209</v>
      </c>
      <c r="CF192" s="49">
        <f>IF(BY192&lt;26000000,0,IF(BY192&lt;26500000,4,IF(BY192&lt;27000000,7,IF(BY192&lt;27500000,9,IF(BY192&lt;28000000,11,IF(BY192&lt;28500000,15,IF(BY192&lt;29000000,17,IF(BY192&lt;29500000,20,IF(BY192&lt;30000000,23,IF(BY192&lt;30500000,25,IF(BY192&lt;31000000,27,IF(BY192&lt;31500000,29,IF(BY192&lt;32000000,33,IF(BY192&lt;32500000,37,IF(BY192&lt;33000000,39,IF(BY192&lt;33500000,42,IF(BY192&lt;34000000,45,IF(BY192&lt;34500000,48,IF(BY192&lt;35000000,52,52)))))))))))))))))))</f>
        <v>20</v>
      </c>
      <c r="CG192" s="50">
        <f>(CB192+CD192)/209</f>
        <v>10111.578947368422</v>
      </c>
      <c r="CH192" s="66"/>
      <c r="CI192" s="66"/>
      <c r="CJ192" s="67"/>
      <c r="CK192" s="67"/>
      <c r="CL192" s="49"/>
      <c r="CM192" s="49"/>
      <c r="CN192" s="49"/>
      <c r="CO192" s="50"/>
      <c r="CP192" s="50"/>
      <c r="CQ192" s="50"/>
      <c r="CR192" s="50"/>
      <c r="CS192" s="52"/>
      <c r="CT192" s="53"/>
      <c r="CU192" s="53"/>
      <c r="CV192" s="53"/>
      <c r="CW192" s="54"/>
      <c r="CX192" s="54"/>
      <c r="CY192" s="54"/>
      <c r="CZ192" s="55"/>
      <c r="DA192" s="55"/>
      <c r="DB192" s="56"/>
      <c r="DC192" s="57"/>
      <c r="DD192" s="58"/>
      <c r="DE192" s="58"/>
      <c r="DF192" s="57"/>
      <c r="DG192" s="59">
        <f>B192</f>
        <v>250907</v>
      </c>
      <c r="DH192" s="58"/>
      <c r="DI192" s="58"/>
      <c r="DJ192" s="60"/>
      <c r="DK192" s="58"/>
      <c r="DL192" s="61"/>
      <c r="DM192" s="24"/>
    </row>
    <row r="193" spans="1:117" s="63" customFormat="1" ht="15" customHeight="1">
      <c r="A193" s="25">
        <f>ROW()-2</f>
        <v>191</v>
      </c>
      <c r="B193" s="26">
        <v>251001</v>
      </c>
      <c r="C193" s="27" t="s">
        <v>2281</v>
      </c>
      <c r="D193" s="27"/>
      <c r="E193" s="27" t="s">
        <v>239</v>
      </c>
      <c r="F193" s="27" t="s">
        <v>196</v>
      </c>
      <c r="G193" s="27" t="s">
        <v>240</v>
      </c>
      <c r="H193" s="27" t="s">
        <v>217</v>
      </c>
      <c r="I193" s="27" t="s">
        <v>479</v>
      </c>
      <c r="J193" s="27" t="str">
        <f>+VLOOKUP($I193,[1]프로젝트현황!$I:$N,5,0)</f>
        <v>경기도</v>
      </c>
      <c r="K193" s="27" t="str">
        <f>+VLOOKUP($I193,[1]프로젝트현황!$I:$N,6,0)</f>
        <v>성남시</v>
      </c>
      <c r="L193" s="28">
        <v>45943</v>
      </c>
      <c r="M193" s="28">
        <v>45943</v>
      </c>
      <c r="N193" s="28"/>
      <c r="O193" s="29"/>
      <c r="P193" s="30" t="s">
        <v>2282</v>
      </c>
      <c r="Q193" s="27" t="s">
        <v>2283</v>
      </c>
      <c r="R193" s="31" t="str">
        <f>LEFT(Q193,6)</f>
        <v>970726</v>
      </c>
      <c r="S193" s="31" t="str">
        <f>MID($Q193,3,2)</f>
        <v>07</v>
      </c>
      <c r="T193" s="31" t="str">
        <f>IF(OR(MID($Q193,8,1)="1",MID($Q193,8,1)="3"),"남자",IF(OR(MID($Q193,8,1)="2",MID($Q193,8,1)="4"),"여자",""))</f>
        <v>남자</v>
      </c>
      <c r="U193" s="31">
        <f ca="1">YEAR(TODAY())-IF(OR(MID($Q193,8,1)="1",MID($Q193,8,1)="2"),19&amp;LEFT($Q193,2),IF(OR(MID($Q193,8,1)="3",MID($Q193,8,1)="4"),20&amp;LEFT($Q193,2),""))+1</f>
        <v>30</v>
      </c>
      <c r="V193" s="31" t="s">
        <v>200</v>
      </c>
      <c r="W193" s="31" t="s">
        <v>201</v>
      </c>
      <c r="X193" s="27" t="s">
        <v>2284</v>
      </c>
      <c r="Y193" s="27"/>
      <c r="Z193" s="27"/>
      <c r="AA193" s="32"/>
      <c r="AB193" s="31" t="s">
        <v>203</v>
      </c>
      <c r="AC193" s="27"/>
      <c r="AD193" s="33" t="str">
        <f ca="1">QUOTIENT(SUMPRODUCT(LEFT($AE193:$AF193,FIND("년",$AE193:$AF193)-1)*12+MID($AE193:$AF193,FIND("년",$AE193:$AF193)+1,FIND("개월",$AE193:$AF193)-FIND("년",$AE193:$AF193)-1)),12)&amp;"년"&amp;MOD(SUMPRODUCT(LEFT($AE193:$AF193,FIND("년",$AE193:$AF193)-1)*12+MID($AE193:$AF193,FIND("년",$AE193:$AF193)+1,FIND("개월",$AE193:$AF193)-FIND("년",$AE193:$AF193)-1)),12)&amp;"개월"</f>
        <v>4년0개월</v>
      </c>
      <c r="AE193" s="33" t="s">
        <v>2285</v>
      </c>
      <c r="AF193" s="34" t="str">
        <f ca="1">DATEDIF($L193,TODAY(),"y")&amp;"년"&amp;DATEDIF($L193,TODAY(),"ym")&amp;"개월"</f>
        <v>0년3개월</v>
      </c>
      <c r="AG193" s="35" t="s">
        <v>1582</v>
      </c>
      <c r="AH193" s="35" t="s">
        <v>2286</v>
      </c>
      <c r="AI193" s="30" t="s">
        <v>270</v>
      </c>
      <c r="AJ193" s="32">
        <v>44614</v>
      </c>
      <c r="AK193" s="36">
        <f ca="1">VALUE(LEFT($AD193,FIND("년",$AD193)-1))</f>
        <v>4</v>
      </c>
      <c r="AL193" s="31" t="str">
        <f ca="1">IF($AI193="학사",IF($AK193&lt;=8,"초급",IF($AK193&lt;12,"중급",IF($AK193&lt;15,"고급",IF($AK193&gt;=15,"특급")))))</f>
        <v>초급</v>
      </c>
      <c r="AM193" s="31" t="str">
        <f>IF(ISNUMBER(SEARCH("산업기사",$AT193)),IF($AK193&gt;=13,"특급",IF($AK193&gt;=10,"고급",IF($AK193&gt;=7,"중급","초급"))),IF(ISNUMBER(SEARCH("기사",$AR193)),IF($AK193&gt;=10,"특급",IF($AK193&gt;=7,"고급",IF($AK193&gt;=4,"중급","초급"))),"미해당"))</f>
        <v>미해당</v>
      </c>
      <c r="AN193" s="27"/>
      <c r="AO193" s="32"/>
      <c r="AP193" s="27"/>
      <c r="AQ193" s="32"/>
      <c r="AR193" s="27"/>
      <c r="AS193" s="27"/>
      <c r="AT193" s="37"/>
      <c r="AU193" s="27"/>
      <c r="AV193" s="38"/>
      <c r="AW193" s="39"/>
      <c r="AX193" s="39"/>
      <c r="AY193" s="40" t="s">
        <v>251</v>
      </c>
      <c r="AZ193" s="41" t="s">
        <v>252</v>
      </c>
      <c r="BA193" s="30" t="s">
        <v>230</v>
      </c>
      <c r="BB193" s="30" t="s">
        <v>2287</v>
      </c>
      <c r="BC193" s="42" t="s">
        <v>1769</v>
      </c>
      <c r="BD193" s="42" t="s">
        <v>2288</v>
      </c>
      <c r="BE193" s="69" t="s">
        <v>2289</v>
      </c>
      <c r="BF193" s="42" t="s">
        <v>2290</v>
      </c>
      <c r="BG193" s="42" t="s">
        <v>295</v>
      </c>
      <c r="BH193" s="35" t="s">
        <v>1291</v>
      </c>
      <c r="BI193" s="44" t="s">
        <v>2291</v>
      </c>
      <c r="BJ193" s="45" t="str">
        <f>IFERROR(VLOOKUP($BG193,[1]프로젝트현황!Y:Z,2,0),"기타")</f>
        <v>동남권</v>
      </c>
      <c r="BK193" s="46" t="str">
        <f>(IF(BF193="","",BF193&amp;" "))&amp;(IF(BG193="","",BG193&amp;" "))&amp;(IF(BH193="","",BH193&amp;" "))&amp;BI193</f>
        <v xml:space="preserve"> 서울특별시 수원시 영통구 광교로 120, 911호 (이의동, 스페이스광교)</v>
      </c>
      <c r="BL193" s="47">
        <v>30</v>
      </c>
      <c r="BM193" s="47">
        <v>30</v>
      </c>
      <c r="BN193" s="48">
        <v>33000000</v>
      </c>
      <c r="BO193" s="48">
        <f>BP193*12</f>
        <v>33000069.599999998</v>
      </c>
      <c r="BP193" s="49">
        <f>SUM(BQ193:BS193)</f>
        <v>2750005.8</v>
      </c>
      <c r="BQ193" s="49">
        <f>ROUNDUP(BN193/12*209/(209+BU193*1.5)/BL193*BM193,-1)-BS193</f>
        <v>1960720</v>
      </c>
      <c r="BR193" s="49">
        <f>ROUNDUP(BN193/12*(BU193*1.5)/(209+BU193*1.5)/BL193*BM193,1)</f>
        <v>589285.79999999993</v>
      </c>
      <c r="BS193" s="49">
        <v>200000</v>
      </c>
      <c r="BT193" s="50">
        <v>209</v>
      </c>
      <c r="BU193" s="49">
        <f>IF($BN193="","",
IFERROR(
    IF($BN193&lt;'[1]시간외시간 기준표'!$B$2,0,
        IF($BN193&gt;LOOKUP(9.9E+307,'[1]시간외시간 기준표'!$B$2:$B$999),
            LOOKUP(9.9E+307,'[1]시간외시간 기준표'!$C$2:$C$999),
            LOOKUP($BN193,'[1]시간외시간 기준표'!$B$2:$B$999,'[1]시간외시간 기준표'!$C$2:$C$999)
        )
    ),0)
)</f>
        <v>38</v>
      </c>
      <c r="BV193" s="50">
        <f>(BQ193+BS193)/209</f>
        <v>10338.373205741627</v>
      </c>
      <c r="BW193" s="51">
        <v>30</v>
      </c>
      <c r="BX193" s="51">
        <v>30</v>
      </c>
      <c r="BY193" s="52">
        <v>33000000</v>
      </c>
      <c r="BZ193" s="52">
        <f>CA193*12</f>
        <v>33000103.200000003</v>
      </c>
      <c r="CA193" s="49">
        <f>SUM(CB193:CD193)</f>
        <v>2750008.6</v>
      </c>
      <c r="CB193" s="49">
        <f>ROUNDUP(BY193/12*209/(209+CF193*1.5)/BW193*BX193,-1)-CD193</f>
        <v>1913060</v>
      </c>
      <c r="CC193" s="49">
        <f>ROUNDUP(BY193/12*(CF193*1.5)/(209+CF193*1.5)/BW193*BX193,1)</f>
        <v>636948.6</v>
      </c>
      <c r="CD193" s="49">
        <v>200000</v>
      </c>
      <c r="CE193" s="50">
        <v>209</v>
      </c>
      <c r="CF193" s="49">
        <f>IF(BY193&lt;26000000,0,IF(BY193&lt;26500000,4,IF(BY193&lt;27000000,7,IF(BY193&lt;27500000,9,IF(BY193&lt;28000000,11,IF(BY193&lt;28500000,15,IF(BY193&lt;29000000,17,IF(BY193&lt;29500000,20,IF(BY193&lt;30000000,23,IF(BY193&lt;30500000,25,IF(BY193&lt;31000000,27,IF(BY193&lt;31500000,29,IF(BY193&lt;32000000,33,IF(BY193&lt;32500000,37,IF(BY193&lt;33000000,39,IF(BY193&lt;33500000,42,IF(BY193&lt;34000000,45,IF(BY193&lt;34500000,48,IF(BY193&lt;35000000,52,52)))))))))))))))))))</f>
        <v>42</v>
      </c>
      <c r="CG193" s="50">
        <f>(CB193+CD193)/209</f>
        <v>10110.334928229666</v>
      </c>
      <c r="CH193" s="66"/>
      <c r="CI193" s="66"/>
      <c r="CJ193" s="67"/>
      <c r="CK193" s="67"/>
      <c r="CL193" s="49"/>
      <c r="CM193" s="49"/>
      <c r="CN193" s="49"/>
      <c r="CO193" s="50"/>
      <c r="CP193" s="50"/>
      <c r="CQ193" s="50"/>
      <c r="CR193" s="50"/>
      <c r="CS193" s="52"/>
      <c r="CT193" s="53"/>
      <c r="CU193" s="53"/>
      <c r="CV193" s="53"/>
      <c r="CW193" s="54"/>
      <c r="CX193" s="54"/>
      <c r="CY193" s="54"/>
      <c r="CZ193" s="55"/>
      <c r="DA193" s="55"/>
      <c r="DB193" s="56"/>
      <c r="DC193" s="57"/>
      <c r="DD193" s="58"/>
      <c r="DE193" s="58"/>
      <c r="DF193" s="57"/>
      <c r="DG193" s="59">
        <f>B193</f>
        <v>251001</v>
      </c>
      <c r="DH193" s="58"/>
      <c r="DI193" s="58"/>
      <c r="DJ193" s="60"/>
      <c r="DK193" s="58"/>
      <c r="DL193" s="61"/>
      <c r="DM193" s="24"/>
    </row>
    <row r="194" spans="1:117" s="63" customFormat="1" ht="15" customHeight="1">
      <c r="A194" s="25">
        <f>ROW()-2</f>
        <v>192</v>
      </c>
      <c r="B194" s="26">
        <v>251101</v>
      </c>
      <c r="C194" s="62" t="s">
        <v>2292</v>
      </c>
      <c r="D194" s="27" t="s">
        <v>282</v>
      </c>
      <c r="E194" s="27" t="s">
        <v>239</v>
      </c>
      <c r="F194" s="27" t="s">
        <v>196</v>
      </c>
      <c r="G194" s="27" t="s">
        <v>240</v>
      </c>
      <c r="H194" s="27" t="s">
        <v>260</v>
      </c>
      <c r="I194" s="27" t="s">
        <v>902</v>
      </c>
      <c r="J194" s="27" t="str">
        <f>+VLOOKUP($I194,[1]프로젝트현황!$I:$N,5,0)</f>
        <v>서울시</v>
      </c>
      <c r="K194" s="27" t="str">
        <f>+VLOOKUP($I194,[1]프로젝트현황!$I:$N,6,0)</f>
        <v>종로구</v>
      </c>
      <c r="L194" s="28">
        <v>45964</v>
      </c>
      <c r="M194" s="28">
        <v>45964</v>
      </c>
      <c r="N194" s="28"/>
      <c r="O194" s="29"/>
      <c r="P194" s="30" t="s">
        <v>2293</v>
      </c>
      <c r="Q194" s="27" t="s">
        <v>2294</v>
      </c>
      <c r="R194" s="31" t="str">
        <f>LEFT(Q194,6)</f>
        <v>860901</v>
      </c>
      <c r="S194" s="31" t="str">
        <f>MID($Q194,3,2)</f>
        <v>09</v>
      </c>
      <c r="T194" s="31" t="str">
        <f>IF(OR(MID($Q194,8,1)="1",MID($Q194,8,1)="3"),"남자",IF(OR(MID($Q194,8,1)="2",MID($Q194,8,1)="4"),"여자",""))</f>
        <v>남자</v>
      </c>
      <c r="U194" s="31">
        <f ca="1">YEAR(TODAY())-IF(OR(MID($Q194,8,1)="1",MID($Q194,8,1)="2"),19&amp;LEFT($Q194,2),IF(OR(MID($Q194,8,1)="3",MID($Q194,8,1)="4"),20&amp;LEFT($Q194,2),""))+1</f>
        <v>41</v>
      </c>
      <c r="V194" s="31" t="s">
        <v>200</v>
      </c>
      <c r="W194" s="31" t="s">
        <v>201</v>
      </c>
      <c r="X194" s="27" t="s">
        <v>2295</v>
      </c>
      <c r="Y194" s="27"/>
      <c r="Z194" s="27"/>
      <c r="AA194" s="32"/>
      <c r="AB194" s="31" t="s">
        <v>203</v>
      </c>
      <c r="AC194" s="27"/>
      <c r="AD194" s="33" t="str">
        <f ca="1">QUOTIENT(SUMPRODUCT(LEFT($AE194:$AF194,FIND("년",$AE194:$AF194)-1)*12+MID($AE194:$AF194,FIND("년",$AE194:$AF194)+1,FIND("개월",$AE194:$AF194)-FIND("년",$AE194:$AF194)-1)),12)&amp;"년"&amp;MOD(SUMPRODUCT(LEFT($AE194:$AF194,FIND("년",$AE194:$AF194)-1)*12+MID($AE194:$AF194,FIND("년",$AE194:$AF194)+1,FIND("개월",$AE194:$AF194)-FIND("년",$AE194:$AF194)-1)),12)&amp;"개월"</f>
        <v>12년4개월</v>
      </c>
      <c r="AE194" s="33" t="s">
        <v>2296</v>
      </c>
      <c r="AF194" s="34" t="str">
        <f ca="1">DATEDIF($L194,TODAY(),"y")&amp;"년"&amp;DATEDIF($L194,TODAY(),"ym")&amp;"개월"</f>
        <v>0년3개월</v>
      </c>
      <c r="AG194" s="35" t="s">
        <v>2297</v>
      </c>
      <c r="AH194" s="35" t="s">
        <v>2298</v>
      </c>
      <c r="AI194" s="30" t="s">
        <v>270</v>
      </c>
      <c r="AJ194" s="32">
        <v>42427</v>
      </c>
      <c r="AK194" s="36">
        <f ca="1">VALUE(LEFT($AD194,FIND("년",$AD194)-1))</f>
        <v>12</v>
      </c>
      <c r="AL194" s="31" t="str">
        <f ca="1">IF($AI194="학사",IF($AK194&lt;=8,"초급",IF($AK194&lt;12,"중급",IF($AK194&lt;15,"고급",IF($AK194&gt;=15,"특급")))))</f>
        <v>고급</v>
      </c>
      <c r="AM194" s="31" t="str">
        <f>IF(ISNUMBER(SEARCH("산업기사",$AT194)),IF($AK194&gt;=13,"특급",IF($AK194&gt;=10,"고급",IF($AK194&gt;=7,"중급","초급"))),IF(ISNUMBER(SEARCH("기사",$AR194)),IF($AK194&gt;=10,"특급",IF($AK194&gt;=7,"고급",IF($AK194&gt;=4,"중급","초급"))),"미해당"))</f>
        <v>미해당</v>
      </c>
      <c r="AN194" s="27"/>
      <c r="AO194" s="32"/>
      <c r="AP194" s="27"/>
      <c r="AQ194" s="32"/>
      <c r="AR194" s="27"/>
      <c r="AS194" s="27"/>
      <c r="AT194" s="37"/>
      <c r="AU194" s="27"/>
      <c r="AV194" s="38"/>
      <c r="AW194" s="39"/>
      <c r="AX194" s="39"/>
      <c r="AY194" s="40" t="s">
        <v>251</v>
      </c>
      <c r="AZ194" s="41" t="s">
        <v>252</v>
      </c>
      <c r="BA194" s="30" t="s">
        <v>230</v>
      </c>
      <c r="BB194" s="30" t="s">
        <v>2299</v>
      </c>
      <c r="BC194" s="42"/>
      <c r="BD194" s="42"/>
      <c r="BE194" s="69" t="s">
        <v>2300</v>
      </c>
      <c r="BF194" s="42" t="s">
        <v>1688</v>
      </c>
      <c r="BG194" s="42" t="s">
        <v>923</v>
      </c>
      <c r="BH194" s="35"/>
      <c r="BI194" s="44" t="s">
        <v>2301</v>
      </c>
      <c r="BJ194" s="45" t="str">
        <f>IFERROR(VLOOKUP($BG194,[1]프로젝트현황!Y:Z,2,0),"기타")</f>
        <v>동북권</v>
      </c>
      <c r="BK194" s="46" t="str">
        <f>(IF(BF194="","",BF194&amp;" "))&amp;(IF(BG194="","",BG194&amp;" "))&amp;(IF(BH194="","",BH194&amp;" "))&amp;BI194</f>
        <v>서울특별시 성북구 장월로18길 34(장위동)</v>
      </c>
      <c r="BL194" s="70">
        <v>30</v>
      </c>
      <c r="BM194" s="70">
        <v>30</v>
      </c>
      <c r="BN194" s="48">
        <v>41000000</v>
      </c>
      <c r="BO194" s="48">
        <f>BP194*12</f>
        <v>41000058</v>
      </c>
      <c r="BP194" s="49">
        <f>SUM(BQ194:BS194)</f>
        <v>3416671.5</v>
      </c>
      <c r="BQ194" s="49">
        <f>ROUNDUP(BN194/12*209/(209+BU194*1.5)/BL194*BM194,-1)-BS194</f>
        <v>2288100</v>
      </c>
      <c r="BR194" s="49">
        <f>ROUNDUP(BN194/12*(BU194*1.5)/(209+BU194*1.5)/BL194*BM194,1)</f>
        <v>928571.5</v>
      </c>
      <c r="BS194" s="49">
        <v>200000</v>
      </c>
      <c r="BT194" s="50">
        <v>209</v>
      </c>
      <c r="BU194" s="49">
        <f>IF($BN194="","",
IFERROR(
    IF($BN194&lt;'[1]시간외시간 기준표'!$B$2,0,
        IF($BN194&gt;LOOKUP(9.9E+307,'[1]시간외시간 기준표'!$B$2:$B$999),
            LOOKUP(9.9E+307,'[1]시간외시간 기준표'!$C$2:$C$999),
            LOOKUP($BN194,'[1]시간외시간 기준표'!$B$2:$B$999,'[1]시간외시간 기준표'!$C$2:$C$999)
        )
    ),0)
)</f>
        <v>52</v>
      </c>
      <c r="BV194" s="50">
        <f>(BQ194+BS194)/209</f>
        <v>11904.784688995216</v>
      </c>
      <c r="BW194" s="71">
        <v>30</v>
      </c>
      <c r="BX194" s="71">
        <v>30</v>
      </c>
      <c r="BY194" s="52">
        <v>41000000</v>
      </c>
      <c r="BZ194" s="52">
        <f>CA194*12</f>
        <v>41000058</v>
      </c>
      <c r="CA194" s="49">
        <f>SUM(CB194:CD194)</f>
        <v>3416671.5</v>
      </c>
      <c r="CB194" s="49">
        <f>ROUNDUP(BY194/12*209/(209+CF194*1.5)/BW194*BX194,-1)-CD194</f>
        <v>2288100</v>
      </c>
      <c r="CC194" s="49">
        <f>ROUNDUP(BY194/12*(CF194*1.5)/(209+CF194*1.5)/BW194*BX194,1)</f>
        <v>928571.5</v>
      </c>
      <c r="CD194" s="49">
        <v>200000</v>
      </c>
      <c r="CE194" s="50">
        <v>209</v>
      </c>
      <c r="CF194" s="49">
        <f>IF(BY194&lt;26000000,0,IF(BY194&lt;26500000,4,IF(BY194&lt;27000000,7,IF(BY194&lt;27500000,9,IF(BY194&lt;28000000,11,IF(BY194&lt;28500000,15,IF(BY194&lt;29000000,17,IF(BY194&lt;29500000,20,IF(BY194&lt;30000000,23,IF(BY194&lt;30500000,25,IF(BY194&lt;31000000,27,IF(BY194&lt;31500000,29,IF(BY194&lt;32000000,33,IF(BY194&lt;32500000,37,IF(BY194&lt;33000000,39,IF(BY194&lt;33500000,42,IF(BY194&lt;34000000,45,IF(BY194&lt;34500000,48,IF(BY194&lt;35000000,52,52)))))))))))))))))))</f>
        <v>52</v>
      </c>
      <c r="CG194" s="50">
        <f>(CB194+CD194)/209</f>
        <v>11904.784688995216</v>
      </c>
      <c r="CH194" s="66"/>
      <c r="CI194" s="66"/>
      <c r="CJ194" s="67"/>
      <c r="CK194" s="67"/>
      <c r="CL194" s="49"/>
      <c r="CM194" s="49"/>
      <c r="CN194" s="49"/>
      <c r="CO194" s="50"/>
      <c r="CP194" s="50"/>
      <c r="CQ194" s="50"/>
      <c r="CR194" s="50"/>
      <c r="CS194" s="52"/>
      <c r="CT194" s="53"/>
      <c r="CU194" s="53"/>
      <c r="CV194" s="53"/>
      <c r="CW194" s="54"/>
      <c r="CX194" s="54"/>
      <c r="CY194" s="54"/>
      <c r="CZ194" s="55"/>
      <c r="DA194" s="55"/>
      <c r="DB194" s="56"/>
      <c r="DC194" s="57"/>
      <c r="DD194" s="58"/>
      <c r="DE194" s="58"/>
      <c r="DF194" s="57"/>
      <c r="DG194" s="59">
        <f>B194</f>
        <v>251101</v>
      </c>
      <c r="DH194" s="58"/>
      <c r="DI194" s="58"/>
      <c r="DJ194" s="60"/>
      <c r="DK194" s="58"/>
      <c r="DL194" s="61"/>
      <c r="DM194" s="24"/>
    </row>
    <row r="195" spans="1:117" s="63" customFormat="1" ht="15" customHeight="1">
      <c r="A195" s="25">
        <f>ROW()-2</f>
        <v>193</v>
      </c>
      <c r="B195" s="26">
        <v>251102</v>
      </c>
      <c r="C195" s="27" t="s">
        <v>2302</v>
      </c>
      <c r="D195" s="27"/>
      <c r="E195" s="27" t="s">
        <v>613</v>
      </c>
      <c r="F195" s="27" t="s">
        <v>196</v>
      </c>
      <c r="G195" s="27" t="s">
        <v>240</v>
      </c>
      <c r="H195" s="27" t="s">
        <v>241</v>
      </c>
      <c r="I195" s="27" t="s">
        <v>538</v>
      </c>
      <c r="J195" s="27" t="str">
        <f>+VLOOKUP($I195,[1]프로젝트현황!$I:$N,5,0)</f>
        <v>서울시</v>
      </c>
      <c r="K195" s="27" t="str">
        <f>+VLOOKUP($I195,[1]프로젝트현황!$I:$N,6,0)</f>
        <v>금천구</v>
      </c>
      <c r="L195" s="28">
        <v>45964</v>
      </c>
      <c r="M195" s="28">
        <v>45964</v>
      </c>
      <c r="N195" s="28"/>
      <c r="O195" s="29"/>
      <c r="P195" s="30" t="s">
        <v>2303</v>
      </c>
      <c r="Q195" s="27" t="s">
        <v>2304</v>
      </c>
      <c r="R195" s="31" t="str">
        <f>LEFT(Q195,6)</f>
        <v>000326</v>
      </c>
      <c r="S195" s="31" t="str">
        <f>MID($Q195,3,2)</f>
        <v>03</v>
      </c>
      <c r="T195" s="31" t="s">
        <v>2305</v>
      </c>
      <c r="U195" s="31" t="e">
        <f ca="1">YEAR(TODAY())-IF(OR(MID($Q195,8,1)="1",MID($Q195,8,1)="2"),19&amp;LEFT($Q195,2),IF(OR(MID($Q195,8,1)="3",MID($Q195,8,1)="4"),20&amp;LEFT($Q195,2),""))+1</f>
        <v>#VALUE!</v>
      </c>
      <c r="V195" s="31" t="s">
        <v>200</v>
      </c>
      <c r="W195" s="72" t="s">
        <v>2306</v>
      </c>
      <c r="X195" s="27" t="s">
        <v>2307</v>
      </c>
      <c r="Y195" s="27"/>
      <c r="Z195" s="27"/>
      <c r="AA195" s="32"/>
      <c r="AB195" s="31" t="s">
        <v>203</v>
      </c>
      <c r="AC195" s="27"/>
      <c r="AD195" s="33" t="str">
        <f ca="1">QUOTIENT(SUMPRODUCT(LEFT($AE195:$AF195,FIND("년",$AE195:$AF195)-1)*12+MID($AE195:$AF195,FIND("년",$AE195:$AF195)+1,FIND("개월",$AE195:$AF195)-FIND("년",$AE195:$AF195)-1)),12)&amp;"년"&amp;MOD(SUMPRODUCT(LEFT($AE195:$AF195,FIND("년",$AE195:$AF195)-1)*12+MID($AE195:$AF195,FIND("년",$AE195:$AF195)+1,FIND("개월",$AE195:$AF195)-FIND("년",$AE195:$AF195)-1)),12)&amp;"개월"</f>
        <v>2년7개월</v>
      </c>
      <c r="AE195" s="33" t="s">
        <v>2045</v>
      </c>
      <c r="AF195" s="34" t="str">
        <f ca="1">DATEDIF($L195,TODAY(),"y")&amp;"년"&amp;DATEDIF($L195,TODAY(),"ym")&amp;"개월"</f>
        <v>0년3개월</v>
      </c>
      <c r="AG195" s="35" t="s">
        <v>2308</v>
      </c>
      <c r="AH195" s="35" t="s">
        <v>2309</v>
      </c>
      <c r="AI195" s="30" t="s">
        <v>270</v>
      </c>
      <c r="AJ195" s="32">
        <v>44742</v>
      </c>
      <c r="AK195" s="36">
        <f ca="1">VALUE(LEFT($AD195,FIND("년",$AD195)-1))</f>
        <v>2</v>
      </c>
      <c r="AL195" s="31" t="str">
        <f ca="1">IF($AI195="학사",IF($AK195&lt;=8,"초급",IF($AK195&lt;12,"중급",IF($AK195&lt;15,"고급",IF($AK195&gt;=15,"특급")))))</f>
        <v>초급</v>
      </c>
      <c r="AM195" s="31" t="str">
        <f>IF(ISNUMBER(SEARCH("산업기사",$AT195)),IF($AK195&gt;=13,"특급",IF($AK195&gt;=10,"고급",IF($AK195&gt;=7,"중급","초급"))),IF(ISNUMBER(SEARCH("기사",$AR195)),IF($AK195&gt;=10,"특급",IF($AK195&gt;=7,"고급",IF($AK195&gt;=4,"중급","초급"))),"미해당"))</f>
        <v>미해당</v>
      </c>
      <c r="AN195" s="27" t="s">
        <v>2246</v>
      </c>
      <c r="AO195" s="32">
        <v>45927</v>
      </c>
      <c r="AP195" s="27" t="s">
        <v>2126</v>
      </c>
      <c r="AQ195" s="32">
        <v>45890</v>
      </c>
      <c r="AR195" s="27"/>
      <c r="AS195" s="27"/>
      <c r="AT195" s="37"/>
      <c r="AU195" s="27"/>
      <c r="AV195" s="38"/>
      <c r="AW195" s="39"/>
      <c r="AX195" s="39"/>
      <c r="AY195" s="40" t="s">
        <v>251</v>
      </c>
      <c r="AZ195" s="41" t="s">
        <v>252</v>
      </c>
      <c r="BA195" s="30" t="s">
        <v>230</v>
      </c>
      <c r="BB195" s="30" t="s">
        <v>2310</v>
      </c>
      <c r="BC195" s="42" t="s">
        <v>254</v>
      </c>
      <c r="BD195" s="42" t="s">
        <v>2311</v>
      </c>
      <c r="BE195" s="69" t="s">
        <v>2312</v>
      </c>
      <c r="BF195" s="42" t="s">
        <v>234</v>
      </c>
      <c r="BG195" s="42" t="s">
        <v>355</v>
      </c>
      <c r="BH195" s="35" t="s">
        <v>356</v>
      </c>
      <c r="BI195" s="44" t="s">
        <v>2313</v>
      </c>
      <c r="BJ195" s="45" t="str">
        <f>IFERROR(VLOOKUP($BG195,[1]프로젝트현황!Y:Z,2,0),"기타")</f>
        <v>서남권</v>
      </c>
      <c r="BK195" s="46" t="str">
        <f>(IF(BF195="","",BF195&amp;" "))&amp;(IF(BG195="","",BG195&amp;" "))&amp;(IF(BH195="","",BH195&amp;" "))&amp;BI195</f>
        <v>경기도 부천시 원미구 조마루로 358번길 23, 302호</v>
      </c>
      <c r="BL195" s="47">
        <v>30</v>
      </c>
      <c r="BM195" s="47">
        <v>30</v>
      </c>
      <c r="BN195" s="48">
        <v>30000000</v>
      </c>
      <c r="BO195" s="48">
        <f>BP195*12</f>
        <v>30000109.200000003</v>
      </c>
      <c r="BP195" s="49">
        <f>SUM(BQ195:BS195)</f>
        <v>2500009.1</v>
      </c>
      <c r="BQ195" s="49">
        <f>ROUNDUP(BN195/12*209/(209+BU195*1.5)/BL195*BM195,-1)-BS195</f>
        <v>1959100</v>
      </c>
      <c r="BR195" s="49">
        <f>ROUNDUP(BN195/12*(BU195*1.5)/(209+BU195*1.5)/BL195*BM195,1)</f>
        <v>340909.1</v>
      </c>
      <c r="BS195" s="49">
        <v>200000</v>
      </c>
      <c r="BT195" s="50">
        <v>209</v>
      </c>
      <c r="BU195" s="49">
        <f>IF($BN195="","",
IFERROR(
    IF($BN195&lt;'[1]시간외시간 기준표'!$B$2,0,
        IF($BN195&gt;LOOKUP(9.9E+307,'[1]시간외시간 기준표'!$B$2:$B$999),
            LOOKUP(9.9E+307,'[1]시간외시간 기준표'!$C$2:$C$999),
            LOOKUP($BN195,'[1]시간외시간 기준표'!$B$2:$B$999,'[1]시간외시간 기준표'!$C$2:$C$999)
        )
    ),0)
)</f>
        <v>22</v>
      </c>
      <c r="BV195" s="50">
        <f>(BQ195+BS195)/209</f>
        <v>10330.622009569379</v>
      </c>
      <c r="BW195" s="51">
        <v>30</v>
      </c>
      <c r="BX195" s="51">
        <v>30</v>
      </c>
      <c r="BY195" s="52">
        <v>30000000</v>
      </c>
      <c r="BZ195" s="52">
        <f>CA195*12</f>
        <v>30000055.200000003</v>
      </c>
      <c r="CA195" s="49">
        <f>SUM(CB195:CD195)</f>
        <v>2500004.6</v>
      </c>
      <c r="CB195" s="49">
        <f>ROUNDUP(BY195/12*209/(209+CF195*1.5)/BW195*BX195,-1)-CD195</f>
        <v>1919680</v>
      </c>
      <c r="CC195" s="49">
        <f>ROUNDUP(BY195/12*(CF195*1.5)/(209+CF195*1.5)/BW195*BX195,1)</f>
        <v>380324.6</v>
      </c>
      <c r="CD195" s="49">
        <v>200000</v>
      </c>
      <c r="CE195" s="50">
        <v>209</v>
      </c>
      <c r="CF195" s="49">
        <f>IF(BY195&lt;26000000,0,IF(BY195&lt;26500000,4,IF(BY195&lt;27000000,7,IF(BY195&lt;27500000,9,IF(BY195&lt;28000000,11,IF(BY195&lt;28500000,15,IF(BY195&lt;29000000,17,IF(BY195&lt;29500000,20,IF(BY195&lt;30000000,23,IF(BY195&lt;30500000,25,IF(BY195&lt;31000000,27,IF(BY195&lt;31500000,29,IF(BY195&lt;32000000,33,IF(BY195&lt;32500000,37,IF(BY195&lt;33000000,39,IF(BY195&lt;33500000,42,IF(BY195&lt;34000000,45,IF(BY195&lt;34500000,48,IF(BY195&lt;35000000,52,52)))))))))))))))))))</f>
        <v>25</v>
      </c>
      <c r="CG195" s="50">
        <f>(CB195+CD195)/209</f>
        <v>10142.009569377991</v>
      </c>
      <c r="CH195" s="66"/>
      <c r="CI195" s="66"/>
      <c r="CJ195" s="67"/>
      <c r="CK195" s="67"/>
      <c r="CL195" s="49"/>
      <c r="CM195" s="49"/>
      <c r="CN195" s="49"/>
      <c r="CO195" s="50"/>
      <c r="CP195" s="50"/>
      <c r="CQ195" s="50"/>
      <c r="CR195" s="50"/>
      <c r="CS195" s="52"/>
      <c r="CT195" s="53"/>
      <c r="CU195" s="53"/>
      <c r="CV195" s="53"/>
      <c r="CW195" s="54"/>
      <c r="CX195" s="54"/>
      <c r="CY195" s="54"/>
      <c r="CZ195" s="55"/>
      <c r="DA195" s="55"/>
      <c r="DB195" s="56"/>
      <c r="DC195" s="57"/>
      <c r="DD195" s="58"/>
      <c r="DE195" s="58"/>
      <c r="DF195" s="57"/>
      <c r="DG195" s="59">
        <f>B195</f>
        <v>251102</v>
      </c>
      <c r="DH195" s="58"/>
      <c r="DI195" s="58"/>
      <c r="DJ195" s="60"/>
      <c r="DK195" s="58"/>
      <c r="DL195" s="61"/>
      <c r="DM195" s="24"/>
    </row>
    <row r="196" spans="1:117" ht="15" customHeight="1">
      <c r="A196" s="25">
        <f>ROW()-2</f>
        <v>194</v>
      </c>
      <c r="B196" s="26">
        <v>251104</v>
      </c>
      <c r="C196" s="27" t="s">
        <v>2314</v>
      </c>
      <c r="D196" s="27"/>
      <c r="E196" s="27" t="s">
        <v>283</v>
      </c>
      <c r="F196" s="27" t="s">
        <v>196</v>
      </c>
      <c r="G196" s="27" t="s">
        <v>240</v>
      </c>
      <c r="H196" s="27" t="s">
        <v>217</v>
      </c>
      <c r="I196" s="27" t="s">
        <v>479</v>
      </c>
      <c r="J196" s="27" t="str">
        <f>+VLOOKUP($I196,[1]프로젝트현황!$I:$N,5,0)</f>
        <v>경기도</v>
      </c>
      <c r="K196" s="27" t="str">
        <f>+VLOOKUP($I196,[1]프로젝트현황!$I:$N,6,0)</f>
        <v>성남시</v>
      </c>
      <c r="L196" s="28">
        <v>45971</v>
      </c>
      <c r="M196" s="28">
        <f>+L196</f>
        <v>45971</v>
      </c>
      <c r="N196" s="28"/>
      <c r="O196" s="29"/>
      <c r="P196" s="30" t="s">
        <v>2315</v>
      </c>
      <c r="Q196" s="27" t="s">
        <v>2316</v>
      </c>
      <c r="R196" s="31" t="str">
        <f>LEFT(Q196,6)</f>
        <v>850510</v>
      </c>
      <c r="S196" s="31" t="str">
        <f>MID($Q196,3,2)</f>
        <v>05</v>
      </c>
      <c r="T196" s="31" t="str">
        <f>IF(OR(MID($Q196,8,1)="1",MID($Q196,8,1)="3"),"남자",IF(OR(MID($Q196,8,1)="2",MID($Q196,8,1)="4"),"여자",""))</f>
        <v>여자</v>
      </c>
      <c r="U196" s="31">
        <f ca="1">YEAR(TODAY())-IF(OR(MID($Q196,8,1)="1",MID($Q196,8,1)="2"),19&amp;LEFT($Q196,2),IF(OR(MID($Q196,8,1)="3",MID($Q196,8,1)="4"),20&amp;LEFT($Q196,2),""))+1</f>
        <v>42</v>
      </c>
      <c r="V196" s="31" t="s">
        <v>200</v>
      </c>
      <c r="W196" s="31" t="s">
        <v>201</v>
      </c>
      <c r="X196" s="27" t="s">
        <v>2317</v>
      </c>
      <c r="Y196" s="27"/>
      <c r="Z196" s="27"/>
      <c r="AA196" s="32"/>
      <c r="AB196" s="31" t="s">
        <v>203</v>
      </c>
      <c r="AC196" s="27"/>
      <c r="AD196" s="33" t="str">
        <f ca="1">QUOTIENT(SUMPRODUCT(LEFT($AE196:$AF196,FIND("년",$AE196:$AF196)-1)*12+MID($AE196:$AF196,FIND("년",$AE196:$AF196)+1,FIND("개월",$AE196:$AF196)-FIND("년",$AE196:$AF196)-1)),12)&amp;"년"&amp;MOD(SUMPRODUCT(LEFT($AE196:$AF196,FIND("년",$AE196:$AF196)-1)*12+MID($AE196:$AF196,FIND("년",$AE196:$AF196)+1,FIND("개월",$AE196:$AF196)-FIND("년",$AE196:$AF196)-1)),12)&amp;"개월"</f>
        <v>16년10개월</v>
      </c>
      <c r="AE196" s="33" t="s">
        <v>1160</v>
      </c>
      <c r="AF196" s="34" t="str">
        <f ca="1">DATEDIF($L196,TODAY(),"y")&amp;"년"&amp;DATEDIF($L196,TODAY(),"ym")&amp;"개월"</f>
        <v>0년3개월</v>
      </c>
      <c r="AG196" s="35" t="s">
        <v>2318</v>
      </c>
      <c r="AH196" s="35" t="s">
        <v>2319</v>
      </c>
      <c r="AI196" s="30" t="s">
        <v>205</v>
      </c>
      <c r="AJ196" s="32">
        <v>39135</v>
      </c>
      <c r="AK196" s="36">
        <f ca="1">VALUE(LEFT($AD196,FIND("년",$AD196)-1))</f>
        <v>16</v>
      </c>
      <c r="AL196" s="31" t="str">
        <f ca="1">IF($AI196="전문학사",IF($AK196&lt;=8,"초급",IF($AK196&lt;12,"중급",IF($AK196&lt;15,"고급",IF($AK196&gt;=15,"특급")))))</f>
        <v>특급</v>
      </c>
      <c r="AM196" s="31" t="str">
        <f>IF(ISNUMBER(SEARCH("산업기사",$AT196)),IF($AK196&gt;=13,"특급",IF($AK196&gt;=10,"고급",IF($AK196&gt;=7,"중급","초급"))),IF(ISNUMBER(SEARCH("기사",$AR196)),IF($AK196&gt;=10,"특급",IF($AK196&gt;=7,"고급",IF($AK196&gt;=4,"중급","초급"))),"미해당"))</f>
        <v>미해당</v>
      </c>
      <c r="AN196" s="27"/>
      <c r="AO196" s="32"/>
      <c r="AP196" s="27"/>
      <c r="AQ196" s="32"/>
      <c r="AR196" s="27"/>
      <c r="AS196" s="27"/>
      <c r="AT196" s="37"/>
      <c r="AU196" s="27"/>
      <c r="AV196" s="38"/>
      <c r="AW196" s="39"/>
      <c r="AX196" s="39"/>
      <c r="AY196" s="40" t="s">
        <v>251</v>
      </c>
      <c r="AZ196" s="41" t="s">
        <v>252</v>
      </c>
      <c r="BA196" s="30" t="s">
        <v>2320</v>
      </c>
      <c r="BB196" s="30" t="s">
        <v>2321</v>
      </c>
      <c r="BC196" s="42" t="s">
        <v>2322</v>
      </c>
      <c r="BD196" s="42" t="s">
        <v>2323</v>
      </c>
      <c r="BE196" s="69" t="s">
        <v>2324</v>
      </c>
      <c r="BF196" s="42" t="s">
        <v>234</v>
      </c>
      <c r="BG196" s="42" t="s">
        <v>594</v>
      </c>
      <c r="BH196" s="35"/>
      <c r="BI196" s="44" t="s">
        <v>2325</v>
      </c>
      <c r="BJ196" s="45" t="str">
        <f>IFERROR(VLOOKUP($BG196,[1]프로젝트현황!Y:Z,2,0),"기타")</f>
        <v>서남권</v>
      </c>
      <c r="BK196" s="46" t="str">
        <f>(IF(BF196="","",BF196&amp;" "))&amp;(IF(BG196="","",BG196&amp;" "))&amp;(IF(BH196="","",BH196&amp;" "))&amp;BI196</f>
        <v>경기도 화성시 동탄대로1길 96, 2817동 502호</v>
      </c>
      <c r="BL196" s="47">
        <v>30</v>
      </c>
      <c r="BM196" s="47">
        <v>30</v>
      </c>
      <c r="BN196" s="48">
        <v>50000000</v>
      </c>
      <c r="BO196" s="48">
        <f>BP196*12</f>
        <v>50000090.400000006</v>
      </c>
      <c r="BP196" s="49">
        <f>SUM(BQ196:BS196)</f>
        <v>4166674.2</v>
      </c>
      <c r="BQ196" s="49">
        <f>ROUNDUP(BN196/12*209/(209+BU196*1.5)/BL196*BM196,-1)-BS196</f>
        <v>2834270</v>
      </c>
      <c r="BR196" s="49">
        <f>ROUNDUP(BN196/12*(BU196*1.5)/(209+BU196*1.5)/BL196*BM196,1)</f>
        <v>1132404.2000000002</v>
      </c>
      <c r="BS196" s="49">
        <v>200000</v>
      </c>
      <c r="BT196" s="50">
        <v>209</v>
      </c>
      <c r="BU196" s="49">
        <f>IF($BN196="","",
IFERROR(
    IF($BN196&lt;'[1]시간외시간 기준표'!$B$2,0,
        IF($BN196&gt;LOOKUP(9.9E+307,'[1]시간외시간 기준표'!$B$2:$B$999),
            LOOKUP(9.9E+307,'[1]시간외시간 기준표'!$C$2:$C$999),
            LOOKUP($BN196,'[1]시간외시간 기준표'!$B$2:$B$999,'[1]시간외시간 기준표'!$C$2:$C$999)
        )
    ),0)
)</f>
        <v>52</v>
      </c>
      <c r="BV196" s="50">
        <f>(BQ196+BS196)/209</f>
        <v>14518.038277511961</v>
      </c>
      <c r="BW196" s="51">
        <v>30</v>
      </c>
      <c r="BX196" s="51">
        <v>30</v>
      </c>
      <c r="BY196" s="52">
        <v>50000000</v>
      </c>
      <c r="BZ196" s="52">
        <f>CA196*12</f>
        <v>50000090.400000006</v>
      </c>
      <c r="CA196" s="49">
        <f>SUM(CB196:CD196)</f>
        <v>4166674.2</v>
      </c>
      <c r="CB196" s="49">
        <f>ROUNDUP(BY196/12*209/(209+CF196*1.5)/BW196*BX196,-1)-CD196</f>
        <v>2834270</v>
      </c>
      <c r="CC196" s="49">
        <f>ROUNDUP(BY196/12*(CF196*1.5)/(209+CF196*1.5)/BW196*BX196,1)</f>
        <v>1132404.2000000002</v>
      </c>
      <c r="CD196" s="49">
        <v>200000</v>
      </c>
      <c r="CE196" s="50">
        <v>209</v>
      </c>
      <c r="CF196" s="49">
        <f>IF(BY196&lt;26000000,0,IF(BY196&lt;26500000,4,IF(BY196&lt;27000000,7,IF(BY196&lt;27500000,9,IF(BY196&lt;28000000,11,IF(BY196&lt;28500000,15,IF(BY196&lt;29000000,17,IF(BY196&lt;29500000,20,IF(BY196&lt;30000000,23,IF(BY196&lt;30500000,25,IF(BY196&lt;31000000,27,IF(BY196&lt;31500000,29,IF(BY196&lt;32000000,33,IF(BY196&lt;32500000,37,IF(BY196&lt;33000000,39,IF(BY196&lt;33500000,42,IF(BY196&lt;34000000,45,IF(BY196&lt;34500000,48,IF(BY196&lt;35000000,52,52)))))))))))))))))))</f>
        <v>52</v>
      </c>
      <c r="CG196" s="50">
        <f>(CB196+CD196)/209</f>
        <v>14518.038277511961</v>
      </c>
      <c r="CH196" s="66"/>
      <c r="CI196" s="66"/>
      <c r="CJ196" s="67"/>
      <c r="CK196" s="67"/>
      <c r="CL196" s="49"/>
      <c r="CM196" s="49"/>
      <c r="CN196" s="49"/>
      <c r="CO196" s="50"/>
      <c r="CP196" s="50"/>
      <c r="CQ196" s="50"/>
      <c r="CR196" s="50"/>
      <c r="CS196" s="52"/>
      <c r="CT196" s="53"/>
      <c r="CU196" s="53"/>
      <c r="CV196" s="53"/>
      <c r="CW196" s="54"/>
      <c r="CX196" s="54"/>
      <c r="CY196" s="54"/>
      <c r="CZ196" s="55"/>
      <c r="DA196" s="55"/>
      <c r="DB196" s="56"/>
      <c r="DC196" s="57"/>
      <c r="DD196" s="58"/>
      <c r="DE196" s="58"/>
      <c r="DF196" s="57"/>
      <c r="DG196" s="59"/>
      <c r="DH196" s="58"/>
      <c r="DI196" s="58"/>
      <c r="DJ196" s="60"/>
      <c r="DK196" s="58"/>
      <c r="DL196" s="61"/>
      <c r="DM196" s="24"/>
    </row>
    <row r="197" spans="1:117" ht="15" customHeight="1">
      <c r="A197" s="25">
        <f>ROW()-2</f>
        <v>195</v>
      </c>
      <c r="B197" s="26">
        <v>251105</v>
      </c>
      <c r="C197" s="27" t="s">
        <v>2326</v>
      </c>
      <c r="D197" s="27"/>
      <c r="E197" s="27" t="s">
        <v>613</v>
      </c>
      <c r="F197" s="27" t="s">
        <v>196</v>
      </c>
      <c r="G197" s="27" t="s">
        <v>240</v>
      </c>
      <c r="H197" s="27" t="s">
        <v>217</v>
      </c>
      <c r="I197" s="27" t="s">
        <v>479</v>
      </c>
      <c r="J197" s="27" t="str">
        <f>+VLOOKUP($I197,[1]프로젝트현황!$I:$N,5,0)</f>
        <v>경기도</v>
      </c>
      <c r="K197" s="27" t="str">
        <f>+VLOOKUP($I197,[1]프로젝트현황!$I:$N,6,0)</f>
        <v>성남시</v>
      </c>
      <c r="L197" s="28">
        <v>45971</v>
      </c>
      <c r="M197" s="28">
        <f>+L197</f>
        <v>45971</v>
      </c>
      <c r="N197" s="28"/>
      <c r="O197" s="29"/>
      <c r="P197" s="30" t="s">
        <v>2327</v>
      </c>
      <c r="Q197" s="27" t="s">
        <v>2328</v>
      </c>
      <c r="R197" s="31" t="str">
        <f>LEFT(Q197,6)</f>
        <v>910713</v>
      </c>
      <c r="S197" s="31" t="str">
        <f>MID($Q197,3,2)</f>
        <v>07</v>
      </c>
      <c r="T197" s="31" t="str">
        <f>IF(OR(MID($Q197,8,1)="1",MID($Q197,8,1)="3"),"남자",IF(OR(MID($Q197,8,1)="2",MID($Q197,8,1)="4"),"여자",""))</f>
        <v>남자</v>
      </c>
      <c r="U197" s="31">
        <f ca="1">YEAR(TODAY())-IF(OR(MID($Q197,8,1)="1",MID($Q197,8,1)="2"),19&amp;LEFT($Q197,2),IF(OR(MID($Q197,8,1)="3",MID($Q197,8,1)="4"),20&amp;LEFT($Q197,2),""))+1</f>
        <v>36</v>
      </c>
      <c r="V197" s="31" t="s">
        <v>200</v>
      </c>
      <c r="W197" s="31" t="s">
        <v>201</v>
      </c>
      <c r="X197" s="27" t="s">
        <v>2329</v>
      </c>
      <c r="Y197" s="27"/>
      <c r="Z197" s="27"/>
      <c r="AA197" s="32"/>
      <c r="AB197" s="31" t="s">
        <v>203</v>
      </c>
      <c r="AC197" s="27"/>
      <c r="AD197" s="33" t="str">
        <f ca="1">QUOTIENT(SUMPRODUCT(LEFT($AE197:$AF197,FIND("년",$AE197:$AF197)-1)*12+MID($AE197:$AF197,FIND("년",$AE197:$AF197)+1,FIND("개월",$AE197:$AF197)-FIND("년",$AE197:$AF197)-1)),12)&amp;"년"&amp;MOD(SUMPRODUCT(LEFT($AE197:$AF197,FIND("년",$AE197:$AF197)-1)*12+MID($AE197:$AF197,FIND("년",$AE197:$AF197)+1,FIND("개월",$AE197:$AF197)-FIND("년",$AE197:$AF197)-1)),12)&amp;"개월"</f>
        <v>2년9개월</v>
      </c>
      <c r="AE197" s="33" t="s">
        <v>1996</v>
      </c>
      <c r="AF197" s="34" t="str">
        <f ca="1">DATEDIF($L197,TODAY(),"y")&amp;"년"&amp;DATEDIF($L197,TODAY(),"ym")&amp;"개월"</f>
        <v>0년3개월</v>
      </c>
      <c r="AG197" s="35" t="s">
        <v>349</v>
      </c>
      <c r="AH197" s="35" t="s">
        <v>2330</v>
      </c>
      <c r="AI197" s="30" t="s">
        <v>205</v>
      </c>
      <c r="AJ197" s="32">
        <v>42048</v>
      </c>
      <c r="AK197" s="36">
        <f ca="1">VALUE(LEFT($AD197,FIND("년",$AD197)-1))</f>
        <v>2</v>
      </c>
      <c r="AL197" s="31" t="str">
        <f ca="1">IF($AI197="전문학사",IF($AK197&lt;=8,"초급",IF($AK197&lt;12,"중급",IF($AK197&lt;15,"고급",IF($AK197&gt;=15,"특급")))))</f>
        <v>초급</v>
      </c>
      <c r="AM197" s="31" t="str">
        <f>IF(ISNUMBER(SEARCH("산업기사",$AT197)),IF($AK197&gt;=13,"특급",IF($AK197&gt;=10,"고급",IF($AK197&gt;=7,"중급","초급"))),IF(ISNUMBER(SEARCH("기사",$AR197)),IF($AK197&gt;=10,"특급",IF($AK197&gt;=7,"고급",IF($AK197&gt;=4,"중급","초급"))),"미해당"))</f>
        <v>미해당</v>
      </c>
      <c r="AN197" s="27"/>
      <c r="AO197" s="32"/>
      <c r="AP197" s="27"/>
      <c r="AQ197" s="32"/>
      <c r="AR197" s="27"/>
      <c r="AS197" s="27"/>
      <c r="AT197" s="37"/>
      <c r="AU197" s="27"/>
      <c r="AV197" s="38"/>
      <c r="AW197" s="39"/>
      <c r="AX197" s="39"/>
      <c r="AY197" s="40" t="s">
        <v>251</v>
      </c>
      <c r="AZ197" s="41" t="s">
        <v>252</v>
      </c>
      <c r="BA197" s="30" t="s">
        <v>230</v>
      </c>
      <c r="BB197" s="30" t="s">
        <v>2331</v>
      </c>
      <c r="BC197" s="42" t="s">
        <v>1151</v>
      </c>
      <c r="BD197" s="42" t="s">
        <v>2332</v>
      </c>
      <c r="BE197" s="69" t="s">
        <v>2333</v>
      </c>
      <c r="BF197" s="42" t="s">
        <v>234</v>
      </c>
      <c r="BG197" s="42" t="s">
        <v>887</v>
      </c>
      <c r="BH197" s="35" t="s">
        <v>2334</v>
      </c>
      <c r="BI197" s="44" t="s">
        <v>2335</v>
      </c>
      <c r="BJ197" s="45" t="str">
        <f>IFERROR(VLOOKUP($BG197,[1]프로젝트현황!Y:Z,2,0),"기타")</f>
        <v>동남권</v>
      </c>
      <c r="BK197" s="46" t="str">
        <f>(IF(BF197="","",BF197&amp;" "))&amp;(IF(BG197="","",BG197&amp;" "))&amp;(IF(BH197="","",BH197&amp;" "))&amp;BI197</f>
        <v>경기도 용인시 처인구 백옥대로 1255-6, 302호</v>
      </c>
      <c r="BL197" s="47">
        <v>30</v>
      </c>
      <c r="BM197" s="47">
        <v>30</v>
      </c>
      <c r="BN197" s="48">
        <v>29500000</v>
      </c>
      <c r="BO197" s="48">
        <f>BP197*12</f>
        <v>29500080</v>
      </c>
      <c r="BP197" s="49">
        <f>SUM(BQ197:BS197)</f>
        <v>2458340</v>
      </c>
      <c r="BQ197" s="49">
        <f>ROUNDUP(BN197/12*209/(209+BU197*1.5)/BL197*BM197,-1)-BS197</f>
        <v>1977090</v>
      </c>
      <c r="BR197" s="49">
        <f>ROUNDUP(BN197/12*(BU197*1.5)/(209+BU197*1.5)/BL197*BM197,1)</f>
        <v>281250</v>
      </c>
      <c r="BS197" s="49">
        <v>200000</v>
      </c>
      <c r="BT197" s="50">
        <v>209</v>
      </c>
      <c r="BU197" s="49">
        <f>IF($BN197="","",
IFERROR(
    IF($BN197&lt;'[1]시간외시간 기준표'!$B$2,0,
        IF($BN197&gt;LOOKUP(9.9E+307,'[1]시간외시간 기준표'!$B$2:$B$999),
            LOOKUP(9.9E+307,'[1]시간외시간 기준표'!$C$2:$C$999),
            LOOKUP($BN197,'[1]시간외시간 기준표'!$B$2:$B$999,'[1]시간외시간 기준표'!$C$2:$C$999)
        )
    ),0)
)</f>
        <v>18</v>
      </c>
      <c r="BV197" s="50">
        <f>(BQ197+BS197)/209</f>
        <v>10416.698564593302</v>
      </c>
      <c r="BW197" s="51">
        <v>30</v>
      </c>
      <c r="BX197" s="51">
        <v>30</v>
      </c>
      <c r="BY197" s="52">
        <v>29500000</v>
      </c>
      <c r="BZ197" s="52">
        <f>CA197*12</f>
        <v>29500032</v>
      </c>
      <c r="CA197" s="49">
        <f>SUM(CB197:CD197)</f>
        <v>2458336</v>
      </c>
      <c r="CB197" s="49">
        <f>ROUNDUP(BY197/12*209/(209+CF197*1.5)/BW197*BX197,-1)-CD197</f>
        <v>1910030</v>
      </c>
      <c r="CC197" s="49">
        <f>ROUNDUP(BY197/12*(CF197*1.5)/(209+CF197*1.5)/BW197*BX197,1)</f>
        <v>348306</v>
      </c>
      <c r="CD197" s="49">
        <v>200000</v>
      </c>
      <c r="CE197" s="50">
        <v>209</v>
      </c>
      <c r="CF197" s="49">
        <f>IF(BY197&lt;26000000,0,IF(BY197&lt;26500000,4,IF(BY197&lt;27000000,7,IF(BY197&lt;27500000,9,IF(BY197&lt;28000000,11,IF(BY197&lt;28500000,15,IF(BY197&lt;29000000,17,IF(BY197&lt;29500000,20,IF(BY197&lt;30000000,23,IF(BY197&lt;30500000,25,IF(BY197&lt;31000000,27,IF(BY197&lt;31500000,29,IF(BY197&lt;32000000,33,IF(BY197&lt;32500000,37,IF(BY197&lt;33000000,39,IF(BY197&lt;33500000,42,IF(BY197&lt;34000000,45,IF(BY197&lt;34500000,48,IF(BY197&lt;35000000,52,52)))))))))))))))))))</f>
        <v>23</v>
      </c>
      <c r="CG197" s="50">
        <f>(CB197+CD197)/209</f>
        <v>10095.837320574163</v>
      </c>
      <c r="CH197" s="66"/>
      <c r="CI197" s="66"/>
      <c r="CJ197" s="67"/>
      <c r="CK197" s="67"/>
      <c r="CL197" s="49"/>
      <c r="CM197" s="49"/>
      <c r="CN197" s="49"/>
      <c r="CO197" s="50"/>
      <c r="CP197" s="50"/>
      <c r="CQ197" s="50"/>
      <c r="CR197" s="50"/>
      <c r="CS197" s="52"/>
      <c r="CT197" s="53"/>
      <c r="CU197" s="53"/>
      <c r="CV197" s="53"/>
      <c r="CW197" s="54"/>
      <c r="CX197" s="54"/>
      <c r="CY197" s="54"/>
      <c r="CZ197" s="55"/>
      <c r="DA197" s="55"/>
      <c r="DB197" s="56"/>
      <c r="DC197" s="57"/>
      <c r="DD197" s="58"/>
      <c r="DE197" s="58"/>
      <c r="DF197" s="57"/>
      <c r="DG197" s="59"/>
      <c r="DH197" s="58"/>
      <c r="DI197" s="58"/>
      <c r="DJ197" s="60"/>
      <c r="DK197" s="58"/>
      <c r="DL197" s="61"/>
      <c r="DM197" s="24"/>
    </row>
    <row r="198" spans="1:117" ht="15" customHeight="1">
      <c r="A198" s="25">
        <f>ROW()-2</f>
        <v>196</v>
      </c>
      <c r="B198" s="26">
        <v>251106</v>
      </c>
      <c r="C198" s="27" t="s">
        <v>2336</v>
      </c>
      <c r="D198" s="27"/>
      <c r="E198" s="27" t="s">
        <v>613</v>
      </c>
      <c r="F198" s="27" t="s">
        <v>196</v>
      </c>
      <c r="G198" s="27" t="s">
        <v>240</v>
      </c>
      <c r="H198" s="27" t="s">
        <v>241</v>
      </c>
      <c r="I198" s="27" t="s">
        <v>538</v>
      </c>
      <c r="J198" s="27" t="str">
        <f>+VLOOKUP($I198,[1]프로젝트현황!$I:$N,5,0)</f>
        <v>서울시</v>
      </c>
      <c r="K198" s="27" t="str">
        <f>+VLOOKUP($I198,[1]프로젝트현황!$I:$N,6,0)</f>
        <v>금천구</v>
      </c>
      <c r="L198" s="28">
        <v>45978</v>
      </c>
      <c r="M198" s="28">
        <f>+L198</f>
        <v>45978</v>
      </c>
      <c r="N198" s="28"/>
      <c r="O198" s="29"/>
      <c r="P198" s="30" t="s">
        <v>2337</v>
      </c>
      <c r="Q198" s="27" t="s">
        <v>2338</v>
      </c>
      <c r="R198" s="31" t="str">
        <f>LEFT(Q198,6)</f>
        <v>991016</v>
      </c>
      <c r="S198" s="31" t="str">
        <f>MID($Q198,3,2)</f>
        <v>10</v>
      </c>
      <c r="T198" s="31" t="str">
        <f>IF(OR(MID($Q198,8,1)="1",MID($Q198,8,1)="3"),"남자",IF(OR(MID($Q198,8,1)="2",MID($Q198,8,1)="4"),"여자",""))</f>
        <v>여자</v>
      </c>
      <c r="U198" s="31">
        <f ca="1">YEAR(TODAY())-IF(OR(MID($Q198,8,1)="1",MID($Q198,8,1)="2"),19&amp;LEFT($Q198,2),IF(OR(MID($Q198,8,1)="3",MID($Q198,8,1)="4"),20&amp;LEFT($Q198,2),""))+1</f>
        <v>28</v>
      </c>
      <c r="V198" s="31" t="s">
        <v>200</v>
      </c>
      <c r="W198" s="31" t="s">
        <v>201</v>
      </c>
      <c r="X198" s="27" t="s">
        <v>2339</v>
      </c>
      <c r="Y198" s="27"/>
      <c r="Z198" s="27"/>
      <c r="AA198" s="32"/>
      <c r="AB198" s="31" t="s">
        <v>203</v>
      </c>
      <c r="AC198" s="27"/>
      <c r="AD198" s="33" t="str">
        <f ca="1">QUOTIENT(SUMPRODUCT(LEFT($AE198:$AF198,FIND("년",$AE198:$AF198)-1)*12+MID($AE198:$AF198,FIND("년",$AE198:$AF198)+1,FIND("개월",$AE198:$AF198)-FIND("년",$AE198:$AF198)-1)),12)&amp;"년"&amp;MOD(SUMPRODUCT(LEFT($AE198:$AF198,FIND("년",$AE198:$AF198)-1)*12+MID($AE198:$AF198,FIND("년",$AE198:$AF198)+1,FIND("개월",$AE198:$AF198)-FIND("년",$AE198:$AF198)-1)),12)&amp;"개월"</f>
        <v>0년2개월</v>
      </c>
      <c r="AE198" s="33" t="s">
        <v>543</v>
      </c>
      <c r="AF198" s="34" t="str">
        <f ca="1">DATEDIF($L198,TODAY(),"y")&amp;"년"&amp;DATEDIF($L198,TODAY(),"ym")&amp;"개월"</f>
        <v>0년2개월</v>
      </c>
      <c r="AG198" s="35" t="s">
        <v>2340</v>
      </c>
      <c r="AH198" s="35" t="s">
        <v>2341</v>
      </c>
      <c r="AI198" s="30" t="s">
        <v>205</v>
      </c>
      <c r="AJ198" s="32">
        <v>43140</v>
      </c>
      <c r="AK198" s="36">
        <f ca="1">VALUE(LEFT($AD198,FIND("년",$AD198)-1))</f>
        <v>0</v>
      </c>
      <c r="AL198" s="31" t="str">
        <f ca="1">IF($AI198="전문학사",IF($AK198&lt;=8,"초급",IF($AK198&lt;12,"중급",IF($AK198&lt;15,"고급",IF($AK198&gt;=15,"특급")))))</f>
        <v>초급</v>
      </c>
      <c r="AM198" s="31" t="str">
        <f>IF(ISNUMBER(SEARCH("산업기사",$AT198)),IF($AK198&gt;=13,"특급",IF($AK198&gt;=10,"고급",IF($AK198&gt;=7,"중급","초급"))),IF(ISNUMBER(SEARCH("기사",$AR198)),IF($AK198&gt;=10,"특급",IF($AK198&gt;=7,"고급",IF($AK198&gt;=4,"중급","초급"))),"미해당"))</f>
        <v>미해당</v>
      </c>
      <c r="AN198" s="27" t="s">
        <v>2246</v>
      </c>
      <c r="AO198" s="32">
        <v>45960</v>
      </c>
      <c r="AP198" s="27"/>
      <c r="AQ198" s="32"/>
      <c r="AR198" s="27"/>
      <c r="AS198" s="27"/>
      <c r="AT198" s="37"/>
      <c r="AU198" s="27"/>
      <c r="AV198" s="38"/>
      <c r="AW198" s="39"/>
      <c r="AX198" s="39"/>
      <c r="AY198" s="40" t="s">
        <v>251</v>
      </c>
      <c r="AZ198" s="41" t="s">
        <v>252</v>
      </c>
      <c r="BA198" s="73" t="s">
        <v>230</v>
      </c>
      <c r="BB198" s="73" t="s">
        <v>2342</v>
      </c>
      <c r="BC198" s="42" t="s">
        <v>254</v>
      </c>
      <c r="BD198" s="42" t="s">
        <v>2343</v>
      </c>
      <c r="BE198" s="69" t="s">
        <v>2344</v>
      </c>
      <c r="BF198" s="42" t="s">
        <v>1688</v>
      </c>
      <c r="BG198" s="42" t="s">
        <v>2345</v>
      </c>
      <c r="BH198" s="35"/>
      <c r="BI198" s="44" t="s">
        <v>2346</v>
      </c>
      <c r="BJ198" s="45" t="str">
        <f>IFERROR(VLOOKUP($BG198,[1]프로젝트현황!Y:Z,2,0),"기타")</f>
        <v>동남권</v>
      </c>
      <c r="BK198" s="46" t="str">
        <f>(IF(BF198="","",BF198&amp;" "))&amp;(IF(BG198="","",BG198&amp;" "))&amp;(IF(BH198="","",BH198&amp;" "))&amp;BI198</f>
        <v>서울특별시 강남구 삼성로107길 23-13, 401호</v>
      </c>
      <c r="BL198" s="47">
        <v>30</v>
      </c>
      <c r="BM198" s="47">
        <v>30</v>
      </c>
      <c r="BN198" s="48">
        <v>27000000</v>
      </c>
      <c r="BO198" s="48">
        <f>BP198*12</f>
        <v>27000120</v>
      </c>
      <c r="BP198" s="49">
        <f>SUM(BQ198:BS198)</f>
        <v>2250010</v>
      </c>
      <c r="BQ198" s="49">
        <f>ROUNDUP(BN198/12*209/(209+BU198*1.5)/BL198*BM198,-1)-BS198</f>
        <v>1957120</v>
      </c>
      <c r="BR198" s="49">
        <f>ROUNDUP(BN198/12*(BU198*1.5)/(209+BU198*1.5)/BL198*BM198,1)</f>
        <v>92890</v>
      </c>
      <c r="BS198" s="49">
        <v>200000</v>
      </c>
      <c r="BT198" s="50">
        <v>209</v>
      </c>
      <c r="BU198" s="49">
        <f>IF($BN198="","",
IFERROR(
    IF($BN198&lt;'[1]시간외시간 기준표'!$B$2,0,
        IF($BN198&gt;LOOKUP(9.9E+307,'[1]시간외시간 기준표'!$B$2:$B$999),
            LOOKUP(9.9E+307,'[1]시간외시간 기준표'!$C$2:$C$999),
            LOOKUP($BN198,'[1]시간외시간 기준표'!$B$2:$B$999,'[1]시간외시간 기준표'!$C$2:$C$999)
        )
    ),0)
)</f>
        <v>6</v>
      </c>
      <c r="BV198" s="50">
        <f>(BQ198+BS198)/209</f>
        <v>10321.148325358852</v>
      </c>
      <c r="BW198" s="51">
        <v>30</v>
      </c>
      <c r="BX198" s="51">
        <v>30</v>
      </c>
      <c r="BY198" s="52">
        <v>27000000</v>
      </c>
      <c r="BZ198" s="52">
        <f>CA198*12</f>
        <v>27000082.799999997</v>
      </c>
      <c r="CA198" s="49">
        <f>SUM(CB198:CD198)</f>
        <v>2250006.9</v>
      </c>
      <c r="CB198" s="49">
        <f>ROUNDUP(BY198/12*209/(209+CF198*1.5)/BW198*BX198,-1)-CD198</f>
        <v>1913490</v>
      </c>
      <c r="CC198" s="49">
        <f>ROUNDUP(BY198/12*(CF198*1.5)/(209+CF198*1.5)/BW198*BX198,1)</f>
        <v>136516.9</v>
      </c>
      <c r="CD198" s="49">
        <v>200000</v>
      </c>
      <c r="CE198" s="50">
        <v>209</v>
      </c>
      <c r="CF198" s="49">
        <f>IF(BY198&lt;26000000,0,IF(BY198&lt;26500000,4,IF(BY198&lt;27000000,7,IF(BY198&lt;27500000,9,IF(BY198&lt;28000000,11,IF(BY198&lt;28500000,15,IF(BY198&lt;29000000,17,IF(BY198&lt;29500000,20,IF(BY198&lt;30000000,23,IF(BY198&lt;30500000,25,IF(BY198&lt;31000000,27,IF(BY198&lt;31500000,29,IF(BY198&lt;32000000,33,IF(BY198&lt;32500000,37,IF(BY198&lt;33000000,39,IF(BY198&lt;33500000,42,IF(BY198&lt;34000000,45,IF(BY198&lt;34500000,48,IF(BY198&lt;35000000,52,52)))))))))))))))))))</f>
        <v>9</v>
      </c>
      <c r="CG198" s="50">
        <f>(CB198+CD198)/209</f>
        <v>10112.392344497608</v>
      </c>
      <c r="CH198" s="66"/>
      <c r="CI198" s="66"/>
      <c r="CJ198" s="67"/>
      <c r="CK198" s="67"/>
      <c r="CL198" s="49"/>
      <c r="CM198" s="49"/>
      <c r="CN198" s="49"/>
      <c r="CO198" s="50"/>
      <c r="CP198" s="50"/>
      <c r="CQ198" s="50"/>
      <c r="CR198" s="50"/>
      <c r="CS198" s="52"/>
      <c r="CT198" s="53"/>
      <c r="CU198" s="53"/>
      <c r="CV198" s="53"/>
      <c r="CW198" s="54"/>
      <c r="CX198" s="54"/>
      <c r="CY198" s="54"/>
      <c r="CZ198" s="55"/>
      <c r="DA198" s="55"/>
      <c r="DB198" s="56"/>
      <c r="DC198" s="57"/>
      <c r="DD198" s="58"/>
      <c r="DE198" s="58"/>
      <c r="DF198" s="57"/>
      <c r="DG198" s="59"/>
      <c r="DH198" s="58"/>
      <c r="DI198" s="58"/>
      <c r="DJ198" s="60"/>
      <c r="DK198" s="58"/>
      <c r="DL198" s="61"/>
      <c r="DM198" s="24"/>
    </row>
    <row r="199" spans="1:117" ht="15" customHeight="1">
      <c r="A199" s="25">
        <f>ROW()-2</f>
        <v>197</v>
      </c>
      <c r="B199" s="26">
        <v>251201</v>
      </c>
      <c r="C199" s="27" t="s">
        <v>2347</v>
      </c>
      <c r="D199" s="27" t="s">
        <v>282</v>
      </c>
      <c r="E199" s="27" t="s">
        <v>283</v>
      </c>
      <c r="F199" s="27" t="s">
        <v>196</v>
      </c>
      <c r="G199" s="27" t="s">
        <v>493</v>
      </c>
      <c r="H199" s="27" t="s">
        <v>494</v>
      </c>
      <c r="I199" s="27" t="s">
        <v>494</v>
      </c>
      <c r="J199" s="27" t="str">
        <f>+VLOOKUP($I199,[1]프로젝트현황!$I:$N,5,0)</f>
        <v>서울시</v>
      </c>
      <c r="K199" s="27" t="str">
        <f>+VLOOKUP($I199,[1]프로젝트현황!$I:$N,6,0)</f>
        <v>강남구</v>
      </c>
      <c r="L199" s="28">
        <v>45992</v>
      </c>
      <c r="M199" s="28">
        <f>+L199</f>
        <v>45992</v>
      </c>
      <c r="N199" s="28"/>
      <c r="O199" s="29"/>
      <c r="P199" s="30" t="s">
        <v>2348</v>
      </c>
      <c r="Q199" s="27" t="s">
        <v>2349</v>
      </c>
      <c r="R199" s="31" t="str">
        <f>LEFT(Q199,6)</f>
        <v>791211</v>
      </c>
      <c r="S199" s="31" t="str">
        <f>MID($Q199,3,2)</f>
        <v>12</v>
      </c>
      <c r="T199" s="31" t="str">
        <f>IF(OR(MID($Q199,8,1)="1",MID($Q199,8,1)="3"),"남자",IF(OR(MID($Q199,8,1)="2",MID($Q199,8,1)="4"),"여자",""))</f>
        <v>여자</v>
      </c>
      <c r="U199" s="31">
        <f ca="1">YEAR(TODAY())-IF(OR(MID($Q199,8,1)="1",MID($Q199,8,1)="2"),19&amp;LEFT($Q199,2),IF(OR(MID($Q199,8,1)="3",MID($Q199,8,1)="4"),20&amp;LEFT($Q199,2),""))+1</f>
        <v>48</v>
      </c>
      <c r="V199" s="31" t="s">
        <v>200</v>
      </c>
      <c r="W199" s="31" t="s">
        <v>201</v>
      </c>
      <c r="X199" s="27" t="s">
        <v>2350</v>
      </c>
      <c r="Y199" s="27"/>
      <c r="Z199" s="27"/>
      <c r="AA199" s="32"/>
      <c r="AB199" s="31" t="s">
        <v>203</v>
      </c>
      <c r="AC199" s="27"/>
      <c r="AD199" s="33" t="str">
        <f ca="1">QUOTIENT(SUMPRODUCT(LEFT($AE199:$AF199,FIND("년",$AE199:$AF199)-1)*12+MID($AE199:$AF199,FIND("년",$AE199:$AF199)+1,FIND("개월",$AE199:$AF199)-FIND("년",$AE199:$AF199)-1)),12)&amp;"년"&amp;MOD(SUMPRODUCT(LEFT($AE199:$AF199,FIND("년",$AE199:$AF199)-1)*12+MID($AE199:$AF199,FIND("년",$AE199:$AF199)+1,FIND("개월",$AE199:$AF199)-FIND("년",$AE199:$AF199)-1)),12)&amp;"개월"</f>
        <v>19년2개월</v>
      </c>
      <c r="AE199" s="33" t="s">
        <v>2351</v>
      </c>
      <c r="AF199" s="34" t="str">
        <f ca="1">DATEDIF($L199,TODAY(),"y")&amp;"년"&amp;DATEDIF($L199,TODAY(),"ym")&amp;"개월"</f>
        <v>0년2개월</v>
      </c>
      <c r="AG199" s="35" t="s">
        <v>304</v>
      </c>
      <c r="AH199" s="35" t="s">
        <v>588</v>
      </c>
      <c r="AI199" s="30" t="s">
        <v>205</v>
      </c>
      <c r="AJ199" s="32">
        <v>43140</v>
      </c>
      <c r="AK199" s="36">
        <f ca="1">VALUE(LEFT($AD199,FIND("년",$AD199)-1))</f>
        <v>19</v>
      </c>
      <c r="AL199" s="31" t="str">
        <f ca="1">IF($AI199="전문학사",IF($AK199&lt;=8,"초급",IF($AK199&lt;12,"중급",IF($AK199&lt;15,"고급",IF($AK199&gt;=15,"특급")))))</f>
        <v>특급</v>
      </c>
      <c r="AM199" s="31" t="str">
        <f ca="1">IF(ISNUMBER(SEARCH("산업기사",$AT199)),IF($AK199&gt;=13,"특급",IF($AK199&gt;=10,"고급",IF($AK199&gt;=7,"중급","초급"))),IF(ISNUMBER(SEARCH("기사",$AR199)),IF($AK199&gt;=10,"특급",IF($AK199&gt;=7,"고급",IF($AK199&gt;=4,"중급","초급"))),"미해당"))</f>
        <v>특급</v>
      </c>
      <c r="AN199" s="27"/>
      <c r="AO199" s="32"/>
      <c r="AP199" s="27"/>
      <c r="AQ199" s="32"/>
      <c r="AR199" s="27"/>
      <c r="AS199" s="27"/>
      <c r="AT199" s="37" t="s">
        <v>141</v>
      </c>
      <c r="AU199" s="27">
        <v>2002.08</v>
      </c>
      <c r="AV199" s="38"/>
      <c r="AW199" s="39"/>
      <c r="AX199" s="39"/>
      <c r="AY199" s="40" t="s">
        <v>2352</v>
      </c>
      <c r="AZ199" s="41" t="s">
        <v>2353</v>
      </c>
      <c r="BA199" s="30" t="s">
        <v>230</v>
      </c>
      <c r="BB199" s="30" t="s">
        <v>2354</v>
      </c>
      <c r="BC199" s="42" t="s">
        <v>1810</v>
      </c>
      <c r="BD199" s="42" t="s">
        <v>2355</v>
      </c>
      <c r="BE199" s="69" t="s">
        <v>2356</v>
      </c>
      <c r="BF199" s="42" t="s">
        <v>1688</v>
      </c>
      <c r="BG199" s="42" t="s">
        <v>899</v>
      </c>
      <c r="BH199" s="35"/>
      <c r="BI199" s="44" t="s">
        <v>2357</v>
      </c>
      <c r="BJ199" s="45" t="str">
        <f>IFERROR(VLOOKUP($BG199,[1]프로젝트현황!Y:Z,2,0),"기타")</f>
        <v>서남권</v>
      </c>
      <c r="BK199" s="46" t="str">
        <f>(IF(BF199="","",BF199&amp;" "))&amp;(IF(BG199="","",BG199&amp;" "))&amp;(IF(BH199="","",BH199&amp;" "))&amp;BI199</f>
        <v>서울특별시 동작구 서달로 123, 102동 1502호 (흑석동, 롯데캐슬에듀포레)</v>
      </c>
      <c r="BL199" s="47">
        <v>30</v>
      </c>
      <c r="BM199" s="47">
        <v>30</v>
      </c>
      <c r="BN199" s="48">
        <v>70000000</v>
      </c>
      <c r="BO199" s="48">
        <f>BP199*12</f>
        <v>70000030.800000012</v>
      </c>
      <c r="BP199" s="49">
        <f>SUM(BQ199:BS199)</f>
        <v>5833335.9000000004</v>
      </c>
      <c r="BQ199" s="49">
        <f>ROUNDUP(BN199/12*209/(209+BU199*1.5)/BL199*BM199,-1)-BS199</f>
        <v>4047970</v>
      </c>
      <c r="BR199" s="49">
        <f>ROUNDUP(BN199/12*(BU199*1.5)/(209+BU199*1.5)/BL199*BM199,1)</f>
        <v>1585365.9000000001</v>
      </c>
      <c r="BS199" s="49">
        <v>200000</v>
      </c>
      <c r="BT199" s="50">
        <v>209</v>
      </c>
      <c r="BU199" s="49">
        <f>IF($BN199="","",
IFERROR(
    IF($BN199&lt;'[1]시간외시간 기준표'!$B$2,0,
        IF($BN199&gt;LOOKUP(9.9E+307,'[1]시간외시간 기준표'!$B$2:$B$999),
            LOOKUP(9.9E+307,'[1]시간외시간 기준표'!$C$2:$C$999),
            LOOKUP($BN199,'[1]시간외시간 기준표'!$B$2:$B$999,'[1]시간외시간 기준표'!$C$2:$C$999)
        )
    ),0)
)</f>
        <v>52</v>
      </c>
      <c r="BV199" s="50">
        <f>(BQ199+BS199)/209</f>
        <v>20325.215311004784</v>
      </c>
      <c r="BW199" s="51">
        <v>30</v>
      </c>
      <c r="BX199" s="51">
        <v>30</v>
      </c>
      <c r="BY199" s="52">
        <v>70000000</v>
      </c>
      <c r="BZ199" s="52">
        <f>CA199*12</f>
        <v>70000030.800000012</v>
      </c>
      <c r="CA199" s="49">
        <f>SUM(CB199:CD199)</f>
        <v>5833335.9000000004</v>
      </c>
      <c r="CB199" s="49">
        <f>ROUNDUP(BY199/12*209/(209+CF199*1.5)/BW199*BX199,-1)-CD199</f>
        <v>4047970</v>
      </c>
      <c r="CC199" s="49">
        <f>ROUNDUP(BY199/12*(CF199*1.5)/(209+CF199*1.5)/BW199*BX199,1)</f>
        <v>1585365.9000000001</v>
      </c>
      <c r="CD199" s="49">
        <v>200000</v>
      </c>
      <c r="CE199" s="50">
        <v>209</v>
      </c>
      <c r="CF199" s="49">
        <f>IF(BY199&lt;26000000,0,IF(BY199&lt;26500000,4,IF(BY199&lt;27000000,7,IF(BY199&lt;27500000,9,IF(BY199&lt;28000000,11,IF(BY199&lt;28500000,15,IF(BY199&lt;29000000,17,IF(BY199&lt;29500000,20,IF(BY199&lt;30000000,23,IF(BY199&lt;30500000,25,IF(BY199&lt;31000000,27,IF(BY199&lt;31500000,29,IF(BY199&lt;32000000,33,IF(BY199&lt;32500000,37,IF(BY199&lt;33000000,39,IF(BY199&lt;33500000,42,IF(BY199&lt;34000000,45,IF(BY199&lt;34500000,48,IF(BY199&lt;35000000,52,52)))))))))))))))))))</f>
        <v>52</v>
      </c>
      <c r="CG199" s="50">
        <f>(CB199+CD199)/209</f>
        <v>20325.215311004784</v>
      </c>
      <c r="CH199" s="66"/>
      <c r="CI199" s="66"/>
      <c r="CJ199" s="67"/>
      <c r="CK199" s="67"/>
      <c r="CL199" s="49"/>
      <c r="CM199" s="49"/>
      <c r="CN199" s="49"/>
      <c r="CO199" s="50"/>
      <c r="CP199" s="50"/>
      <c r="CQ199" s="50"/>
      <c r="CR199" s="50"/>
      <c r="CS199" s="52"/>
      <c r="CT199" s="53"/>
      <c r="CU199" s="53"/>
      <c r="CV199" s="53"/>
      <c r="CW199" s="54"/>
      <c r="CX199" s="54"/>
      <c r="CY199" s="54"/>
      <c r="CZ199" s="55"/>
      <c r="DA199" s="55"/>
      <c r="DB199" s="56"/>
      <c r="DC199" s="57"/>
      <c r="DD199" s="58"/>
      <c r="DE199" s="58"/>
      <c r="DF199" s="57"/>
      <c r="DG199" s="59"/>
      <c r="DH199" s="58"/>
      <c r="DI199" s="58"/>
      <c r="DJ199" s="60"/>
      <c r="DK199" s="58"/>
      <c r="DL199" s="61"/>
      <c r="DM199" s="24"/>
    </row>
    <row r="200" spans="1:117" s="63" customFormat="1" ht="15" customHeight="1">
      <c r="A200" s="25">
        <f>ROW()-2</f>
        <v>198</v>
      </c>
      <c r="B200" s="26">
        <v>251202</v>
      </c>
      <c r="C200" s="27" t="s">
        <v>2358</v>
      </c>
      <c r="D200" s="27"/>
      <c r="E200" s="27" t="s">
        <v>947</v>
      </c>
      <c r="F200" s="27" t="s">
        <v>196</v>
      </c>
      <c r="G200" s="27" t="s">
        <v>240</v>
      </c>
      <c r="H200" s="27" t="s">
        <v>260</v>
      </c>
      <c r="I200" s="27" t="s">
        <v>2100</v>
      </c>
      <c r="J200" s="27" t="str">
        <f>+VLOOKUP($I200,[1]프로젝트현황!$I:$N,5,0)</f>
        <v>서울시</v>
      </c>
      <c r="K200" s="27" t="str">
        <f>+VLOOKUP($I200,[1]프로젝트현황!$I:$N,6,0)</f>
        <v>동작구</v>
      </c>
      <c r="L200" s="28">
        <v>45992</v>
      </c>
      <c r="M200" s="28">
        <f>+L200</f>
        <v>45992</v>
      </c>
      <c r="N200" s="28"/>
      <c r="O200" s="29"/>
      <c r="P200" s="30" t="s">
        <v>2359</v>
      </c>
      <c r="Q200" s="27" t="s">
        <v>2360</v>
      </c>
      <c r="R200" s="31" t="str">
        <f>LEFT(Q200,6)</f>
        <v>800530</v>
      </c>
      <c r="S200" s="31" t="str">
        <f>MID($Q200,3,2)</f>
        <v>05</v>
      </c>
      <c r="T200" s="31" t="str">
        <f>IF(OR(MID($Q200,8,1)="1",MID($Q200,8,1)="3"),"남자",IF(OR(MID($Q200,8,1)="2",MID($Q200,8,1)="4"),"여자",""))</f>
        <v>남자</v>
      </c>
      <c r="U200" s="31">
        <f ca="1">YEAR(TODAY())-IF(OR(MID($Q200,8,1)="1",MID($Q200,8,1)="2"),19&amp;LEFT($Q200,2),IF(OR(MID($Q200,8,1)="3",MID($Q200,8,1)="4"),20&amp;LEFT($Q200,2),""))+1</f>
        <v>47</v>
      </c>
      <c r="V200" s="31" t="s">
        <v>200</v>
      </c>
      <c r="W200" s="31" t="s">
        <v>201</v>
      </c>
      <c r="X200" s="27" t="s">
        <v>2361</v>
      </c>
      <c r="Y200" s="27"/>
      <c r="Z200" s="27"/>
      <c r="AA200" s="32"/>
      <c r="AB200" s="31" t="s">
        <v>203</v>
      </c>
      <c r="AC200" s="27"/>
      <c r="AD200" s="33" t="str">
        <f ca="1">QUOTIENT(SUMPRODUCT(LEFT($AE200:$AF200,FIND("년",$AE200:$AF200)-1)*12+MID($AE200:$AF200,FIND("년",$AE200:$AF200)+1,FIND("개월",$AE200:$AF200)-FIND("년",$AE200:$AF200)-1)),12)&amp;"년"&amp;MOD(SUMPRODUCT(LEFT($AE200:$AF200,FIND("년",$AE200:$AF200)-1)*12+MID($AE200:$AF200,FIND("년",$AE200:$AF200)+1,FIND("개월",$AE200:$AF200)-FIND("년",$AE200:$AF200)-1)),12)&amp;"개월"</f>
        <v>21년0개월</v>
      </c>
      <c r="AE200" s="33" t="s">
        <v>2362</v>
      </c>
      <c r="AF200" s="34" t="str">
        <f ca="1">DATEDIF($L200,TODAY(),"y")&amp;"년"&amp;DATEDIF($L200,TODAY(),"ym")&amp;"개월"</f>
        <v>0년2개월</v>
      </c>
      <c r="AG200" s="35" t="s">
        <v>2318</v>
      </c>
      <c r="AH200" s="35" t="s">
        <v>1024</v>
      </c>
      <c r="AI200" s="30" t="s">
        <v>205</v>
      </c>
      <c r="AJ200" s="32">
        <v>38022</v>
      </c>
      <c r="AK200" s="36">
        <f ca="1">VALUE(LEFT($AD200,FIND("년",$AD200)-1))</f>
        <v>21</v>
      </c>
      <c r="AL200" s="31" t="str">
        <f ca="1">IF($AI200="전문학사",IF($AK200&lt;=8,"초급",IF($AK200&lt;12,"중급",IF($AK200&lt;15,"고급",IF($AK200&gt;=15,"특급")))))</f>
        <v>특급</v>
      </c>
      <c r="AM200" s="31" t="str">
        <f>IF(ISNUMBER(SEARCH("산업기사",$AT200)),IF($AK200&gt;=13,"특급",IF($AK200&gt;=10,"고급",IF($AK200&gt;=7,"중급","초급"))),IF(ISNUMBER(SEARCH("기사",$AR200)),IF($AK200&gt;=10,"특급",IF($AK200&gt;=7,"고급",IF($AK200&gt;=4,"중급","초급"))),"미해당"))</f>
        <v>미해당</v>
      </c>
      <c r="AN200" s="27"/>
      <c r="AO200" s="32"/>
      <c r="AP200" s="27" t="s">
        <v>2126</v>
      </c>
      <c r="AQ200" s="32">
        <v>41359</v>
      </c>
      <c r="AR200" s="27"/>
      <c r="AS200" s="27"/>
      <c r="AT200" s="37"/>
      <c r="AU200" s="27"/>
      <c r="AV200" s="38"/>
      <c r="AW200" s="39"/>
      <c r="AX200" s="39"/>
      <c r="AY200" s="40" t="s">
        <v>251</v>
      </c>
      <c r="AZ200" s="41" t="s">
        <v>252</v>
      </c>
      <c r="BA200" s="30" t="s">
        <v>230</v>
      </c>
      <c r="BB200" s="30" t="s">
        <v>2363</v>
      </c>
      <c r="BC200" s="42"/>
      <c r="BD200" s="42"/>
      <c r="BE200" s="69" t="s">
        <v>2364</v>
      </c>
      <c r="BF200" s="42" t="s">
        <v>1688</v>
      </c>
      <c r="BG200" s="42" t="s">
        <v>371</v>
      </c>
      <c r="BH200" s="35"/>
      <c r="BI200" s="44" t="s">
        <v>2365</v>
      </c>
      <c r="BJ200" s="45" t="str">
        <f>IFERROR(VLOOKUP($BG200,[1]프로젝트현황!Y:Z,2,0),"기타")</f>
        <v>서남권</v>
      </c>
      <c r="BK200" s="46" t="str">
        <f>(IF(BF200="","",BF200&amp;" "))&amp;(IF(BG200="","",BG200&amp;" "))&amp;(IF(BH200="","",BH200&amp;" "))&amp;BI200</f>
        <v>서울특별시 관악구 봉천로13나길 71-3, 502호 (봉천동, 성도빌라)</v>
      </c>
      <c r="BL200" s="47">
        <v>30</v>
      </c>
      <c r="BM200" s="47">
        <v>30</v>
      </c>
      <c r="BN200" s="48">
        <v>58000000</v>
      </c>
      <c r="BO200" s="48">
        <f>BP200*12</f>
        <v>58000066.800000004</v>
      </c>
      <c r="BP200" s="49">
        <f>SUM(BQ200:BS200)</f>
        <v>4833338.9000000004</v>
      </c>
      <c r="BQ200" s="49">
        <f>ROUNDUP(BN200/12*209/(209+BU200*1.5)/BL200*BM200,-1)-BS200</f>
        <v>3319750</v>
      </c>
      <c r="BR200" s="49">
        <f>ROUNDUP(BN200/12*(BU200*1.5)/(209+BU200*1.5)/BL200*BM200,1)</f>
        <v>1313588.9000000001</v>
      </c>
      <c r="BS200" s="49">
        <v>200000</v>
      </c>
      <c r="BT200" s="50">
        <v>209</v>
      </c>
      <c r="BU200" s="49">
        <f>IF($BN200="","",
IFERROR(
    IF($BN200&lt;'[1]시간외시간 기준표'!$B$2,0,
        IF($BN200&gt;LOOKUP(9.9E+307,'[1]시간외시간 기준표'!$B$2:$B$999),
            LOOKUP(9.9E+307,'[1]시간외시간 기준표'!$C$2:$C$999),
            LOOKUP($BN200,'[1]시간외시간 기준표'!$B$2:$B$999,'[1]시간외시간 기준표'!$C$2:$C$999)
        )
    ),0)
)</f>
        <v>52</v>
      </c>
      <c r="BV200" s="50">
        <f>(BQ200+BS200)/209</f>
        <v>16840.909090909092</v>
      </c>
      <c r="BW200" s="51">
        <v>30</v>
      </c>
      <c r="BX200" s="51">
        <v>30</v>
      </c>
      <c r="BY200" s="52">
        <v>58000000</v>
      </c>
      <c r="BZ200" s="52">
        <f>CA200*12</f>
        <v>58000066.800000004</v>
      </c>
      <c r="CA200" s="49">
        <f>SUM(CB200:CD200)</f>
        <v>4833338.9000000004</v>
      </c>
      <c r="CB200" s="49">
        <f>ROUNDUP(BY200/12*209/(209+CF200*1.5)/BW200*BX200,-1)-CD200</f>
        <v>3319750</v>
      </c>
      <c r="CC200" s="49">
        <f>ROUNDUP(BY200/12*(CF200*1.5)/(209+CF200*1.5)/BW200*BX200,1)</f>
        <v>1313588.9000000001</v>
      </c>
      <c r="CD200" s="49">
        <v>200000</v>
      </c>
      <c r="CE200" s="50">
        <v>209</v>
      </c>
      <c r="CF200" s="49">
        <f>IF(BY200&lt;26000000,0,IF(BY200&lt;26500000,4,IF(BY200&lt;27000000,7,IF(BY200&lt;27500000,9,IF(BY200&lt;28000000,11,IF(BY200&lt;28500000,15,IF(BY200&lt;29000000,17,IF(BY200&lt;29500000,20,IF(BY200&lt;30000000,23,IF(BY200&lt;30500000,25,IF(BY200&lt;31000000,27,IF(BY200&lt;31500000,29,IF(BY200&lt;32000000,33,IF(BY200&lt;32500000,37,IF(BY200&lt;33000000,39,IF(BY200&lt;33500000,42,IF(BY200&lt;34000000,45,IF(BY200&lt;34500000,48,IF(BY200&lt;35000000,52,52)))))))))))))))))))</f>
        <v>52</v>
      </c>
      <c r="CG200" s="50">
        <f>(CB200+CD200)/209</f>
        <v>16840.909090909092</v>
      </c>
      <c r="CH200" s="66"/>
      <c r="CI200" s="66"/>
      <c r="CJ200" s="67"/>
      <c r="CK200" s="67"/>
      <c r="CL200" s="49"/>
      <c r="CM200" s="49"/>
      <c r="CN200" s="49"/>
      <c r="CO200" s="50"/>
      <c r="CP200" s="50"/>
      <c r="CQ200" s="50"/>
      <c r="CR200" s="50"/>
      <c r="CS200" s="52"/>
      <c r="CT200" s="53"/>
      <c r="CU200" s="53"/>
      <c r="CV200" s="53"/>
      <c r="CW200" s="54"/>
      <c r="CX200" s="54"/>
      <c r="CY200" s="54"/>
      <c r="CZ200" s="55"/>
      <c r="DA200" s="55"/>
      <c r="DB200" s="56"/>
      <c r="DC200" s="57"/>
      <c r="DD200" s="58"/>
      <c r="DE200" s="58"/>
      <c r="DF200" s="57"/>
      <c r="DG200" s="59"/>
      <c r="DH200" s="58"/>
      <c r="DI200" s="58"/>
      <c r="DJ200" s="60"/>
      <c r="DK200" s="58"/>
      <c r="DL200" s="61"/>
      <c r="DM200" s="24"/>
    </row>
    <row r="201" spans="1:117" ht="15" customHeight="1">
      <c r="A201" s="25">
        <f>ROW()-2</f>
        <v>199</v>
      </c>
      <c r="B201" s="26">
        <v>251203</v>
      </c>
      <c r="C201" s="27" t="s">
        <v>2366</v>
      </c>
      <c r="D201" s="27" t="s">
        <v>282</v>
      </c>
      <c r="E201" s="27" t="s">
        <v>947</v>
      </c>
      <c r="F201" s="27" t="s">
        <v>196</v>
      </c>
      <c r="G201" s="27" t="s">
        <v>240</v>
      </c>
      <c r="H201" s="27" t="s">
        <v>217</v>
      </c>
      <c r="I201" s="27" t="s">
        <v>432</v>
      </c>
      <c r="J201" s="27" t="str">
        <f>+VLOOKUP($I201,[1]프로젝트현황!$I:$N,5,0)</f>
        <v>서울시</v>
      </c>
      <c r="K201" s="27" t="str">
        <f>+VLOOKUP($I201,[1]프로젝트현황!$I:$N,6,0)</f>
        <v>중구</v>
      </c>
      <c r="L201" s="28">
        <v>45999</v>
      </c>
      <c r="M201" s="28">
        <f>+L201</f>
        <v>45999</v>
      </c>
      <c r="N201" s="28"/>
      <c r="O201" s="29"/>
      <c r="P201" s="30" t="s">
        <v>2367</v>
      </c>
      <c r="Q201" s="27" t="s">
        <v>2368</v>
      </c>
      <c r="R201" s="31" t="str">
        <f>LEFT(Q201,6)</f>
        <v>831109</v>
      </c>
      <c r="S201" s="31" t="str">
        <f>MID($Q201,3,2)</f>
        <v>11</v>
      </c>
      <c r="T201" s="31" t="str">
        <f>IF(OR(MID($Q201,8,1)="1",MID($Q201,8,1)="3"),"남자",IF(OR(MID($Q201,8,1)="2",MID($Q201,8,1)="4"),"여자",""))</f>
        <v>여자</v>
      </c>
      <c r="U201" s="31">
        <f ca="1">YEAR(TODAY())-IF(OR(MID($Q201,8,1)="1",MID($Q201,8,1)="2"),19&amp;LEFT($Q201,2),IF(OR(MID($Q201,8,1)="3",MID($Q201,8,1)="4"),20&amp;LEFT($Q201,2),""))+1</f>
        <v>44</v>
      </c>
      <c r="V201" s="31" t="s">
        <v>2369</v>
      </c>
      <c r="W201" s="31" t="s">
        <v>2370</v>
      </c>
      <c r="X201" s="27" t="s">
        <v>2371</v>
      </c>
      <c r="Y201" s="27"/>
      <c r="Z201" s="27" t="s">
        <v>266</v>
      </c>
      <c r="AA201" s="32"/>
      <c r="AB201" s="31" t="s">
        <v>203</v>
      </c>
      <c r="AC201" s="27"/>
      <c r="AD201" s="33" t="str">
        <f ca="1">QUOTIENT(SUMPRODUCT(LEFT($AE201:$AF201,FIND("년",$AE201:$AF201)-1)*12+MID($AE201:$AF201,FIND("년",$AE201:$AF201)+1,FIND("개월",$AE201:$AF201)-FIND("년",$AE201:$AF201)-1)),12)&amp;"년"&amp;MOD(SUMPRODUCT(LEFT($AE201:$AF201,FIND("년",$AE201:$AF201)-1)*12+MID($AE201:$AF201,FIND("년",$AE201:$AF201)+1,FIND("개월",$AE201:$AF201)-FIND("년",$AE201:$AF201)-1)),12)&amp;"개월"</f>
        <v>18년2개월</v>
      </c>
      <c r="AE201" s="33" t="s">
        <v>2372</v>
      </c>
      <c r="AF201" s="34" t="str">
        <f ca="1">DATEDIF($L201,TODAY(),"y")&amp;"년"&amp;DATEDIF($L201,TODAY(),"ym")&amp;"개월"</f>
        <v>0년2개월</v>
      </c>
      <c r="AG201" s="35" t="s">
        <v>2373</v>
      </c>
      <c r="AH201" s="35" t="s">
        <v>379</v>
      </c>
      <c r="AI201" s="30" t="s">
        <v>2267</v>
      </c>
      <c r="AJ201" s="32">
        <v>38770</v>
      </c>
      <c r="AK201" s="36">
        <f ca="1">VALUE(LEFT($AD201,FIND("년",$AD201)-1))</f>
        <v>18</v>
      </c>
      <c r="AL201" s="31" t="str">
        <f ca="1">IF($AI201="학사",IF($AK201&lt;=8,"초급",IF($AK201&lt;12,"중급",IF($AK201&lt;15,"고급",IF($AK201&gt;=15,"특급")))))</f>
        <v>특급</v>
      </c>
      <c r="AM201" s="31" t="str">
        <f ca="1">IF(ISNUMBER(SEARCH("산업기사",$AT201)),IF($AK201&gt;=13,"특급",IF($AK201&gt;=10,"고급",IF($AK201&gt;=7,"중급","초급"))),IF(ISNUMBER(SEARCH("기사",$AR201)),IF($AK201&gt;=10,"특급",IF($AK201&gt;=7,"고급",IF($AK201&gt;=4,"중급","초급"))),"미해당"))</f>
        <v>특급</v>
      </c>
      <c r="AN201" s="27"/>
      <c r="AO201" s="32"/>
      <c r="AP201" s="27" t="s">
        <v>2126</v>
      </c>
      <c r="AQ201" s="32">
        <v>40812</v>
      </c>
      <c r="AR201" s="27" t="s">
        <v>139</v>
      </c>
      <c r="AS201" s="32">
        <v>38516</v>
      </c>
      <c r="AT201" s="37"/>
      <c r="AU201" s="27"/>
      <c r="AV201" s="38"/>
      <c r="AW201" s="39"/>
      <c r="AX201" s="39"/>
      <c r="AY201" s="40" t="s">
        <v>2374</v>
      </c>
      <c r="AZ201" s="41" t="s">
        <v>2375</v>
      </c>
      <c r="BA201" s="30" t="s">
        <v>2376</v>
      </c>
      <c r="BB201" s="30" t="s">
        <v>2377</v>
      </c>
      <c r="BC201" s="42"/>
      <c r="BD201" s="42"/>
      <c r="BE201" s="69" t="s">
        <v>2378</v>
      </c>
      <c r="BF201" s="42" t="s">
        <v>1688</v>
      </c>
      <c r="BG201" s="42" t="s">
        <v>2345</v>
      </c>
      <c r="BH201" s="35"/>
      <c r="BI201" s="35" t="s">
        <v>2379</v>
      </c>
      <c r="BJ201" s="45" t="str">
        <f>IFERROR(VLOOKUP($BG201,[1]프로젝트현황!Y:Z,2,0),"기타")</f>
        <v>동남권</v>
      </c>
      <c r="BK201" s="46" t="str">
        <f>(IF(BF201="","",BF201&amp;" "))&amp;(IF(BG201="","",BG201&amp;" "))&amp;(IF(BH201="","",BH201&amp;" "))&amp;BI201</f>
        <v>서울특별시 강남구 삼성로61길 6, 301호</v>
      </c>
      <c r="BL201" s="47">
        <v>30</v>
      </c>
      <c r="BM201" s="47">
        <v>30</v>
      </c>
      <c r="BN201" s="48">
        <v>64000000</v>
      </c>
      <c r="BO201" s="48">
        <f>BP201*12</f>
        <v>64000048.800000004</v>
      </c>
      <c r="BP201" s="49">
        <f>SUM(BQ201:BS201)</f>
        <v>5333337.4000000004</v>
      </c>
      <c r="BQ201" s="49">
        <f>ROUNDUP(BN201/12*209/(209+BU201*1.5)/BL201*BM201,-1)-BS201</f>
        <v>3683860</v>
      </c>
      <c r="BR201" s="49">
        <f>ROUNDUP(BN201/12*(BU201*1.5)/(209+BU201*1.5)/BL201*BM201,1)</f>
        <v>1449477.4000000001</v>
      </c>
      <c r="BS201" s="49">
        <v>200000</v>
      </c>
      <c r="BT201" s="50">
        <v>209</v>
      </c>
      <c r="BU201" s="49">
        <f>IF($BN201="","",
IFERROR(
    IF($BN201&lt;'[1]시간외시간 기준표'!$B$2,0,
        IF($BN201&gt;LOOKUP(9.9E+307,'[1]시간외시간 기준표'!$B$2:$B$999),
            LOOKUP(9.9E+307,'[1]시간외시간 기준표'!$C$2:$C$999),
            LOOKUP($BN201,'[1]시간외시간 기준표'!$B$2:$B$999,'[1]시간외시간 기준표'!$C$2:$C$999)
        )
    ),0)
)</f>
        <v>52</v>
      </c>
      <c r="BV201" s="50">
        <f>(BQ201+BS201)/209</f>
        <v>18583.062200956938</v>
      </c>
      <c r="BW201" s="51">
        <v>30</v>
      </c>
      <c r="BX201" s="51">
        <v>30</v>
      </c>
      <c r="BY201" s="52">
        <v>64000000</v>
      </c>
      <c r="BZ201" s="52">
        <f>CA201*12</f>
        <v>64000048.800000004</v>
      </c>
      <c r="CA201" s="49">
        <f>SUM(CB201:CD201)</f>
        <v>5333337.4000000004</v>
      </c>
      <c r="CB201" s="49">
        <f>ROUNDUP(BY201/12*209/(209+CF201*1.5)/BW201*BX201,-1)-CD201</f>
        <v>3683860</v>
      </c>
      <c r="CC201" s="49">
        <f>ROUNDUP(BY201/12*(CF201*1.5)/(209+CF201*1.5)/BW201*BX201,1)</f>
        <v>1449477.4000000001</v>
      </c>
      <c r="CD201" s="49">
        <v>200000</v>
      </c>
      <c r="CE201" s="50">
        <v>209</v>
      </c>
      <c r="CF201" s="49">
        <f>IF(BY201&lt;26000000,0,IF(BY201&lt;26500000,4,IF(BY201&lt;27000000,7,IF(BY201&lt;27500000,9,IF(BY201&lt;28000000,11,IF(BY201&lt;28500000,15,IF(BY201&lt;29000000,17,IF(BY201&lt;29500000,20,IF(BY201&lt;30000000,23,IF(BY201&lt;30500000,25,IF(BY201&lt;31000000,27,IF(BY201&lt;31500000,29,IF(BY201&lt;32000000,33,IF(BY201&lt;32500000,37,IF(BY201&lt;33000000,39,IF(BY201&lt;33500000,42,IF(BY201&lt;34000000,45,IF(BY201&lt;34500000,48,IF(BY201&lt;35000000,52,52)))))))))))))))))))</f>
        <v>52</v>
      </c>
      <c r="CG201" s="50">
        <f>(CB201+CD201)/209</f>
        <v>18583.062200956938</v>
      </c>
      <c r="CH201" s="66"/>
      <c r="CI201" s="66"/>
      <c r="CJ201" s="67"/>
      <c r="CK201" s="67"/>
      <c r="CL201" s="49"/>
      <c r="CM201" s="49"/>
      <c r="CN201" s="49"/>
      <c r="CO201" s="50"/>
      <c r="CP201" s="50"/>
      <c r="CQ201" s="50"/>
      <c r="CR201" s="50"/>
      <c r="CS201" s="52"/>
      <c r="CT201" s="53"/>
      <c r="CU201" s="53"/>
      <c r="CV201" s="53"/>
      <c r="CW201" s="54"/>
      <c r="CX201" s="54"/>
      <c r="CY201" s="54"/>
      <c r="CZ201" s="55"/>
      <c r="DA201" s="55"/>
      <c r="DB201" s="56"/>
      <c r="DC201" s="57"/>
      <c r="DD201" s="58"/>
      <c r="DE201" s="58"/>
      <c r="DF201" s="57"/>
      <c r="DG201" s="59"/>
      <c r="DH201" s="58"/>
      <c r="DI201" s="58"/>
      <c r="DJ201" s="60"/>
      <c r="DK201" s="58"/>
      <c r="DL201" s="61"/>
      <c r="DM201" s="63"/>
    </row>
    <row r="202" spans="1:117" ht="15" customHeight="1">
      <c r="A202" s="74">
        <f>ROW()-2</f>
        <v>200</v>
      </c>
      <c r="B202" s="26">
        <v>251205</v>
      </c>
      <c r="C202" s="26" t="s">
        <v>2380</v>
      </c>
      <c r="D202" s="27" t="s">
        <v>215</v>
      </c>
      <c r="E202" s="27" t="s">
        <v>2381</v>
      </c>
      <c r="F202" s="27" t="s">
        <v>196</v>
      </c>
      <c r="G202" s="27" t="s">
        <v>240</v>
      </c>
      <c r="H202" s="27" t="s">
        <v>241</v>
      </c>
      <c r="I202" s="27" t="s">
        <v>2382</v>
      </c>
      <c r="J202" s="27" t="str">
        <f>+VLOOKUP($I202,[1]프로젝트현황!$I:$N,5,0)</f>
        <v>서울시</v>
      </c>
      <c r="K202" s="27" t="str">
        <f>+VLOOKUP($I202,[1]프로젝트현황!$I:$N,6,0)</f>
        <v>강남구</v>
      </c>
      <c r="L202" s="68">
        <v>46006</v>
      </c>
      <c r="M202" s="28">
        <f>+L202</f>
        <v>46006</v>
      </c>
      <c r="N202" s="68"/>
      <c r="O202" s="75"/>
      <c r="P202" s="76" t="s">
        <v>2383</v>
      </c>
      <c r="Q202" s="26" t="s">
        <v>2384</v>
      </c>
      <c r="R202" s="77" t="str">
        <f>LEFT(Q202,6)</f>
        <v>790616</v>
      </c>
      <c r="S202" s="77" t="str">
        <f>MID($Q202,3,2)</f>
        <v>06</v>
      </c>
      <c r="T202" s="77" t="str">
        <f>IF(OR(MID($Q202,8,1)="1",MID($Q202,8,1)="3"),"남자",IF(OR(MID($Q202,8,1)="2",MID($Q202,8,1)="4"),"여자",""))</f>
        <v>남자</v>
      </c>
      <c r="U202" s="77">
        <f ca="1">YEAR(TODAY())-IF(OR(MID($Q202,8,1)="1",MID($Q202,8,1)="2"),19&amp;LEFT($Q202,2),IF(OR(MID($Q202,8,1)="3",MID($Q202,8,1)="4"),20&amp;LEFT($Q202,2),""))+1</f>
        <v>48</v>
      </c>
      <c r="V202" s="31" t="s">
        <v>2369</v>
      </c>
      <c r="W202" s="31" t="s">
        <v>2370</v>
      </c>
      <c r="X202" s="26" t="s">
        <v>2385</v>
      </c>
      <c r="Y202" s="26"/>
      <c r="Z202" s="26"/>
      <c r="AA202" s="78"/>
      <c r="AB202" s="31" t="s">
        <v>2386</v>
      </c>
      <c r="AC202" s="26"/>
      <c r="AD202" s="79"/>
      <c r="AE202" s="79"/>
      <c r="AF202" s="80" t="str">
        <f ca="1">DATEDIF($L202,TODAY(),"y")&amp;"년"&amp;DATEDIF($L202,TODAY(),"ym")&amp;"개월"</f>
        <v>0년1개월</v>
      </c>
      <c r="AG202" s="81" t="s">
        <v>917</v>
      </c>
      <c r="AH202" s="81" t="s">
        <v>2387</v>
      </c>
      <c r="AI202" s="76" t="s">
        <v>270</v>
      </c>
      <c r="AJ202" s="78">
        <v>39500</v>
      </c>
      <c r="AK202" s="36" t="e">
        <f>VALUE(LEFT($AD202,FIND("년",$AD202)-1))</f>
        <v>#VALUE!</v>
      </c>
      <c r="AL202" s="31" t="e">
        <f>IF($AI202="학사",IF($AK202&lt;=8,"초급",IF($AK202&lt;12,"중급",IF($AK202&lt;15,"고급",IF($AK202&gt;=15,"특급")))))</f>
        <v>#VALUE!</v>
      </c>
      <c r="AM202" s="31" t="str">
        <f>IF(ISNUMBER(SEARCH("산업기사",$AT202)),IF($AK202&gt;=13,"특급",IF($AK202&gt;=10,"고급",IF($AK202&gt;=7,"중급","초급"))),IF(ISNUMBER(SEARCH("기사",$AR202)),IF($AK202&gt;=10,"특급",IF($AK202&gt;=7,"고급",IF($AK202&gt;=4,"중급","초급"))),"미해당"))</f>
        <v>미해당</v>
      </c>
      <c r="AN202" s="26"/>
      <c r="AO202" s="78"/>
      <c r="AP202" s="26"/>
      <c r="AQ202" s="78"/>
      <c r="AR202" s="26"/>
      <c r="AS202" s="26"/>
      <c r="AT202" s="82"/>
      <c r="AU202" s="26"/>
      <c r="AV202" s="83"/>
      <c r="AW202" s="84"/>
      <c r="AX202" s="84"/>
      <c r="AY202" s="40" t="s">
        <v>2374</v>
      </c>
      <c r="AZ202" s="41" t="s">
        <v>2375</v>
      </c>
      <c r="BA202" s="76" t="s">
        <v>230</v>
      </c>
      <c r="BB202" s="76" t="s">
        <v>2388</v>
      </c>
      <c r="BC202" s="85"/>
      <c r="BD202" s="85"/>
      <c r="BE202" s="69" t="s">
        <v>2389</v>
      </c>
      <c r="BF202" s="85" t="s">
        <v>234</v>
      </c>
      <c r="BG202" s="85" t="s">
        <v>1306</v>
      </c>
      <c r="BH202" s="81"/>
      <c r="BI202" s="86" t="s">
        <v>2390</v>
      </c>
      <c r="BJ202" s="45" t="str">
        <f>IFERROR(VLOOKUP($BG202,[1]프로젝트현황!Y:Z,2,0),"기타")</f>
        <v>동남권</v>
      </c>
      <c r="BK202" s="46" t="str">
        <f>(IF(BF202="","",BF202&amp;" "))&amp;(IF(BG202="","",BG202&amp;" "))&amp;(IF(BH202="","",BH202&amp;" "))&amp;BI202</f>
        <v>경기도 하남시 하남유니온로 10, 103동 1701호</v>
      </c>
      <c r="BL202" s="70">
        <v>30</v>
      </c>
      <c r="BM202" s="70">
        <v>30</v>
      </c>
      <c r="BN202" s="87">
        <v>80000000</v>
      </c>
      <c r="BO202" s="87">
        <f>BP202*12</f>
        <v>80000000.400000006</v>
      </c>
      <c r="BP202" s="88">
        <f>SUM(BQ202:BS202)</f>
        <v>6666666.7000000002</v>
      </c>
      <c r="BQ202" s="88">
        <f>ROUNDUP(BN202/12*209/(209+BU202*1.5)/BL202*BM202,-1)-BS202</f>
        <v>4654820</v>
      </c>
      <c r="BR202" s="88">
        <f>ROUNDUP(BN202/12*(BU202*1.5)/(209+BU202*1.5)/BL202*BM202,1)</f>
        <v>1811846.7000000002</v>
      </c>
      <c r="BS202" s="88">
        <v>200000</v>
      </c>
      <c r="BT202" s="89">
        <v>209</v>
      </c>
      <c r="BU202" s="49">
        <f>IF($BN202="","",
IFERROR(
    IF($BN202&lt;'[1]시간외시간 기준표'!$B$2,0,
        IF($BN202&gt;LOOKUP(9.9E+307,'[1]시간외시간 기준표'!$B$2:$B$999),
            LOOKUP(9.9E+307,'[1]시간외시간 기준표'!$C$2:$C$999),
            LOOKUP($BN202,'[1]시간외시간 기준표'!$B$2:$B$999,'[1]시간외시간 기준표'!$C$2:$C$999)
        )
    ),0)
)</f>
        <v>52</v>
      </c>
      <c r="BV202" s="89">
        <f>(BQ202+BS202)/209</f>
        <v>23228.803827751195</v>
      </c>
      <c r="BW202" s="71">
        <v>30</v>
      </c>
      <c r="BX202" s="71">
        <v>30</v>
      </c>
      <c r="BY202" s="90">
        <v>80000000</v>
      </c>
      <c r="BZ202" s="90">
        <f>CA202*12</f>
        <v>80000000.400000006</v>
      </c>
      <c r="CA202" s="88">
        <f>SUM(CB202:CD202)</f>
        <v>6666666.7000000002</v>
      </c>
      <c r="CB202" s="88">
        <f>ROUNDUP(BY202/12*209/(209+CF202*1.5)/BW202*BX202,-1)-CD202</f>
        <v>4654820</v>
      </c>
      <c r="CC202" s="88">
        <f>ROUNDUP(BY202/12*(CF202*1.5)/(209+CF202*1.5)/BW202*BX202,1)</f>
        <v>1811846.7000000002</v>
      </c>
      <c r="CD202" s="88">
        <v>200000</v>
      </c>
      <c r="CE202" s="89">
        <v>209</v>
      </c>
      <c r="CF202" s="88">
        <f>IF(BY202&lt;26000000,0,IF(BY202&lt;26500000,4,IF(BY202&lt;27000000,7,IF(BY202&lt;27500000,9,IF(BY202&lt;28000000,11,IF(BY202&lt;28500000,15,IF(BY202&lt;29000000,17,IF(BY202&lt;29500000,20,IF(BY202&lt;30000000,23,IF(BY202&lt;30500000,25,IF(BY202&lt;31000000,27,IF(BY202&lt;31500000,29,IF(BY202&lt;32000000,33,IF(BY202&lt;32500000,37,IF(BY202&lt;33000000,39,IF(BY202&lt;33500000,42,IF(BY202&lt;34000000,45,IF(BY202&lt;34500000,48,IF(BY202&lt;35000000,52,52)))))))))))))))))))</f>
        <v>52</v>
      </c>
      <c r="CG202" s="89">
        <f>(CB202+CD202)/209</f>
        <v>23228.803827751195</v>
      </c>
      <c r="CH202" s="91"/>
      <c r="CI202" s="91"/>
      <c r="CJ202" s="92"/>
      <c r="CK202" s="92"/>
      <c r="CL202" s="88"/>
      <c r="CM202" s="88"/>
      <c r="CN202" s="88"/>
      <c r="CO202" s="89"/>
      <c r="CP202" s="89"/>
      <c r="CQ202" s="89"/>
      <c r="CR202" s="89"/>
      <c r="CS202" s="90"/>
      <c r="CT202" s="93"/>
      <c r="CU202" s="93"/>
      <c r="CV202" s="93"/>
      <c r="CW202" s="94"/>
      <c r="CX202" s="94"/>
      <c r="CY202" s="94"/>
      <c r="CZ202" s="95"/>
      <c r="DA202" s="95"/>
      <c r="DB202" s="96"/>
      <c r="DC202" s="97"/>
      <c r="DD202" s="98"/>
      <c r="DE202" s="98"/>
      <c r="DF202" s="97"/>
      <c r="DG202" s="99">
        <f>B202</f>
        <v>251205</v>
      </c>
      <c r="DH202" s="98"/>
      <c r="DI202" s="98"/>
      <c r="DJ202" s="100"/>
      <c r="DK202" s="98"/>
      <c r="DL202" s="101"/>
      <c r="DM202" s="63"/>
    </row>
    <row r="203" spans="1:117" ht="15" customHeight="1">
      <c r="A203" s="74">
        <f>ROW()-2</f>
        <v>201</v>
      </c>
      <c r="B203" s="26">
        <v>260101</v>
      </c>
      <c r="C203" s="26" t="s">
        <v>2391</v>
      </c>
      <c r="D203" s="27"/>
      <c r="E203" s="27" t="s">
        <v>947</v>
      </c>
      <c r="F203" s="27" t="s">
        <v>196</v>
      </c>
      <c r="G203" s="27" t="s">
        <v>240</v>
      </c>
      <c r="H203" s="27" t="s">
        <v>217</v>
      </c>
      <c r="I203" s="27" t="s">
        <v>432</v>
      </c>
      <c r="J203" s="27" t="str">
        <f>+VLOOKUP($I203,[1]프로젝트현황!$I:$N,5,0)</f>
        <v>서울시</v>
      </c>
      <c r="K203" s="27" t="str">
        <f>+VLOOKUP($I203,[1]프로젝트현황!$I:$N,6,0)</f>
        <v>중구</v>
      </c>
      <c r="L203" s="68">
        <v>46024</v>
      </c>
      <c r="M203" s="28">
        <f>+L203</f>
        <v>46024</v>
      </c>
      <c r="N203" s="68"/>
      <c r="O203" s="75"/>
      <c r="P203" s="76" t="s">
        <v>2392</v>
      </c>
      <c r="Q203" s="26" t="s">
        <v>2393</v>
      </c>
      <c r="R203" s="77" t="str">
        <f>LEFT(Q203,6)</f>
        <v>790107</v>
      </c>
      <c r="S203" s="77" t="str">
        <f>MID($Q203,3,2)</f>
        <v>01</v>
      </c>
      <c r="T203" s="77" t="str">
        <f>IF(OR(MID($Q203,8,1)="1",MID($Q203,8,1)="3"),"남자",IF(OR(MID($Q203,8,1)="2",MID($Q203,8,1)="4"),"여자",""))</f>
        <v>남자</v>
      </c>
      <c r="U203" s="77">
        <f ca="1">YEAR(TODAY())-IF(OR(MID($Q203,8,1)="1",MID($Q203,8,1)="2"),19&amp;LEFT($Q203,2),IF(OR(MID($Q203,8,1)="3",MID($Q203,8,1)="4"),20&amp;LEFT($Q203,2),""))+1</f>
        <v>48</v>
      </c>
      <c r="V203" s="31" t="s">
        <v>2369</v>
      </c>
      <c r="W203" s="31" t="s">
        <v>2370</v>
      </c>
      <c r="X203" s="26" t="s">
        <v>2394</v>
      </c>
      <c r="Y203" s="26"/>
      <c r="Z203" s="26"/>
      <c r="AA203" s="78"/>
      <c r="AB203" s="31" t="s">
        <v>2386</v>
      </c>
      <c r="AC203" s="26"/>
      <c r="AD203" s="79" t="str">
        <f ca="1">QUOTIENT(SUMPRODUCT(LEFT($AE203:$AF203,FIND("년",$AE203:$AF203)-1)*12+MID($AE203:$AF203,FIND("년",$AE203:$AF203)+1,FIND("개월",$AE203:$AF203)-FIND("년",$AE203:$AF203)-1)),12)&amp;"년"&amp;MOD(SUMPRODUCT(LEFT($AE203:$AF203,FIND("년",$AE203:$AF203)-1)*12+MID($AE203:$AF203,FIND("년",$AE203:$AF203)+1,FIND("개월",$AE203:$AF203)-FIND("년",$AE203:$AF203)-1)),12)&amp;"개월"</f>
        <v>21년2개월</v>
      </c>
      <c r="AE203" s="79" t="s">
        <v>2395</v>
      </c>
      <c r="AF203" s="80" t="str">
        <f ca="1">DATEDIF($L203,TODAY(),"y")&amp;"년"&amp;DATEDIF($L203,TODAY(),"ym")&amp;"개월"</f>
        <v>0년1개월</v>
      </c>
      <c r="AG203" s="81" t="s">
        <v>2396</v>
      </c>
      <c r="AH203" s="81" t="s">
        <v>588</v>
      </c>
      <c r="AI203" s="76" t="s">
        <v>270</v>
      </c>
      <c r="AJ203" s="78">
        <v>42788</v>
      </c>
      <c r="AK203" s="36">
        <f ca="1">VALUE(LEFT($AD203,FIND("년",$AD203)-1))</f>
        <v>21</v>
      </c>
      <c r="AL203" s="31" t="str">
        <f ca="1">IF($AI203="학사",IF($AK203&lt;=8,"초급",IF($AK203&lt;12,"중급",IF($AK203&lt;15,"고급",IF($AK203&gt;=15,"특급")))))</f>
        <v>특급</v>
      </c>
      <c r="AM203" s="31" t="str">
        <f>IF(ISNUMBER(SEARCH("산업기사",$AT203)),IF($AK203&gt;=13,"특급",IF($AK203&gt;=10,"고급",IF($AK203&gt;=7,"중급","초급"))),IF(ISNUMBER(SEARCH("기사",$AR203)),IF($AK203&gt;=10,"특급",IF($AK203&gt;=7,"고급",IF($AK203&gt;=4,"중급","초급"))),"미해당"))</f>
        <v>미해당</v>
      </c>
      <c r="AN203" s="26"/>
      <c r="AO203" s="78"/>
      <c r="AP203" s="26"/>
      <c r="AQ203" s="78"/>
      <c r="AR203" s="26"/>
      <c r="AS203" s="26"/>
      <c r="AT203" s="82"/>
      <c r="AU203" s="26"/>
      <c r="AV203" s="83"/>
      <c r="AW203" s="84"/>
      <c r="AX203" s="84"/>
      <c r="AY203" s="40" t="s">
        <v>2374</v>
      </c>
      <c r="AZ203" s="41" t="s">
        <v>2375</v>
      </c>
      <c r="BA203" s="76" t="s">
        <v>2218</v>
      </c>
      <c r="BB203" s="76" t="s">
        <v>2397</v>
      </c>
      <c r="BC203" s="85"/>
      <c r="BD203" s="85"/>
      <c r="BE203" s="69" t="s">
        <v>2398</v>
      </c>
      <c r="BF203" s="85" t="s">
        <v>234</v>
      </c>
      <c r="BG203" s="85" t="s">
        <v>863</v>
      </c>
      <c r="BH203" s="81"/>
      <c r="BI203" s="86" t="s">
        <v>2399</v>
      </c>
      <c r="BJ203" s="45" t="str">
        <f>IFERROR(VLOOKUP($BG203,[1]프로젝트현황!Y:Z,2,0),"기타")</f>
        <v>동북권</v>
      </c>
      <c r="BK203" s="46" t="str">
        <f>(IF(BF203="","",BF203&amp;" "))&amp;(IF(BG203="","",BG203&amp;" "))&amp;(IF(BH203="","",BH203&amp;" "))&amp;BI203</f>
        <v>경기도 남양주시 별내5로 189-130, 5402동 401호</v>
      </c>
      <c r="BL203" s="70">
        <v>30</v>
      </c>
      <c r="BM203" s="70">
        <v>30</v>
      </c>
      <c r="BN203" s="87">
        <v>65000000</v>
      </c>
      <c r="BO203" s="87">
        <f>BP203*12</f>
        <v>65000106</v>
      </c>
      <c r="BP203" s="88">
        <f>SUM(BQ203:BS203)</f>
        <v>5416675.5</v>
      </c>
      <c r="BQ203" s="88">
        <f>ROUNDUP(BN203/12*209/(209+BU203*1.5)/BL203*BM203,-1)-BS203</f>
        <v>3744550</v>
      </c>
      <c r="BR203" s="88">
        <f>ROUNDUP(BN203/12*(BU203*1.5)/(209+BU203*1.5)/BL203*BM203,1)</f>
        <v>1472125.5</v>
      </c>
      <c r="BS203" s="88">
        <v>200000</v>
      </c>
      <c r="BT203" s="89">
        <v>209</v>
      </c>
      <c r="BU203" s="49">
        <f>IF($BN203="","",
IFERROR(
    IF($BN203&lt;'[1]시간외시간 기준표'!$B$2,0,
        IF($BN203&gt;LOOKUP(9.9E+307,'[1]시간외시간 기준표'!$B$2:$B$999),
            LOOKUP(9.9E+307,'[1]시간외시간 기준표'!$C$2:$C$999),
            LOOKUP($BN203,'[1]시간외시간 기준표'!$B$2:$B$999,'[1]시간외시간 기준표'!$C$2:$C$999)
        )
    ),0)
)</f>
        <v>52</v>
      </c>
      <c r="BV203" s="89">
        <f>(BQ203+BS203)/209</f>
        <v>18873.444976076556</v>
      </c>
      <c r="BW203" s="71">
        <v>30</v>
      </c>
      <c r="BX203" s="71">
        <v>30</v>
      </c>
      <c r="BY203" s="90">
        <v>65000000</v>
      </c>
      <c r="BZ203" s="90">
        <f>CA203*12</f>
        <v>65000106</v>
      </c>
      <c r="CA203" s="88">
        <f>SUM(CB203:CD203)</f>
        <v>5416675.5</v>
      </c>
      <c r="CB203" s="88">
        <f>ROUNDUP(BY203/12*209/(209+CF203*1.5)/BW203*BX203,-1)-CD203</f>
        <v>3744550</v>
      </c>
      <c r="CC203" s="88">
        <f>ROUNDUP(BY203/12*(CF203*1.5)/(209+CF203*1.5)/BW203*BX203,1)</f>
        <v>1472125.5</v>
      </c>
      <c r="CD203" s="88">
        <v>200000</v>
      </c>
      <c r="CE203" s="89">
        <v>209</v>
      </c>
      <c r="CF203" s="88">
        <f>IF(BY203&lt;26000000,0,IF(BY203&lt;26500000,4,IF(BY203&lt;27000000,7,IF(BY203&lt;27500000,9,IF(BY203&lt;28000000,11,IF(BY203&lt;28500000,15,IF(BY203&lt;29000000,17,IF(BY203&lt;29500000,20,IF(BY203&lt;30000000,23,IF(BY203&lt;30500000,25,IF(BY203&lt;31000000,27,IF(BY203&lt;31500000,29,IF(BY203&lt;32000000,33,IF(BY203&lt;32500000,37,IF(BY203&lt;33000000,39,IF(BY203&lt;33500000,42,IF(BY203&lt;34000000,45,IF(BY203&lt;34500000,48,IF(BY203&lt;35000000,52,52)))))))))))))))))))</f>
        <v>52</v>
      </c>
      <c r="CG203" s="89">
        <f>(CB203+CD203)/209</f>
        <v>18873.444976076556</v>
      </c>
      <c r="CH203" s="91"/>
      <c r="CI203" s="91"/>
      <c r="CJ203" s="92"/>
      <c r="CK203" s="92"/>
      <c r="CL203" s="88"/>
      <c r="CM203" s="88"/>
      <c r="CN203" s="88"/>
      <c r="CO203" s="89"/>
      <c r="CP203" s="89"/>
      <c r="CQ203" s="89"/>
      <c r="CR203" s="89"/>
      <c r="CS203" s="90"/>
      <c r="CT203" s="93"/>
      <c r="CU203" s="93"/>
      <c r="CV203" s="93"/>
      <c r="CW203" s="94"/>
      <c r="CX203" s="94"/>
      <c r="CY203" s="94"/>
      <c r="CZ203" s="95"/>
      <c r="DA203" s="95"/>
      <c r="DB203" s="96"/>
      <c r="DC203" s="97"/>
      <c r="DD203" s="98"/>
      <c r="DE203" s="98"/>
      <c r="DF203" s="97"/>
      <c r="DG203" s="99"/>
      <c r="DH203" s="98"/>
      <c r="DI203" s="98"/>
      <c r="DJ203" s="100"/>
      <c r="DK203" s="98"/>
      <c r="DL203" s="101"/>
      <c r="DM203" s="24"/>
    </row>
    <row r="204" spans="1:117" ht="15" customHeight="1">
      <c r="A204" s="74">
        <f>ROW()-2</f>
        <v>202</v>
      </c>
      <c r="B204" s="26">
        <v>260102</v>
      </c>
      <c r="C204" s="26" t="s">
        <v>2400</v>
      </c>
      <c r="D204" s="27"/>
      <c r="E204" s="27" t="s">
        <v>283</v>
      </c>
      <c r="F204" s="27" t="s">
        <v>196</v>
      </c>
      <c r="G204" s="27" t="s">
        <v>240</v>
      </c>
      <c r="H204" s="27" t="s">
        <v>217</v>
      </c>
      <c r="I204" s="27" t="s">
        <v>432</v>
      </c>
      <c r="J204" s="27" t="str">
        <f>+VLOOKUP($I204,[1]프로젝트현황!$I:$N,5,0)</f>
        <v>서울시</v>
      </c>
      <c r="K204" s="27" t="str">
        <f>+VLOOKUP($I204,[1]프로젝트현황!$I:$N,6,0)</f>
        <v>중구</v>
      </c>
      <c r="L204" s="68">
        <v>46024</v>
      </c>
      <c r="M204" s="28">
        <f>+L204</f>
        <v>46024</v>
      </c>
      <c r="N204" s="68"/>
      <c r="O204" s="75"/>
      <c r="P204" s="76" t="s">
        <v>2401</v>
      </c>
      <c r="Q204" s="26" t="s">
        <v>2402</v>
      </c>
      <c r="R204" s="77" t="str">
        <f>LEFT(Q204,6)</f>
        <v>920417</v>
      </c>
      <c r="S204" s="77" t="str">
        <f>MID($Q204,3,2)</f>
        <v>04</v>
      </c>
      <c r="T204" s="77" t="str">
        <f>IF(OR(MID($Q204,8,1)="1",MID($Q204,8,1)="3"),"남자",IF(OR(MID($Q204,8,1)="2",MID($Q204,8,1)="4"),"여자",""))</f>
        <v>여자</v>
      </c>
      <c r="U204" s="77">
        <f ca="1">YEAR(TODAY())-IF(OR(MID($Q204,8,1)="1",MID($Q204,8,1)="2"),19&amp;LEFT($Q204,2),IF(OR(MID($Q204,8,1)="3",MID($Q204,8,1)="4"),20&amp;LEFT($Q204,2),""))+1</f>
        <v>35</v>
      </c>
      <c r="V204" s="31" t="s">
        <v>2369</v>
      </c>
      <c r="W204" s="31" t="s">
        <v>2370</v>
      </c>
      <c r="X204" s="26" t="s">
        <v>2403</v>
      </c>
      <c r="Y204" s="26"/>
      <c r="Z204" s="26"/>
      <c r="AA204" s="78"/>
      <c r="AB204" s="31" t="s">
        <v>2386</v>
      </c>
      <c r="AC204" s="26"/>
      <c r="AD204" s="79" t="str">
        <f ca="1">QUOTIENT(SUMPRODUCT(LEFT($AE204:$AF204,FIND("년",$AE204:$AF204)-1)*12+MID($AE204:$AF204,FIND("년",$AE204:$AF204)+1,FIND("개월",$AE204:$AF204)-FIND("년",$AE204:$AF204)-1)),12)&amp;"년"&amp;MOD(SUMPRODUCT(LEFT($AE204:$AF204,FIND("년",$AE204:$AF204)-1)*12+MID($AE204:$AF204,FIND("년",$AE204:$AF204)+1,FIND("개월",$AE204:$AF204)-FIND("년",$AE204:$AF204)-1)),12)&amp;"개월"</f>
        <v>11년7개월</v>
      </c>
      <c r="AE204" s="79" t="s">
        <v>1056</v>
      </c>
      <c r="AF204" s="80" t="str">
        <f ca="1">DATEDIF($L204,TODAY(),"y")&amp;"년"&amp;DATEDIF($L204,TODAY(),"ym")&amp;"개월"</f>
        <v>0년1개월</v>
      </c>
      <c r="AG204" s="81" t="s">
        <v>394</v>
      </c>
      <c r="AH204" s="81" t="s">
        <v>1447</v>
      </c>
      <c r="AI204" s="76" t="s">
        <v>205</v>
      </c>
      <c r="AJ204" s="78">
        <v>44393</v>
      </c>
      <c r="AK204" s="36">
        <f ca="1">VALUE(LEFT($AD204,FIND("년",$AD204)-1))</f>
        <v>11</v>
      </c>
      <c r="AL204" s="31" t="b">
        <f>IF($AI204="학사",IF($AK204&lt;=8,"초급",IF($AK204&lt;12,"중급",IF($AK204&lt;15,"고급",IF($AK204&gt;=15,"특급")))))</f>
        <v>0</v>
      </c>
      <c r="AM204" s="31" t="str">
        <f>IF(ISNUMBER(SEARCH("산업기사",$AT204)),IF($AK204&gt;=13,"특급",IF($AK204&gt;=10,"고급",IF($AK204&gt;=7,"중급","초급"))),IF(ISNUMBER(SEARCH("기사",$AR204)),IF($AK204&gt;=10,"특급",IF($AK204&gt;=7,"고급",IF($AK204&gt;=4,"중급","초급"))),"미해당"))</f>
        <v>미해당</v>
      </c>
      <c r="AN204" s="26"/>
      <c r="AO204" s="78"/>
      <c r="AP204" s="26"/>
      <c r="AQ204" s="78"/>
      <c r="AR204" s="26"/>
      <c r="AS204" s="26"/>
      <c r="AT204" s="82"/>
      <c r="AU204" s="26"/>
      <c r="AV204" s="83"/>
      <c r="AW204" s="84"/>
      <c r="AX204" s="84"/>
      <c r="AY204" s="40" t="s">
        <v>2374</v>
      </c>
      <c r="AZ204" s="41" t="s">
        <v>2375</v>
      </c>
      <c r="BA204" s="76" t="s">
        <v>230</v>
      </c>
      <c r="BB204" s="76" t="s">
        <v>2404</v>
      </c>
      <c r="BC204" s="85" t="s">
        <v>2322</v>
      </c>
      <c r="BD204" s="85" t="s">
        <v>2405</v>
      </c>
      <c r="BE204" s="69" t="s">
        <v>2406</v>
      </c>
      <c r="BF204" s="85" t="s">
        <v>234</v>
      </c>
      <c r="BG204" s="85" t="s">
        <v>863</v>
      </c>
      <c r="BH204" s="81" t="s">
        <v>2407</v>
      </c>
      <c r="BI204" s="86" t="s">
        <v>2408</v>
      </c>
      <c r="BJ204" s="45" t="str">
        <f>IFERROR(VLOOKUP($BG204,[1]프로젝트현황!Y:Z,2,0),"기타")</f>
        <v>동북권</v>
      </c>
      <c r="BK204" s="46" t="str">
        <f>(IF(BF204="","",BF204&amp;" "))&amp;(IF(BG204="","",BG204&amp;" "))&amp;(IF(BH204="","",BH204&amp;" "))&amp;BI204</f>
        <v>경기도 남양주시 별내면 청학로 114번길 17, 104동 1202호</v>
      </c>
      <c r="BL204" s="70">
        <v>30</v>
      </c>
      <c r="BM204" s="70">
        <v>30</v>
      </c>
      <c r="BN204" s="87">
        <v>36000000</v>
      </c>
      <c r="BO204" s="87">
        <f>BP204*12</f>
        <v>36000013.200000003</v>
      </c>
      <c r="BP204" s="88">
        <f>SUM(BQ204:BS204)</f>
        <v>3000001.1</v>
      </c>
      <c r="BQ204" s="88">
        <f>ROUNDUP(BN204/12*209/(209+BU204*1.5)/BL204*BM204,-1)-BS204</f>
        <v>1984670</v>
      </c>
      <c r="BR204" s="88">
        <f>ROUNDUP(BN204/12*(BU204*1.5)/(209+BU204*1.5)/BL204*BM204,1)</f>
        <v>815331.1</v>
      </c>
      <c r="BS204" s="88">
        <v>200000</v>
      </c>
      <c r="BT204" s="89">
        <v>209</v>
      </c>
      <c r="BU204" s="49">
        <f>IF($BN204="","",
IFERROR(
    IF($BN204&lt;'[1]시간외시간 기준표'!$B$2,0,
        IF($BN204&gt;LOOKUP(9.9E+307,'[1]시간외시간 기준표'!$B$2:$B$999),
            LOOKUP(9.9E+307,'[1]시간외시간 기준표'!$C$2:$C$999),
            LOOKUP($BN204,'[1]시간외시간 기준표'!$B$2:$B$999,'[1]시간외시간 기준표'!$C$2:$C$999)
        )
    ),0)
)</f>
        <v>52</v>
      </c>
      <c r="BV204" s="89">
        <f>(BQ204+BS204)/209</f>
        <v>10452.966507177034</v>
      </c>
      <c r="BW204" s="71">
        <v>30</v>
      </c>
      <c r="BX204" s="71">
        <v>30</v>
      </c>
      <c r="BY204" s="90">
        <v>36000000</v>
      </c>
      <c r="BZ204" s="90">
        <f>CA204*12</f>
        <v>36000013.200000003</v>
      </c>
      <c r="CA204" s="88">
        <f>SUM(CB204:CD204)</f>
        <v>3000001.1</v>
      </c>
      <c r="CB204" s="88">
        <f>ROUNDUP(BY204/12*209/(209+CF204*1.5)/BW204*BX204,-1)-CD204</f>
        <v>1984670</v>
      </c>
      <c r="CC204" s="88">
        <f>ROUNDUP(BY204/12*(CF204*1.5)/(209+CF204*1.5)/BW204*BX204,1)</f>
        <v>815331.1</v>
      </c>
      <c r="CD204" s="88">
        <v>200000</v>
      </c>
      <c r="CE204" s="89">
        <v>209</v>
      </c>
      <c r="CF204" s="88">
        <f>IF(BY204&lt;26000000,0,IF(BY204&lt;26500000,4,IF(BY204&lt;27000000,7,IF(BY204&lt;27500000,9,IF(BY204&lt;28000000,11,IF(BY204&lt;28500000,15,IF(BY204&lt;29000000,17,IF(BY204&lt;29500000,20,IF(BY204&lt;30000000,23,IF(BY204&lt;30500000,25,IF(BY204&lt;31000000,27,IF(BY204&lt;31500000,29,IF(BY204&lt;32000000,33,IF(BY204&lt;32500000,37,IF(BY204&lt;33000000,39,IF(BY204&lt;33500000,42,IF(BY204&lt;34000000,45,IF(BY204&lt;34500000,48,IF(BY204&lt;35000000,52,52)))))))))))))))))))</f>
        <v>52</v>
      </c>
      <c r="CG204" s="89">
        <f>(CB204+CD204)/209</f>
        <v>10452.966507177034</v>
      </c>
      <c r="CH204" s="91"/>
      <c r="CI204" s="91"/>
      <c r="CJ204" s="92"/>
      <c r="CK204" s="92"/>
      <c r="CL204" s="88"/>
      <c r="CM204" s="88"/>
      <c r="CN204" s="88"/>
      <c r="CO204" s="89"/>
      <c r="CP204" s="89"/>
      <c r="CQ204" s="89"/>
      <c r="CR204" s="89"/>
      <c r="CS204" s="90"/>
      <c r="CT204" s="93"/>
      <c r="CU204" s="93"/>
      <c r="CV204" s="93"/>
      <c r="CW204" s="94"/>
      <c r="CX204" s="94"/>
      <c r="CY204" s="94"/>
      <c r="CZ204" s="95"/>
      <c r="DA204" s="95"/>
      <c r="DB204" s="96"/>
      <c r="DC204" s="97"/>
      <c r="DD204" s="98"/>
      <c r="DE204" s="98"/>
      <c r="DF204" s="97"/>
      <c r="DG204" s="99"/>
      <c r="DH204" s="98"/>
      <c r="DI204" s="98"/>
      <c r="DJ204" s="100"/>
      <c r="DK204" s="98"/>
      <c r="DL204" s="101"/>
      <c r="DM204" s="24"/>
    </row>
    <row r="205" spans="1:117" ht="15" customHeight="1">
      <c r="A205" s="74">
        <f>ROW()-2</f>
        <v>203</v>
      </c>
      <c r="B205" s="26">
        <v>260103</v>
      </c>
      <c r="C205" s="26" t="s">
        <v>2409</v>
      </c>
      <c r="D205" s="27"/>
      <c r="E205" s="27" t="s">
        <v>283</v>
      </c>
      <c r="F205" s="27" t="s">
        <v>196</v>
      </c>
      <c r="G205" s="27" t="s">
        <v>240</v>
      </c>
      <c r="H205" s="27" t="s">
        <v>217</v>
      </c>
      <c r="I205" s="27" t="s">
        <v>432</v>
      </c>
      <c r="J205" s="27" t="str">
        <f>+VLOOKUP($I205,[1]프로젝트현황!$I:$N,5,0)</f>
        <v>서울시</v>
      </c>
      <c r="K205" s="27" t="str">
        <f>+VLOOKUP($I205,[1]프로젝트현황!$I:$N,6,0)</f>
        <v>중구</v>
      </c>
      <c r="L205" s="68">
        <v>46024</v>
      </c>
      <c r="M205" s="28">
        <f>+L205</f>
        <v>46024</v>
      </c>
      <c r="N205" s="68"/>
      <c r="O205" s="75"/>
      <c r="P205" s="76" t="s">
        <v>2410</v>
      </c>
      <c r="Q205" s="26" t="s">
        <v>2411</v>
      </c>
      <c r="R205" s="77" t="str">
        <f>LEFT(Q205,6)</f>
        <v>880506</v>
      </c>
      <c r="S205" s="77" t="str">
        <f>MID($Q205,3,2)</f>
        <v>05</v>
      </c>
      <c r="T205" s="77" t="str">
        <f>IF(OR(MID($Q205,8,1)="1",MID($Q205,8,1)="3"),"남자",IF(OR(MID($Q205,8,1)="2",MID($Q205,8,1)="4"),"여자",""))</f>
        <v>남자</v>
      </c>
      <c r="U205" s="77">
        <f ca="1">YEAR(TODAY())-IF(OR(MID($Q205,8,1)="1",MID($Q205,8,1)="2"),19&amp;LEFT($Q205,2),IF(OR(MID($Q205,8,1)="3",MID($Q205,8,1)="4"),20&amp;LEFT($Q205,2),""))+1</f>
        <v>39</v>
      </c>
      <c r="V205" s="31" t="s">
        <v>2369</v>
      </c>
      <c r="W205" s="31" t="s">
        <v>2370</v>
      </c>
      <c r="X205" s="26" t="s">
        <v>2412</v>
      </c>
      <c r="Y205" s="26"/>
      <c r="Z205" s="26"/>
      <c r="AA205" s="78"/>
      <c r="AB205" s="31" t="s">
        <v>2386</v>
      </c>
      <c r="AC205" s="26"/>
      <c r="AD205" s="79" t="str">
        <f ca="1">QUOTIENT(SUMPRODUCT(LEFT($AE205:$AF205,FIND("년",$AE205:$AF205)-1)*12+MID($AE205:$AF205,FIND("년",$AE205:$AF205)+1,FIND("개월",$AE205:$AF205)-FIND("년",$AE205:$AF205)-1)),12)&amp;"년"&amp;MOD(SUMPRODUCT(LEFT($AE205:$AF205,FIND("년",$AE205:$AF205)-1)*12+MID($AE205:$AF205,FIND("년",$AE205:$AF205)+1,FIND("개월",$AE205:$AF205)-FIND("년",$AE205:$AF205)-1)),12)&amp;"개월"</f>
        <v>13년10개월</v>
      </c>
      <c r="AE205" s="79" t="s">
        <v>2413</v>
      </c>
      <c r="AF205" s="80" t="str">
        <f ca="1">DATEDIF($L205,TODAY(),"y")&amp;"년"&amp;DATEDIF($L205,TODAY(),"ym")&amp;"개월"</f>
        <v>0년1개월</v>
      </c>
      <c r="AG205" s="81" t="s">
        <v>2414</v>
      </c>
      <c r="AH205" s="81" t="s">
        <v>588</v>
      </c>
      <c r="AI205" s="76" t="s">
        <v>205</v>
      </c>
      <c r="AJ205" s="78">
        <v>40942</v>
      </c>
      <c r="AK205" s="36">
        <f ca="1">VALUE(LEFT($AD205,FIND("년",$AD205)-1))</f>
        <v>13</v>
      </c>
      <c r="AL205" s="31" t="b">
        <f>IF($AI205="학사",IF($AK205&lt;=8,"초급",IF($AK205&lt;12,"중급",IF($AK205&lt;15,"고급",IF($AK205&gt;=15,"특급")))))</f>
        <v>0</v>
      </c>
      <c r="AM205" s="31" t="str">
        <f>IF(ISNUMBER(SEARCH("산업기사",$AT205)),IF($AK205&gt;=13,"특급",IF($AK205&gt;=10,"고급",IF($AK205&gt;=7,"중급","초급"))),IF(ISNUMBER(SEARCH("기사",$AR205)),IF($AK205&gt;=10,"특급",IF($AK205&gt;=7,"고급",IF($AK205&gt;=4,"중급","초급"))),"미해당"))</f>
        <v>미해당</v>
      </c>
      <c r="AN205" s="26"/>
      <c r="AO205" s="78"/>
      <c r="AP205" s="26"/>
      <c r="AQ205" s="78"/>
      <c r="AR205" s="26"/>
      <c r="AS205" s="26"/>
      <c r="AT205" s="82"/>
      <c r="AU205" s="26"/>
      <c r="AV205" s="83"/>
      <c r="AW205" s="84"/>
      <c r="AX205" s="84"/>
      <c r="AY205" s="40" t="s">
        <v>2374</v>
      </c>
      <c r="AZ205" s="41" t="s">
        <v>2375</v>
      </c>
      <c r="BA205" s="76" t="s">
        <v>2218</v>
      </c>
      <c r="BB205" s="76" t="s">
        <v>2415</v>
      </c>
      <c r="BC205" s="85"/>
      <c r="BD205" s="85"/>
      <c r="BE205" s="69" t="s">
        <v>2416</v>
      </c>
      <c r="BF205" s="85" t="s">
        <v>2417</v>
      </c>
      <c r="BG205" s="85" t="s">
        <v>2418</v>
      </c>
      <c r="BH205" s="81"/>
      <c r="BI205" s="86" t="s">
        <v>2419</v>
      </c>
      <c r="BJ205" s="45" t="str">
        <f>IFERROR(VLOOKUP($BG205,[1]프로젝트현황!Y:Z,2,0),"기타")</f>
        <v>동남권</v>
      </c>
      <c r="BK205" s="46" t="str">
        <f>(IF(BF205="","",BF205&amp;" "))&amp;(IF(BG205="","",BG205&amp;" "))&amp;(IF(BH205="","",BH205&amp;" "))&amp;BI205</f>
        <v>경기도 광주시 고불로 461-26, 106동 505호</v>
      </c>
      <c r="BL205" s="70">
        <v>30</v>
      </c>
      <c r="BM205" s="70">
        <v>30</v>
      </c>
      <c r="BN205" s="87">
        <v>39000000</v>
      </c>
      <c r="BO205" s="87">
        <f>BP205*12</f>
        <v>39000063.599999994</v>
      </c>
      <c r="BP205" s="88">
        <f>SUM(BQ205:BS205)</f>
        <v>3250005.3</v>
      </c>
      <c r="BQ205" s="88">
        <f>ROUNDUP(BN205/12*209/(209+BU205*1.5)/BL205*BM205,-1)-BS205</f>
        <v>2166730</v>
      </c>
      <c r="BR205" s="88">
        <f>ROUNDUP(BN205/12*(BU205*1.5)/(209+BU205*1.5)/BL205*BM205,1)</f>
        <v>883275.29999999993</v>
      </c>
      <c r="BS205" s="88">
        <v>200000</v>
      </c>
      <c r="BT205" s="89">
        <v>209</v>
      </c>
      <c r="BU205" s="49">
        <f>IF($BN205="","",
IFERROR(
    IF($BN205&lt;'[1]시간외시간 기준표'!$B$2,0,
        IF($BN205&gt;LOOKUP(9.9E+307,'[1]시간외시간 기준표'!$B$2:$B$999),
            LOOKUP(9.9E+307,'[1]시간외시간 기준표'!$C$2:$C$999),
            LOOKUP($BN205,'[1]시간외시간 기준표'!$B$2:$B$999,'[1]시간외시간 기준표'!$C$2:$C$999)
        )
    ),0)
)</f>
        <v>52</v>
      </c>
      <c r="BV205" s="89">
        <f>(BQ205+BS205)/209</f>
        <v>11324.066985645934</v>
      </c>
      <c r="BW205" s="71">
        <v>30</v>
      </c>
      <c r="BX205" s="71">
        <v>30</v>
      </c>
      <c r="BY205" s="90">
        <v>39000000</v>
      </c>
      <c r="BZ205" s="90">
        <f>CA205*12</f>
        <v>39000063.599999994</v>
      </c>
      <c r="CA205" s="88">
        <f>SUM(CB205:CD205)</f>
        <v>3250005.3</v>
      </c>
      <c r="CB205" s="88">
        <f>ROUNDUP(BY205/12*209/(209+CF205*1.5)/BW205*BX205,-1)-CD205</f>
        <v>2166730</v>
      </c>
      <c r="CC205" s="88">
        <f>ROUNDUP(BY205/12*(CF205*1.5)/(209+CF205*1.5)/BW205*BX205,1)</f>
        <v>883275.29999999993</v>
      </c>
      <c r="CD205" s="88">
        <v>200000</v>
      </c>
      <c r="CE205" s="89">
        <v>209</v>
      </c>
      <c r="CF205" s="88">
        <f>IF(BY205&lt;26000000,0,IF(BY205&lt;26500000,4,IF(BY205&lt;27000000,7,IF(BY205&lt;27500000,9,IF(BY205&lt;28000000,11,IF(BY205&lt;28500000,15,IF(BY205&lt;29000000,17,IF(BY205&lt;29500000,20,IF(BY205&lt;30000000,23,IF(BY205&lt;30500000,25,IF(BY205&lt;31000000,27,IF(BY205&lt;31500000,29,IF(BY205&lt;32000000,33,IF(BY205&lt;32500000,37,IF(BY205&lt;33000000,39,IF(BY205&lt;33500000,42,IF(BY205&lt;34000000,45,IF(BY205&lt;34500000,48,IF(BY205&lt;35000000,52,52)))))))))))))))))))</f>
        <v>52</v>
      </c>
      <c r="CG205" s="89">
        <f>(CB205+CD205)/209</f>
        <v>11324.066985645934</v>
      </c>
      <c r="CH205" s="91"/>
      <c r="CI205" s="91"/>
      <c r="CJ205" s="92"/>
      <c r="CK205" s="92"/>
      <c r="CL205" s="88"/>
      <c r="CM205" s="88"/>
      <c r="CN205" s="88"/>
      <c r="CO205" s="89"/>
      <c r="CP205" s="89"/>
      <c r="CQ205" s="89"/>
      <c r="CR205" s="89"/>
      <c r="CS205" s="90"/>
      <c r="CT205" s="93"/>
      <c r="CU205" s="93"/>
      <c r="CV205" s="93"/>
      <c r="CW205" s="94"/>
      <c r="CX205" s="94"/>
      <c r="CY205" s="94"/>
      <c r="CZ205" s="95"/>
      <c r="DA205" s="95"/>
      <c r="DB205" s="96"/>
      <c r="DC205" s="97"/>
      <c r="DD205" s="98"/>
      <c r="DE205" s="98"/>
      <c r="DF205" s="97"/>
      <c r="DG205" s="99"/>
      <c r="DH205" s="98"/>
      <c r="DI205" s="98"/>
      <c r="DJ205" s="100"/>
      <c r="DK205" s="98"/>
      <c r="DL205" s="101"/>
      <c r="DM205" s="24"/>
    </row>
    <row r="206" spans="1:117" ht="15" customHeight="1">
      <c r="A206" s="74">
        <f>ROW()-2</f>
        <v>204</v>
      </c>
      <c r="B206" s="26">
        <v>260104</v>
      </c>
      <c r="C206" s="26" t="s">
        <v>2420</v>
      </c>
      <c r="D206" s="27"/>
      <c r="E206" s="27" t="s">
        <v>239</v>
      </c>
      <c r="F206" s="27" t="s">
        <v>196</v>
      </c>
      <c r="G206" s="27" t="s">
        <v>240</v>
      </c>
      <c r="H206" s="27" t="s">
        <v>217</v>
      </c>
      <c r="I206" s="27" t="s">
        <v>432</v>
      </c>
      <c r="J206" s="27" t="str">
        <f>+VLOOKUP($I206,[1]프로젝트현황!$I:$N,5,0)</f>
        <v>서울시</v>
      </c>
      <c r="K206" s="27" t="str">
        <f>+VLOOKUP($I206,[1]프로젝트현황!$I:$N,6,0)</f>
        <v>중구</v>
      </c>
      <c r="L206" s="68">
        <v>46024</v>
      </c>
      <c r="M206" s="28">
        <f>+L206</f>
        <v>46024</v>
      </c>
      <c r="N206" s="68"/>
      <c r="O206" s="75"/>
      <c r="P206" s="76" t="s">
        <v>2421</v>
      </c>
      <c r="Q206" s="26" t="s">
        <v>2422</v>
      </c>
      <c r="R206" s="77" t="str">
        <f>LEFT(Q206,6)</f>
        <v>950413</v>
      </c>
      <c r="S206" s="77" t="str">
        <f>MID($Q206,3,2)</f>
        <v>04</v>
      </c>
      <c r="T206" s="77" t="str">
        <f>IF(OR(MID($Q206,8,1)="1",MID($Q206,8,1)="3"),"남자",IF(OR(MID($Q206,8,1)="2",MID($Q206,8,1)="4"),"여자",""))</f>
        <v>여자</v>
      </c>
      <c r="U206" s="77">
        <f ca="1">YEAR(TODAY())-IF(OR(MID($Q206,8,1)="1",MID($Q206,8,1)="2"),19&amp;LEFT($Q206,2),IF(OR(MID($Q206,8,1)="3",MID($Q206,8,1)="4"),20&amp;LEFT($Q206,2),""))+1</f>
        <v>32</v>
      </c>
      <c r="V206" s="31" t="s">
        <v>2369</v>
      </c>
      <c r="W206" s="31" t="s">
        <v>2370</v>
      </c>
      <c r="X206" s="26" t="s">
        <v>2423</v>
      </c>
      <c r="Y206" s="26"/>
      <c r="Z206" s="26"/>
      <c r="AA206" s="78"/>
      <c r="AB206" s="31" t="s">
        <v>2386</v>
      </c>
      <c r="AC206" s="26"/>
      <c r="AD206" s="79" t="str">
        <f ca="1">QUOTIENT(SUMPRODUCT(LEFT($AE206:$AF206,FIND("년",$AE206:$AF206)-1)*12+MID($AE206:$AF206,FIND("년",$AE206:$AF206)+1,FIND("개월",$AE206:$AF206)-FIND("년",$AE206:$AF206)-1)),12)&amp;"년"&amp;MOD(SUMPRODUCT(LEFT($AE206:$AF206,FIND("년",$AE206:$AF206)-1)*12+MID($AE206:$AF206,FIND("년",$AE206:$AF206)+1,FIND("개월",$AE206:$AF206)-FIND("년",$AE206:$AF206)-1)),12)&amp;"개월"</f>
        <v>5년6개월</v>
      </c>
      <c r="AE206" s="79" t="s">
        <v>1185</v>
      </c>
      <c r="AF206" s="80" t="str">
        <f ca="1">DATEDIF($L206,TODAY(),"y")&amp;"년"&amp;DATEDIF($L206,TODAY(),"ym")&amp;"개월"</f>
        <v>0년1개월</v>
      </c>
      <c r="AG206" s="81" t="s">
        <v>882</v>
      </c>
      <c r="AH206" s="81" t="s">
        <v>2424</v>
      </c>
      <c r="AI206" s="76" t="s">
        <v>270</v>
      </c>
      <c r="AJ206" s="78">
        <v>43504</v>
      </c>
      <c r="AK206" s="36">
        <f ca="1">VALUE(LEFT($AD206,FIND("년",$AD206)-1))</f>
        <v>5</v>
      </c>
      <c r="AL206" s="31" t="str">
        <f ca="1">IF($AI206="학사",IF($AK206&lt;=8,"초급",IF($AK206&lt;12,"중급",IF($AK206&lt;15,"고급",IF($AK206&gt;=15,"특급")))))</f>
        <v>초급</v>
      </c>
      <c r="AM206" s="31" t="str">
        <f>IF(ISNUMBER(SEARCH("산업기사",$AT206)),IF($AK206&gt;=13,"특급",IF($AK206&gt;=10,"고급",IF($AK206&gt;=7,"중급","초급"))),IF(ISNUMBER(SEARCH("기사",$AR206)),IF($AK206&gt;=10,"특급",IF($AK206&gt;=7,"고급",IF($AK206&gt;=4,"중급","초급"))),"미해당"))</f>
        <v>미해당</v>
      </c>
      <c r="AN206" s="26"/>
      <c r="AO206" s="78"/>
      <c r="AP206" s="26"/>
      <c r="AQ206" s="78"/>
      <c r="AR206" s="26"/>
      <c r="AS206" s="26"/>
      <c r="AT206" s="82"/>
      <c r="AU206" s="26"/>
      <c r="AV206" s="83"/>
      <c r="AW206" s="84"/>
      <c r="AX206" s="84"/>
      <c r="AY206" s="40" t="s">
        <v>2374</v>
      </c>
      <c r="AZ206" s="41" t="s">
        <v>2375</v>
      </c>
      <c r="BA206" s="76" t="s">
        <v>2218</v>
      </c>
      <c r="BB206" s="76" t="s">
        <v>2425</v>
      </c>
      <c r="BC206" s="85"/>
      <c r="BD206" s="85"/>
      <c r="BE206" s="69" t="s">
        <v>2426</v>
      </c>
      <c r="BF206" s="85" t="s">
        <v>2417</v>
      </c>
      <c r="BG206" s="85" t="s">
        <v>594</v>
      </c>
      <c r="BH206" s="81" t="s">
        <v>2427</v>
      </c>
      <c r="BI206" s="86" t="s">
        <v>2428</v>
      </c>
      <c r="BJ206" s="45" t="str">
        <f>IFERROR(VLOOKUP($BG206,[1]프로젝트현황!Y:Z,2,0),"기타")</f>
        <v>서남권</v>
      </c>
      <c r="BK206" s="46" t="str">
        <f>(IF(BF206="","",BF206&amp;" "))&amp;(IF(BG206="","",BG206&amp;" "))&amp;(IF(BH206="","",BH206&amp;" "))&amp;BI206</f>
        <v>경기도 화성시 봉담읍 상리3길 87, 505동 701호</v>
      </c>
      <c r="BL206" s="70">
        <v>30</v>
      </c>
      <c r="BM206" s="70">
        <v>30</v>
      </c>
      <c r="BN206" s="87">
        <v>34000000</v>
      </c>
      <c r="BO206" s="87">
        <f>BP206*12</f>
        <v>34000082.400000006</v>
      </c>
      <c r="BP206" s="88">
        <f>SUM(BQ206:BS206)</f>
        <v>2833340.2</v>
      </c>
      <c r="BQ206" s="88">
        <f>ROUNDUP(BN206/12*209/(209+BU206*1.5)/BL206*BM206,-1)-BS206</f>
        <v>1965150</v>
      </c>
      <c r="BR206" s="88">
        <f>ROUNDUP(BN206/12*(BU206*1.5)/(209+BU206*1.5)/BL206*BM206,1)</f>
        <v>668190.19999999995</v>
      </c>
      <c r="BS206" s="88">
        <v>200000</v>
      </c>
      <c r="BT206" s="89">
        <v>209</v>
      </c>
      <c r="BU206" s="49">
        <f>IF($BN206="","",
IFERROR(
    IF($BN206&lt;'[1]시간외시간 기준표'!$B$2,0,
        IF($BN206&gt;LOOKUP(9.9E+307,'[1]시간외시간 기준표'!$B$2:$B$999),
            LOOKUP(9.9E+307,'[1]시간외시간 기준표'!$C$2:$C$999),
            LOOKUP($BN206,'[1]시간외시간 기준표'!$B$2:$B$999,'[1]시간외시간 기준표'!$C$2:$C$999)
        )
    ),0)
)</f>
        <v>43</v>
      </c>
      <c r="BV206" s="89">
        <f>(BQ206+BS206)/209</f>
        <v>10359.56937799043</v>
      </c>
      <c r="BW206" s="71">
        <v>30</v>
      </c>
      <c r="BX206" s="71">
        <v>30</v>
      </c>
      <c r="BY206" s="90">
        <v>34000000</v>
      </c>
      <c r="BZ206" s="90">
        <f>CA206*12</f>
        <v>34000064.400000006</v>
      </c>
      <c r="CA206" s="88">
        <f>SUM(CB206:CD206)</f>
        <v>2833338.7</v>
      </c>
      <c r="CB206" s="88">
        <f>ROUNDUP(BY206/12*209/(209+CF206*1.5)/BW206*BX206,-1)-CD206</f>
        <v>1907360</v>
      </c>
      <c r="CC206" s="88">
        <f>ROUNDUP(BY206/12*(CF206*1.5)/(209+CF206*1.5)/BW206*BX206,1)</f>
        <v>725978.7</v>
      </c>
      <c r="CD206" s="88">
        <v>200000</v>
      </c>
      <c r="CE206" s="89">
        <v>209</v>
      </c>
      <c r="CF206" s="88">
        <f>IF(BY206&lt;26000000,0,IF(BY206&lt;26500000,4,IF(BY206&lt;27000000,7,IF(BY206&lt;27500000,9,IF(BY206&lt;28000000,11,IF(BY206&lt;28500000,15,IF(BY206&lt;29000000,17,IF(BY206&lt;29500000,20,IF(BY206&lt;30000000,23,IF(BY206&lt;30500000,25,IF(BY206&lt;31000000,27,IF(BY206&lt;31500000,29,IF(BY206&lt;32000000,33,IF(BY206&lt;32500000,37,IF(BY206&lt;33000000,39,IF(BY206&lt;33500000,42,IF(BY206&lt;34000000,45,IF(BY206&lt;34500000,48,IF(BY206&lt;35000000,52,52)))))))))))))))))))</f>
        <v>48</v>
      </c>
      <c r="CG206" s="89">
        <f>(CB206+CD206)/209</f>
        <v>10083.062200956938</v>
      </c>
      <c r="CH206" s="91"/>
      <c r="CI206" s="91"/>
      <c r="CJ206" s="92"/>
      <c r="CK206" s="92"/>
      <c r="CL206" s="88"/>
      <c r="CM206" s="88"/>
      <c r="CN206" s="88"/>
      <c r="CO206" s="89"/>
      <c r="CP206" s="89"/>
      <c r="CQ206" s="89"/>
      <c r="CR206" s="89"/>
      <c r="CS206" s="90"/>
      <c r="CT206" s="93"/>
      <c r="CU206" s="93"/>
      <c r="CV206" s="93"/>
      <c r="CW206" s="94"/>
      <c r="CX206" s="94"/>
      <c r="CY206" s="94"/>
      <c r="CZ206" s="95"/>
      <c r="DA206" s="95"/>
      <c r="DB206" s="96"/>
      <c r="DC206" s="97"/>
      <c r="DD206" s="98"/>
      <c r="DE206" s="98"/>
      <c r="DF206" s="97"/>
      <c r="DG206" s="99"/>
      <c r="DH206" s="98"/>
      <c r="DI206" s="98"/>
      <c r="DJ206" s="100"/>
      <c r="DK206" s="98"/>
      <c r="DL206" s="101"/>
      <c r="DM206" s="24"/>
    </row>
    <row r="207" spans="1:117" ht="15" customHeight="1">
      <c r="A207" s="74">
        <f>ROW()-2</f>
        <v>205</v>
      </c>
      <c r="B207" s="26">
        <v>260105</v>
      </c>
      <c r="C207" s="26" t="s">
        <v>2429</v>
      </c>
      <c r="D207" s="27"/>
      <c r="E207" s="27" t="s">
        <v>239</v>
      </c>
      <c r="F207" s="27" t="s">
        <v>196</v>
      </c>
      <c r="G207" s="27" t="s">
        <v>240</v>
      </c>
      <c r="H207" s="27" t="s">
        <v>217</v>
      </c>
      <c r="I207" s="27" t="s">
        <v>432</v>
      </c>
      <c r="J207" s="27" t="str">
        <f>+VLOOKUP($I207,[1]프로젝트현황!$I:$N,5,0)</f>
        <v>서울시</v>
      </c>
      <c r="K207" s="27" t="str">
        <f>+VLOOKUP($I207,[1]프로젝트현황!$I:$N,6,0)</f>
        <v>중구</v>
      </c>
      <c r="L207" s="68">
        <v>46024</v>
      </c>
      <c r="M207" s="28">
        <f>+L207</f>
        <v>46024</v>
      </c>
      <c r="N207" s="68"/>
      <c r="O207" s="75"/>
      <c r="P207" s="76" t="s">
        <v>2430</v>
      </c>
      <c r="Q207" s="26" t="s">
        <v>2431</v>
      </c>
      <c r="R207" s="77" t="str">
        <f>LEFT(Q207,6)</f>
        <v>970124</v>
      </c>
      <c r="S207" s="77" t="str">
        <f>MID($Q207,3,2)</f>
        <v>01</v>
      </c>
      <c r="T207" s="77" t="str">
        <f>IF(OR(MID($Q207,8,1)="1",MID($Q207,8,1)="3"),"남자",IF(OR(MID($Q207,8,1)="2",MID($Q207,8,1)="4"),"여자",""))</f>
        <v>남자</v>
      </c>
      <c r="U207" s="77">
        <f ca="1">YEAR(TODAY())-IF(OR(MID($Q207,8,1)="1",MID($Q207,8,1)="2"),19&amp;LEFT($Q207,2),IF(OR(MID($Q207,8,1)="3",MID($Q207,8,1)="4"),20&amp;LEFT($Q207,2),""))+1</f>
        <v>30</v>
      </c>
      <c r="V207" s="31" t="s">
        <v>2369</v>
      </c>
      <c r="W207" s="31" t="s">
        <v>2370</v>
      </c>
      <c r="X207" s="26" t="s">
        <v>2432</v>
      </c>
      <c r="Y207" s="26"/>
      <c r="Z207" s="26"/>
      <c r="AA207" s="78"/>
      <c r="AB207" s="31" t="s">
        <v>2386</v>
      </c>
      <c r="AC207" s="26"/>
      <c r="AD207" s="79" t="str">
        <f ca="1">QUOTIENT(SUMPRODUCT(LEFT($AE207:$AF207,FIND("년",$AE207:$AF207)-1)*12+MID($AE207:$AF207,FIND("년",$AE207:$AF207)+1,FIND("개월",$AE207:$AF207)-FIND("년",$AE207:$AF207)-1)),12)&amp;"년"&amp;MOD(SUMPRODUCT(LEFT($AE207:$AF207,FIND("년",$AE207:$AF207)-1)*12+MID($AE207:$AF207,FIND("년",$AE207:$AF207)+1,FIND("개월",$AE207:$AF207)-FIND("년",$AE207:$AF207)-1)),12)&amp;"개월"</f>
        <v>8년8개월</v>
      </c>
      <c r="AE207" s="79" t="s">
        <v>1920</v>
      </c>
      <c r="AF207" s="80" t="str">
        <f ca="1">DATEDIF($L207,TODAY(),"y")&amp;"년"&amp;DATEDIF($L207,TODAY(),"ym")&amp;"개월"</f>
        <v>0년1개월</v>
      </c>
      <c r="AG207" s="81" t="s">
        <v>2216</v>
      </c>
      <c r="AH207" s="81" t="s">
        <v>588</v>
      </c>
      <c r="AI207" s="76" t="s">
        <v>270</v>
      </c>
      <c r="AJ207" s="78"/>
      <c r="AK207" s="36">
        <f ca="1">VALUE(LEFT($AD207,FIND("년",$AD207)-1))</f>
        <v>8</v>
      </c>
      <c r="AL207" s="31" t="str">
        <f ca="1">IF($AI207="학사",IF($AK207&lt;=8,"초급",IF($AK207&lt;12,"중급",IF($AK207&lt;15,"고급",IF($AK207&gt;=15,"특급")))))</f>
        <v>초급</v>
      </c>
      <c r="AM207" s="31" t="str">
        <f>IF(ISNUMBER(SEARCH("산업기사",$AT207)),IF($AK207&gt;=13,"특급",IF($AK207&gt;=10,"고급",IF($AK207&gt;=7,"중급","초급"))),IF(ISNUMBER(SEARCH("기사",$AR207)),IF($AK207&gt;=10,"특급",IF($AK207&gt;=7,"고급",IF($AK207&gt;=4,"중급","초급"))),"미해당"))</f>
        <v>미해당</v>
      </c>
      <c r="AN207" s="26"/>
      <c r="AO207" s="78"/>
      <c r="AP207" s="26"/>
      <c r="AQ207" s="78"/>
      <c r="AR207" s="26"/>
      <c r="AS207" s="26"/>
      <c r="AT207" s="82"/>
      <c r="AU207" s="26"/>
      <c r="AV207" s="83"/>
      <c r="AW207" s="84"/>
      <c r="AX207" s="84"/>
      <c r="AY207" s="40" t="s">
        <v>2374</v>
      </c>
      <c r="AZ207" s="41" t="s">
        <v>2375</v>
      </c>
      <c r="BA207" s="76" t="s">
        <v>2218</v>
      </c>
      <c r="BB207" s="76" t="s">
        <v>2433</v>
      </c>
      <c r="BC207" s="85" t="s">
        <v>254</v>
      </c>
      <c r="BD207" s="85" t="s">
        <v>2434</v>
      </c>
      <c r="BE207" s="69" t="s">
        <v>2435</v>
      </c>
      <c r="BF207" s="85" t="s">
        <v>2417</v>
      </c>
      <c r="BG207" s="85" t="s">
        <v>295</v>
      </c>
      <c r="BH207" s="81" t="s">
        <v>2436</v>
      </c>
      <c r="BI207" s="86" t="s">
        <v>2437</v>
      </c>
      <c r="BJ207" s="45" t="str">
        <f>IFERROR(VLOOKUP($BG207,[1]프로젝트현황!Y:Z,2,0),"기타")</f>
        <v>동남권</v>
      </c>
      <c r="BK207" s="46" t="str">
        <f>(IF(BF207="","",BF207&amp;" "))&amp;(IF(BG207="","",BG207&amp;" "))&amp;(IF(BH207="","",BH207&amp;" "))&amp;BI207</f>
        <v>경기도 수원시 권선구 권중로 82, 701동 303호</v>
      </c>
      <c r="BL207" s="70">
        <v>30</v>
      </c>
      <c r="BM207" s="70">
        <v>30</v>
      </c>
      <c r="BN207" s="87">
        <v>35000000</v>
      </c>
      <c r="BO207" s="87">
        <f>BP207*12</f>
        <v>35000035.200000003</v>
      </c>
      <c r="BP207" s="88">
        <f>SUM(BQ207:BS207)</f>
        <v>2916669.6</v>
      </c>
      <c r="BQ207" s="88">
        <f>ROUNDUP(BN207/12*209/(209+BU207*1.5)/BL207*BM207,-1)-BS207</f>
        <v>1957820</v>
      </c>
      <c r="BR207" s="88">
        <f>ROUNDUP(BN207/12*(BU207*1.5)/(209+BU207*1.5)/BL207*BM207,1)</f>
        <v>758849.6</v>
      </c>
      <c r="BS207" s="88">
        <v>200000</v>
      </c>
      <c r="BT207" s="89">
        <v>209</v>
      </c>
      <c r="BU207" s="49">
        <f>IF($BN207="","",
IFERROR(
    IF($BN207&lt;'[1]시간외시간 기준표'!$B$2,0,
        IF($BN207&gt;LOOKUP(9.9E+307,'[1]시간외시간 기준표'!$B$2:$B$999),
            LOOKUP(9.9E+307,'[1]시간외시간 기준표'!$C$2:$C$999),
            LOOKUP($BN207,'[1]시간외시간 기준표'!$B$2:$B$999,'[1]시간외시간 기준표'!$C$2:$C$999)
        )
    ),0)
)</f>
        <v>49</v>
      </c>
      <c r="BV207" s="89">
        <f>(BQ207+BS207)/209</f>
        <v>10324.497607655503</v>
      </c>
      <c r="BW207" s="71">
        <v>30</v>
      </c>
      <c r="BX207" s="71">
        <v>30</v>
      </c>
      <c r="BY207" s="90">
        <v>35000000</v>
      </c>
      <c r="BZ207" s="90">
        <f>CA207*12</f>
        <v>35000076</v>
      </c>
      <c r="CA207" s="88">
        <f>SUM(CB207:CD207)</f>
        <v>2916673</v>
      </c>
      <c r="CB207" s="88">
        <f>ROUNDUP(BY207/12*209/(209+CF207*1.5)/BW207*BX207,-1)-CD207</f>
        <v>1923990</v>
      </c>
      <c r="CC207" s="88">
        <f>ROUNDUP(BY207/12*(CF207*1.5)/(209+CF207*1.5)/BW207*BX207,1)</f>
        <v>792683</v>
      </c>
      <c r="CD207" s="88">
        <v>200000</v>
      </c>
      <c r="CE207" s="89">
        <v>209</v>
      </c>
      <c r="CF207" s="88">
        <f>IF(BY207&lt;26000000,0,IF(BY207&lt;26500000,4,IF(BY207&lt;27000000,7,IF(BY207&lt;27500000,9,IF(BY207&lt;28000000,11,IF(BY207&lt;28500000,15,IF(BY207&lt;29000000,17,IF(BY207&lt;29500000,20,IF(BY207&lt;30000000,23,IF(BY207&lt;30500000,25,IF(BY207&lt;31000000,27,IF(BY207&lt;31500000,29,IF(BY207&lt;32000000,33,IF(BY207&lt;32500000,37,IF(BY207&lt;33000000,39,IF(BY207&lt;33500000,42,IF(BY207&lt;34000000,45,IF(BY207&lt;34500000,48,IF(BY207&lt;35000000,52,52)))))))))))))))))))</f>
        <v>52</v>
      </c>
      <c r="CG207" s="89">
        <f>(CB207+CD207)/209</f>
        <v>10162.631578947368</v>
      </c>
      <c r="CH207" s="91"/>
      <c r="CI207" s="91"/>
      <c r="CJ207" s="92"/>
      <c r="CK207" s="92"/>
      <c r="CL207" s="88"/>
      <c r="CM207" s="88"/>
      <c r="CN207" s="88"/>
      <c r="CO207" s="89"/>
      <c r="CP207" s="89"/>
      <c r="CQ207" s="89"/>
      <c r="CR207" s="89"/>
      <c r="CS207" s="90"/>
      <c r="CT207" s="93"/>
      <c r="CU207" s="93"/>
      <c r="CV207" s="93"/>
      <c r="CW207" s="94"/>
      <c r="CX207" s="94"/>
      <c r="CY207" s="94"/>
      <c r="CZ207" s="95"/>
      <c r="DA207" s="95"/>
      <c r="DB207" s="96"/>
      <c r="DC207" s="97"/>
      <c r="DD207" s="98"/>
      <c r="DE207" s="98"/>
      <c r="DF207" s="97"/>
      <c r="DG207" s="99"/>
      <c r="DH207" s="98"/>
      <c r="DI207" s="98"/>
      <c r="DJ207" s="100"/>
      <c r="DK207" s="98"/>
      <c r="DL207" s="101"/>
      <c r="DM207" s="24"/>
    </row>
    <row r="208" spans="1:117" ht="15" customHeight="1">
      <c r="A208" s="74">
        <f>ROW()-2</f>
        <v>206</v>
      </c>
      <c r="B208" s="26">
        <v>260106</v>
      </c>
      <c r="C208" s="26" t="s">
        <v>2438</v>
      </c>
      <c r="D208" s="27"/>
      <c r="E208" s="27" t="s">
        <v>239</v>
      </c>
      <c r="F208" s="27" t="s">
        <v>196</v>
      </c>
      <c r="G208" s="27" t="s">
        <v>240</v>
      </c>
      <c r="H208" s="27" t="s">
        <v>217</v>
      </c>
      <c r="I208" s="27" t="s">
        <v>432</v>
      </c>
      <c r="J208" s="27" t="str">
        <f>+VLOOKUP($I208,[1]프로젝트현황!$I:$N,5,0)</f>
        <v>서울시</v>
      </c>
      <c r="K208" s="27" t="str">
        <f>+VLOOKUP($I208,[1]프로젝트현황!$I:$N,6,0)</f>
        <v>중구</v>
      </c>
      <c r="L208" s="68">
        <v>46024</v>
      </c>
      <c r="M208" s="28">
        <f>+L208</f>
        <v>46024</v>
      </c>
      <c r="N208" s="68"/>
      <c r="O208" s="75"/>
      <c r="P208" s="76" t="s">
        <v>2439</v>
      </c>
      <c r="Q208" s="26" t="s">
        <v>2440</v>
      </c>
      <c r="R208" s="77" t="str">
        <f>LEFT(Q208,6)</f>
        <v>960911</v>
      </c>
      <c r="S208" s="77" t="str">
        <f>MID($Q208,3,2)</f>
        <v>09</v>
      </c>
      <c r="T208" s="77" t="str">
        <f>IF(OR(MID($Q208,8,1)="1",MID($Q208,8,1)="3"),"남자",IF(OR(MID($Q208,8,1)="2",MID($Q208,8,1)="4"),"여자",""))</f>
        <v>남자</v>
      </c>
      <c r="U208" s="77">
        <f ca="1">YEAR(TODAY())-IF(OR(MID($Q208,8,1)="1",MID($Q208,8,1)="2"),19&amp;LEFT($Q208,2),IF(OR(MID($Q208,8,1)="3",MID($Q208,8,1)="4"),20&amp;LEFT($Q208,2),""))+1</f>
        <v>31</v>
      </c>
      <c r="V208" s="31" t="s">
        <v>2369</v>
      </c>
      <c r="W208" s="31" t="s">
        <v>2370</v>
      </c>
      <c r="X208" s="26" t="s">
        <v>2441</v>
      </c>
      <c r="Y208" s="26"/>
      <c r="Z208" s="26"/>
      <c r="AA208" s="78"/>
      <c r="AB208" s="31" t="s">
        <v>2386</v>
      </c>
      <c r="AC208" s="26"/>
      <c r="AD208" s="79" t="str">
        <f ca="1">QUOTIENT(SUMPRODUCT(LEFT($AE208:$AF208,FIND("년",$AE208:$AF208)-1)*12+MID($AE208:$AF208,FIND("년",$AE208:$AF208)+1,FIND("개월",$AE208:$AF208)-FIND("년",$AE208:$AF208)-1)),12)&amp;"년"&amp;MOD(SUMPRODUCT(LEFT($AE208:$AF208,FIND("년",$AE208:$AF208)-1)*12+MID($AE208:$AF208,FIND("년",$AE208:$AF208)+1,FIND("개월",$AE208:$AF208)-FIND("년",$AE208:$AF208)-1)),12)&amp;"개월"</f>
        <v>6년0개월</v>
      </c>
      <c r="AE208" s="79" t="s">
        <v>2442</v>
      </c>
      <c r="AF208" s="80" t="str">
        <f ca="1">DATEDIF($L208,TODAY(),"y")&amp;"년"&amp;DATEDIF($L208,TODAY(),"ym")&amp;"개월"</f>
        <v>0년1개월</v>
      </c>
      <c r="AG208" s="81" t="s">
        <v>1941</v>
      </c>
      <c r="AH208" s="81" t="s">
        <v>2443</v>
      </c>
      <c r="AI208" s="76" t="s">
        <v>270</v>
      </c>
      <c r="AJ208" s="78">
        <v>43504</v>
      </c>
      <c r="AK208" s="36">
        <f ca="1">VALUE(LEFT($AD208,FIND("년",$AD208)-1))</f>
        <v>6</v>
      </c>
      <c r="AL208" s="31" t="str">
        <f ca="1">IF($AI208="학사",IF($AK208&lt;=8,"초급",IF($AK208&lt;12,"중급",IF($AK208&lt;15,"고급",IF($AK208&gt;=15,"특급")))))</f>
        <v>초급</v>
      </c>
      <c r="AM208" s="31" t="str">
        <f>IF(ISNUMBER(SEARCH("산업기사",$AT208)),IF($AK208&gt;=13,"특급",IF($AK208&gt;=10,"고급",IF($AK208&gt;=7,"중급","초급"))),IF(ISNUMBER(SEARCH("기사",$AR208)),IF($AK208&gt;=10,"특급",IF($AK208&gt;=7,"고급",IF($AK208&gt;=4,"중급","초급"))),"미해당"))</f>
        <v>미해당</v>
      </c>
      <c r="AN208" s="26"/>
      <c r="AO208" s="78"/>
      <c r="AP208" s="26"/>
      <c r="AQ208" s="78"/>
      <c r="AR208" s="26"/>
      <c r="AS208" s="26"/>
      <c r="AT208" s="82"/>
      <c r="AU208" s="26"/>
      <c r="AV208" s="83"/>
      <c r="AW208" s="84"/>
      <c r="AX208" s="84"/>
      <c r="AY208" s="40" t="s">
        <v>2374</v>
      </c>
      <c r="AZ208" s="41" t="s">
        <v>2375</v>
      </c>
      <c r="BA208" s="76" t="s">
        <v>2218</v>
      </c>
      <c r="BB208" s="76" t="s">
        <v>2444</v>
      </c>
      <c r="BC208" s="85" t="s">
        <v>507</v>
      </c>
      <c r="BD208" s="85" t="s">
        <v>2445</v>
      </c>
      <c r="BE208" s="69" t="s">
        <v>2446</v>
      </c>
      <c r="BF208" s="85" t="s">
        <v>2447</v>
      </c>
      <c r="BG208" s="85" t="s">
        <v>2448</v>
      </c>
      <c r="BH208" s="81"/>
      <c r="BI208" s="86" t="s">
        <v>2449</v>
      </c>
      <c r="BJ208" s="45" t="str">
        <f>IFERROR(VLOOKUP($BG208,[1]프로젝트현황!Y:Z,2,0),"기타")</f>
        <v>동북권</v>
      </c>
      <c r="BK208" s="46" t="str">
        <f>(IF(BF208="","",BF208&amp;" "))&amp;(IF(BG208="","",BG208&amp;" "))&amp;(IF(BH208="","",BH208&amp;" "))&amp;BI208</f>
        <v>서울특별시 도봉구 해등로 286-5, 104동 907호</v>
      </c>
      <c r="BL208" s="70">
        <v>30</v>
      </c>
      <c r="BM208" s="70">
        <v>30</v>
      </c>
      <c r="BN208" s="87">
        <v>32000000</v>
      </c>
      <c r="BO208" s="87">
        <f>BP208*12</f>
        <v>32000094</v>
      </c>
      <c r="BP208" s="88">
        <f>SUM(BQ208:BS208)</f>
        <v>2666674.5</v>
      </c>
      <c r="BQ208" s="88">
        <f>ROUNDUP(BN208/12*209/(209+BU208*1.5)/BL208*BM208,-1)-BS208</f>
        <v>1968620</v>
      </c>
      <c r="BR208" s="88">
        <f>ROUNDUP(BN208/12*(BU208*1.5)/(209+BU208*1.5)/BL208*BM208,1)</f>
        <v>498054.5</v>
      </c>
      <c r="BS208" s="88">
        <v>200000</v>
      </c>
      <c r="BT208" s="89">
        <v>209</v>
      </c>
      <c r="BU208" s="49">
        <f>IF($BN208="","",
IFERROR(
    IF($BN208&lt;'[1]시간외시간 기준표'!$B$2,0,
        IF($BN208&gt;LOOKUP(9.9E+307,'[1]시간외시간 기준표'!$B$2:$B$999),
            LOOKUP(9.9E+307,'[1]시간외시간 기준표'!$C$2:$C$999),
            LOOKUP($BN208,'[1]시간외시간 기준표'!$B$2:$B$999,'[1]시간외시간 기준표'!$C$2:$C$999)
        )
    ),0)
)</f>
        <v>32</v>
      </c>
      <c r="BV208" s="89">
        <f>(BQ208+BS208)/209</f>
        <v>10376.172248803829</v>
      </c>
      <c r="BW208" s="71">
        <v>30</v>
      </c>
      <c r="BX208" s="71">
        <v>30</v>
      </c>
      <c r="BY208" s="90">
        <v>32000000</v>
      </c>
      <c r="BZ208" s="90">
        <f>CA208*12</f>
        <v>32000116.799999997</v>
      </c>
      <c r="CA208" s="88">
        <f>SUM(CB208:CD208)</f>
        <v>2666676.4</v>
      </c>
      <c r="CB208" s="88">
        <f>ROUNDUP(BY208/12*209/(209+CF208*1.5)/BW208*BX208,-1)-CD208</f>
        <v>1907130</v>
      </c>
      <c r="CC208" s="88">
        <f>ROUNDUP(BY208/12*(CF208*1.5)/(209+CF208*1.5)/BW208*BX208,1)</f>
        <v>559546.4</v>
      </c>
      <c r="CD208" s="88">
        <v>200000</v>
      </c>
      <c r="CE208" s="89">
        <v>209</v>
      </c>
      <c r="CF208" s="88">
        <f>IF(BY208&lt;26000000,0,IF(BY208&lt;26500000,4,IF(BY208&lt;27000000,7,IF(BY208&lt;27500000,9,IF(BY208&lt;28000000,11,IF(BY208&lt;28500000,15,IF(BY208&lt;29000000,17,IF(BY208&lt;29500000,20,IF(BY208&lt;30000000,23,IF(BY208&lt;30500000,25,IF(BY208&lt;31000000,27,IF(BY208&lt;31500000,29,IF(BY208&lt;32000000,33,IF(BY208&lt;32500000,37,IF(BY208&lt;33000000,39,IF(BY208&lt;33500000,42,IF(BY208&lt;34000000,45,IF(BY208&lt;34500000,48,IF(BY208&lt;35000000,52,52)))))))))))))))))))</f>
        <v>37</v>
      </c>
      <c r="CG208" s="89">
        <f>(CB208+CD208)/209</f>
        <v>10081.961722488039</v>
      </c>
      <c r="CH208" s="91"/>
      <c r="CI208" s="91"/>
      <c r="CJ208" s="92"/>
      <c r="CK208" s="92"/>
      <c r="CL208" s="88"/>
      <c r="CM208" s="88"/>
      <c r="CN208" s="88"/>
      <c r="CO208" s="89"/>
      <c r="CP208" s="89"/>
      <c r="CQ208" s="89"/>
      <c r="CR208" s="89"/>
      <c r="CS208" s="90"/>
      <c r="CT208" s="93"/>
      <c r="CU208" s="93"/>
      <c r="CV208" s="93"/>
      <c r="CW208" s="94"/>
      <c r="CX208" s="94"/>
      <c r="CY208" s="94"/>
      <c r="CZ208" s="95"/>
      <c r="DA208" s="95"/>
      <c r="DB208" s="96"/>
      <c r="DC208" s="97"/>
      <c r="DD208" s="98"/>
      <c r="DE208" s="98"/>
      <c r="DF208" s="97"/>
      <c r="DG208" s="99"/>
      <c r="DH208" s="98"/>
      <c r="DI208" s="98"/>
      <c r="DJ208" s="100"/>
      <c r="DK208" s="98"/>
      <c r="DL208" s="101"/>
      <c r="DM208" s="24"/>
    </row>
    <row r="209" spans="1:117" ht="15" customHeight="1">
      <c r="A209" s="74">
        <f>ROW()-2</f>
        <v>207</v>
      </c>
      <c r="B209" s="26">
        <v>260107</v>
      </c>
      <c r="C209" s="26" t="s">
        <v>2450</v>
      </c>
      <c r="D209" s="27"/>
      <c r="E209" s="27" t="s">
        <v>613</v>
      </c>
      <c r="F209" s="27" t="s">
        <v>196</v>
      </c>
      <c r="G209" s="27" t="s">
        <v>240</v>
      </c>
      <c r="H209" s="27" t="s">
        <v>217</v>
      </c>
      <c r="I209" s="27" t="s">
        <v>432</v>
      </c>
      <c r="J209" s="27" t="str">
        <f>+VLOOKUP($I209,[1]프로젝트현황!$I:$N,5,0)</f>
        <v>서울시</v>
      </c>
      <c r="K209" s="27" t="str">
        <f>+VLOOKUP($I209,[1]프로젝트현황!$I:$N,6,0)</f>
        <v>중구</v>
      </c>
      <c r="L209" s="68">
        <v>46024</v>
      </c>
      <c r="M209" s="28">
        <f>+L209</f>
        <v>46024</v>
      </c>
      <c r="N209" s="68"/>
      <c r="O209" s="75"/>
      <c r="P209" s="76" t="s">
        <v>2451</v>
      </c>
      <c r="Q209" s="26" t="s">
        <v>2452</v>
      </c>
      <c r="R209" s="77" t="str">
        <f>LEFT(Q209,6)</f>
        <v>960327</v>
      </c>
      <c r="S209" s="77" t="str">
        <f>MID($Q209,3,2)</f>
        <v>03</v>
      </c>
      <c r="T209" s="77" t="str">
        <f>IF(OR(MID($Q209,8,1)="1",MID($Q209,8,1)="3"),"남자",IF(OR(MID($Q209,8,1)="2",MID($Q209,8,1)="4"),"여자",""))</f>
        <v>여자</v>
      </c>
      <c r="U209" s="77">
        <f ca="1">YEAR(TODAY())-IF(OR(MID($Q209,8,1)="1",MID($Q209,8,1)="2"),19&amp;LEFT($Q209,2),IF(OR(MID($Q209,8,1)="3",MID($Q209,8,1)="4"),20&amp;LEFT($Q209,2),""))+1</f>
        <v>31</v>
      </c>
      <c r="V209" s="31" t="s">
        <v>2369</v>
      </c>
      <c r="W209" s="31" t="s">
        <v>2370</v>
      </c>
      <c r="X209" s="26" t="s">
        <v>2453</v>
      </c>
      <c r="Y209" s="26"/>
      <c r="Z209" s="26"/>
      <c r="AA209" s="78"/>
      <c r="AB209" s="31" t="s">
        <v>2386</v>
      </c>
      <c r="AC209" s="26"/>
      <c r="AD209" s="79" t="str">
        <f ca="1">QUOTIENT(SUMPRODUCT(LEFT($AE209:$AF209,FIND("년",$AE209:$AF209)-1)*12+MID($AE209:$AF209,FIND("년",$AE209:$AF209)+1,FIND("개월",$AE209:$AF209)-FIND("년",$AE209:$AF209)-1)),12)&amp;"년"&amp;MOD(SUMPRODUCT(LEFT($AE209:$AF209,FIND("년",$AE209:$AF209)-1)*12+MID($AE209:$AF209,FIND("년",$AE209:$AF209)+1,FIND("개월",$AE209:$AF209)-FIND("년",$AE209:$AF209)-1)),12)&amp;"개월"</f>
        <v>1년7개월</v>
      </c>
      <c r="AE209" s="79" t="s">
        <v>1854</v>
      </c>
      <c r="AF209" s="80" t="str">
        <f ca="1">DATEDIF($L209,TODAY(),"y")&amp;"년"&amp;DATEDIF($L209,TODAY(),"ym")&amp;"개월"</f>
        <v>0년1개월</v>
      </c>
      <c r="AG209" s="81" t="s">
        <v>2454</v>
      </c>
      <c r="AH209" s="81" t="s">
        <v>2006</v>
      </c>
      <c r="AI209" s="76" t="s">
        <v>365</v>
      </c>
      <c r="AJ209" s="78">
        <v>42046</v>
      </c>
      <c r="AK209" s="36">
        <f ca="1">VALUE(LEFT($AD209,FIND("년",$AD209)-1))</f>
        <v>1</v>
      </c>
      <c r="AL209" s="31" t="b">
        <f>IF($AI209="학사",IF($AK209&lt;=8,"초급",IF($AK209&lt;12,"중급",IF($AK209&lt;15,"고급",IF($AK209&gt;=15,"특급")))))</f>
        <v>0</v>
      </c>
      <c r="AM209" s="31" t="str">
        <f>IF(ISNUMBER(SEARCH("산업기사",$AT209)),IF($AK209&gt;=13,"특급",IF($AK209&gt;=10,"고급",IF($AK209&gt;=7,"중급","초급"))),IF(ISNUMBER(SEARCH("기사",$AR209)),IF($AK209&gt;=10,"특급",IF($AK209&gt;=7,"고급",IF($AK209&gt;=4,"중급","초급"))),"미해당"))</f>
        <v>미해당</v>
      </c>
      <c r="AN209" s="26"/>
      <c r="AO209" s="78"/>
      <c r="AP209" s="26"/>
      <c r="AQ209" s="78"/>
      <c r="AR209" s="26"/>
      <c r="AS209" s="26"/>
      <c r="AT209" s="82"/>
      <c r="AU209" s="26"/>
      <c r="AV209" s="83"/>
      <c r="AW209" s="84"/>
      <c r="AX209" s="84"/>
      <c r="AY209" s="40" t="s">
        <v>2374</v>
      </c>
      <c r="AZ209" s="41" t="s">
        <v>2375</v>
      </c>
      <c r="BA209" s="76" t="s">
        <v>2218</v>
      </c>
      <c r="BB209" s="76" t="s">
        <v>2455</v>
      </c>
      <c r="BC209" s="85" t="s">
        <v>507</v>
      </c>
      <c r="BD209" s="85" t="s">
        <v>2456</v>
      </c>
      <c r="BE209" s="69" t="s">
        <v>2457</v>
      </c>
      <c r="BF209" s="85" t="s">
        <v>2447</v>
      </c>
      <c r="BG209" s="85" t="s">
        <v>2458</v>
      </c>
      <c r="BH209" s="81"/>
      <c r="BI209" s="86" t="s">
        <v>2459</v>
      </c>
      <c r="BJ209" s="45" t="str">
        <f>IFERROR(VLOOKUP($BG209,[1]프로젝트현황!Y:Z,2,0),"기타")</f>
        <v>서북권</v>
      </c>
      <c r="BK209" s="46" t="str">
        <f>(IF(BF209="","",BF209&amp;" "))&amp;(IF(BG209="","",BG209&amp;" "))&amp;(IF(BH209="","",BH209&amp;" "))&amp;BI209</f>
        <v>서울특별시 은평구 은평로11길 23, 402호</v>
      </c>
      <c r="BL209" s="70">
        <v>30</v>
      </c>
      <c r="BM209" s="70">
        <v>30</v>
      </c>
      <c r="BN209" s="87">
        <v>28000000</v>
      </c>
      <c r="BO209" s="87">
        <f>BP209*12</f>
        <v>28000101.599999998</v>
      </c>
      <c r="BP209" s="88">
        <f>SUM(BQ209:BS209)</f>
        <v>2333341.7999999998</v>
      </c>
      <c r="BQ209" s="88">
        <f>ROUNDUP(BN209/12*209/(209+BU209*1.5)/BL209*BM209,-1)-BS209</f>
        <v>1962610</v>
      </c>
      <c r="BR209" s="88">
        <f>ROUNDUP(BN209/12*(BU209*1.5)/(209+BU209*1.5)/BL209*BM209,1)</f>
        <v>170731.80000000002</v>
      </c>
      <c r="BS209" s="88">
        <v>200000</v>
      </c>
      <c r="BT209" s="89">
        <v>209</v>
      </c>
      <c r="BU209" s="49">
        <f>IF($BN209="","",
IFERROR(
    IF($BN209&lt;'[1]시간외시간 기준표'!$B$2,0,
        IF($BN209&gt;LOOKUP(9.9E+307,'[1]시간외시간 기준표'!$B$2:$B$999),
            LOOKUP(9.9E+307,'[1]시간외시간 기준표'!$C$2:$C$999),
            LOOKUP($BN209,'[1]시간외시간 기준표'!$B$2:$B$999,'[1]시간외시간 기준표'!$C$2:$C$999)
        )
    ),0)
)</f>
        <v>11</v>
      </c>
      <c r="BV209" s="89">
        <f>(BQ209+BS209)/209</f>
        <v>10347.416267942584</v>
      </c>
      <c r="BW209" s="71">
        <v>30</v>
      </c>
      <c r="BX209" s="71">
        <v>30</v>
      </c>
      <c r="BY209" s="90">
        <v>28000000</v>
      </c>
      <c r="BZ209" s="90">
        <f>CA209*12</f>
        <v>28000102.799999997</v>
      </c>
      <c r="CA209" s="88">
        <f>SUM(CB209:CD209)</f>
        <v>2333341.9</v>
      </c>
      <c r="CB209" s="88">
        <f>ROUNDUP(BY209/12*209/(209+CF209*1.5)/BW209*BX209,-1)-CD209</f>
        <v>1906560</v>
      </c>
      <c r="CC209" s="88">
        <f>ROUNDUP(BY209/12*(CF209*1.5)/(209+CF209*1.5)/BW209*BX209,1)</f>
        <v>226781.9</v>
      </c>
      <c r="CD209" s="88">
        <v>200000</v>
      </c>
      <c r="CE209" s="89">
        <v>209</v>
      </c>
      <c r="CF209" s="88">
        <f>IF(BY209&lt;26000000,0,IF(BY209&lt;26500000,4,IF(BY209&lt;27000000,7,IF(BY209&lt;27500000,9,IF(BY209&lt;28000000,11,IF(BY209&lt;28500000,15,IF(BY209&lt;29000000,17,IF(BY209&lt;29500000,20,IF(BY209&lt;30000000,23,IF(BY209&lt;30500000,25,IF(BY209&lt;31000000,27,IF(BY209&lt;31500000,29,IF(BY209&lt;32000000,33,IF(BY209&lt;32500000,37,IF(BY209&lt;33000000,39,IF(BY209&lt;33500000,42,IF(BY209&lt;34000000,45,IF(BY209&lt;34500000,48,IF(BY209&lt;35000000,52,52)))))))))))))))))))</f>
        <v>15</v>
      </c>
      <c r="CG209" s="89">
        <f>(CB209+CD209)/209</f>
        <v>10079.234449760766</v>
      </c>
      <c r="CH209" s="91"/>
      <c r="CI209" s="91"/>
      <c r="CJ209" s="92"/>
      <c r="CK209" s="92"/>
      <c r="CL209" s="88"/>
      <c r="CM209" s="88"/>
      <c r="CN209" s="88"/>
      <c r="CO209" s="89"/>
      <c r="CP209" s="89"/>
      <c r="CQ209" s="89"/>
      <c r="CR209" s="89"/>
      <c r="CS209" s="90"/>
      <c r="CT209" s="93"/>
      <c r="CU209" s="93"/>
      <c r="CV209" s="93"/>
      <c r="CW209" s="94"/>
      <c r="CX209" s="94"/>
      <c r="CY209" s="94"/>
      <c r="CZ209" s="95"/>
      <c r="DA209" s="95"/>
      <c r="DB209" s="96"/>
      <c r="DC209" s="97"/>
      <c r="DD209" s="98"/>
      <c r="DE209" s="98"/>
      <c r="DF209" s="97"/>
      <c r="DG209" s="99"/>
      <c r="DH209" s="98"/>
      <c r="DI209" s="98"/>
      <c r="DJ209" s="100"/>
      <c r="DK209" s="98"/>
      <c r="DL209" s="101"/>
      <c r="DM209" s="63"/>
    </row>
    <row r="210" spans="1:117" ht="15" customHeight="1">
      <c r="A210" s="74">
        <f>ROW()-2</f>
        <v>208</v>
      </c>
      <c r="B210" s="26">
        <v>260108</v>
      </c>
      <c r="C210" s="26" t="s">
        <v>2460</v>
      </c>
      <c r="D210" s="27"/>
      <c r="E210" s="27" t="s">
        <v>239</v>
      </c>
      <c r="F210" s="27" t="s">
        <v>196</v>
      </c>
      <c r="G210" s="27" t="s">
        <v>240</v>
      </c>
      <c r="H210" s="27" t="s">
        <v>217</v>
      </c>
      <c r="I210" s="27" t="s">
        <v>432</v>
      </c>
      <c r="J210" s="27" t="str">
        <f>+VLOOKUP($I210,[1]프로젝트현황!$I:$N,5,0)</f>
        <v>서울시</v>
      </c>
      <c r="K210" s="27" t="str">
        <f>+VLOOKUP($I210,[1]프로젝트현황!$I:$N,6,0)</f>
        <v>중구</v>
      </c>
      <c r="L210" s="68">
        <v>46024</v>
      </c>
      <c r="M210" s="28">
        <f>+L210</f>
        <v>46024</v>
      </c>
      <c r="N210" s="68"/>
      <c r="O210" s="75"/>
      <c r="P210" s="76" t="s">
        <v>2461</v>
      </c>
      <c r="Q210" s="26" t="s">
        <v>2462</v>
      </c>
      <c r="R210" s="77" t="str">
        <f>LEFT(Q210,6)</f>
        <v>960227</v>
      </c>
      <c r="S210" s="77" t="str">
        <f>MID($Q210,3,2)</f>
        <v>02</v>
      </c>
      <c r="T210" s="77" t="str">
        <f>IF(OR(MID($Q210,8,1)="1",MID($Q210,8,1)="3"),"남자",IF(OR(MID($Q210,8,1)="2",MID($Q210,8,1)="4"),"여자",""))</f>
        <v>여자</v>
      </c>
      <c r="U210" s="77">
        <f ca="1">YEAR(TODAY())-IF(OR(MID($Q210,8,1)="1",MID($Q210,8,1)="2"),19&amp;LEFT($Q210,2),IF(OR(MID($Q210,8,1)="3",MID($Q210,8,1)="4"),20&amp;LEFT($Q210,2),""))+1</f>
        <v>31</v>
      </c>
      <c r="V210" s="31" t="s">
        <v>2369</v>
      </c>
      <c r="W210" s="31" t="s">
        <v>2370</v>
      </c>
      <c r="X210" s="26" t="s">
        <v>2463</v>
      </c>
      <c r="Y210" s="26"/>
      <c r="Z210" s="26"/>
      <c r="AA210" s="78"/>
      <c r="AB210" s="31" t="s">
        <v>2386</v>
      </c>
      <c r="AC210" s="26"/>
      <c r="AD210" s="79" t="str">
        <f ca="1">QUOTIENT(SUMPRODUCT(LEFT($AE210:$AF210,FIND("년",$AE210:$AF210)-1)*12+MID($AE210:$AF210,FIND("년",$AE210:$AF210)+1,FIND("개월",$AE210:$AF210)-FIND("년",$AE210:$AF210)-1)),12)&amp;"년"&amp;MOD(SUMPRODUCT(LEFT($AE210:$AF210,FIND("년",$AE210:$AF210)-1)*12+MID($AE210:$AF210,FIND("년",$AE210:$AF210)+1,FIND("개월",$AE210:$AF210)-FIND("년",$AE210:$AF210)-1)),12)&amp;"개월"</f>
        <v>3년8개월</v>
      </c>
      <c r="AE210" s="79" t="s">
        <v>1719</v>
      </c>
      <c r="AF210" s="80" t="str">
        <f ca="1">DATEDIF($L210,TODAY(),"y")&amp;"년"&amp;DATEDIF($L210,TODAY(),"ym")&amp;"개월"</f>
        <v>0년1개월</v>
      </c>
      <c r="AG210" s="81" t="s">
        <v>2373</v>
      </c>
      <c r="AH210" s="81" t="s">
        <v>1467</v>
      </c>
      <c r="AI210" s="76" t="s">
        <v>270</v>
      </c>
      <c r="AJ210" s="78">
        <v>43518</v>
      </c>
      <c r="AK210" s="36">
        <f ca="1">VALUE(LEFT($AD210,FIND("년",$AD210)-1))</f>
        <v>3</v>
      </c>
      <c r="AL210" s="31" t="str">
        <f ca="1">IF($AI210="학사",IF($AK210&lt;=8,"초급",IF($AK210&lt;12,"중급",IF($AK210&lt;15,"고급",IF($AK210&gt;=15,"특급")))))</f>
        <v>초급</v>
      </c>
      <c r="AM210" s="31" t="str">
        <f>IF(ISNUMBER(SEARCH("산업기사",$AT210)),IF($AK210&gt;=13,"특급",IF($AK210&gt;=10,"고급",IF($AK210&gt;=7,"중급","초급"))),IF(ISNUMBER(SEARCH("기사",$AR210)),IF($AK210&gt;=10,"특급",IF($AK210&gt;=7,"고급",IF($AK210&gt;=4,"중급","초급"))),"미해당"))</f>
        <v>미해당</v>
      </c>
      <c r="AN210" s="26"/>
      <c r="AO210" s="78"/>
      <c r="AP210" s="26"/>
      <c r="AQ210" s="78"/>
      <c r="AR210" s="26"/>
      <c r="AS210" s="26"/>
      <c r="AT210" s="82"/>
      <c r="AU210" s="26"/>
      <c r="AV210" s="83"/>
      <c r="AW210" s="84"/>
      <c r="AX210" s="84"/>
      <c r="AY210" s="40" t="s">
        <v>2374</v>
      </c>
      <c r="AZ210" s="41" t="s">
        <v>2375</v>
      </c>
      <c r="BA210" s="76" t="s">
        <v>230</v>
      </c>
      <c r="BB210" s="76" t="s">
        <v>2464</v>
      </c>
      <c r="BC210" s="85" t="s">
        <v>275</v>
      </c>
      <c r="BD210" s="85" t="s">
        <v>2465</v>
      </c>
      <c r="BE210" s="69" t="s">
        <v>2466</v>
      </c>
      <c r="BF210" s="85" t="s">
        <v>2447</v>
      </c>
      <c r="BG210" s="85" t="s">
        <v>2467</v>
      </c>
      <c r="BH210" s="81"/>
      <c r="BI210" s="86" t="s">
        <v>2468</v>
      </c>
      <c r="BJ210" s="45" t="str">
        <f>IFERROR(VLOOKUP($BG210,[1]프로젝트현황!Y:Z,2,0),"기타")</f>
        <v>동북권</v>
      </c>
      <c r="BK210" s="46" t="str">
        <f>(IF(BF210="","",BF210&amp;" "))&amp;(IF(BG210="","",BG210&amp;" "))&amp;(IF(BH210="","",BH210&amp;" "))&amp;BI210</f>
        <v>서울특별시 성북구 솔샘로25길 28, 116동 9층 901호</v>
      </c>
      <c r="BL210" s="70">
        <v>30</v>
      </c>
      <c r="BM210" s="70">
        <v>30</v>
      </c>
      <c r="BN210" s="87">
        <v>32000000</v>
      </c>
      <c r="BO210" s="87">
        <f>BP210*12</f>
        <v>32000094</v>
      </c>
      <c r="BP210" s="88">
        <f>SUM(BQ210:BS210)</f>
        <v>2666674.5</v>
      </c>
      <c r="BQ210" s="88">
        <f>ROUNDUP(BN210/12*209/(209+BU210*1.5)/BL210*BM210,-1)-BS210</f>
        <v>1968620</v>
      </c>
      <c r="BR210" s="88">
        <f>ROUNDUP(BN210/12*(BU210*1.5)/(209+BU210*1.5)/BL210*BM210,1)</f>
        <v>498054.5</v>
      </c>
      <c r="BS210" s="88">
        <v>200000</v>
      </c>
      <c r="BT210" s="89">
        <v>209</v>
      </c>
      <c r="BU210" s="49">
        <f>IF($BN210="","",
IFERROR(
    IF($BN210&lt;'[1]시간외시간 기준표'!$B$2,0,
        IF($BN210&gt;LOOKUP(9.9E+307,'[1]시간외시간 기준표'!$B$2:$B$999),
            LOOKUP(9.9E+307,'[1]시간외시간 기준표'!$C$2:$C$999),
            LOOKUP($BN210,'[1]시간외시간 기준표'!$B$2:$B$999,'[1]시간외시간 기준표'!$C$2:$C$999)
        )
    ),0)
)</f>
        <v>32</v>
      </c>
      <c r="BV210" s="89">
        <f>(BQ210+BS210)/209</f>
        <v>10376.172248803829</v>
      </c>
      <c r="BW210" s="71">
        <v>30</v>
      </c>
      <c r="BX210" s="71">
        <v>30</v>
      </c>
      <c r="BY210" s="90">
        <v>32000000</v>
      </c>
      <c r="BZ210" s="90">
        <f>CA210*12</f>
        <v>32000116.799999997</v>
      </c>
      <c r="CA210" s="88">
        <f>SUM(CB210:CD210)</f>
        <v>2666676.4</v>
      </c>
      <c r="CB210" s="88">
        <f>ROUNDUP(BY210/12*209/(209+CF210*1.5)/BW210*BX210,-1)-CD210</f>
        <v>1907130</v>
      </c>
      <c r="CC210" s="88">
        <f>ROUNDUP(BY210/12*(CF210*1.5)/(209+CF210*1.5)/BW210*BX210,1)</f>
        <v>559546.4</v>
      </c>
      <c r="CD210" s="88">
        <v>200000</v>
      </c>
      <c r="CE210" s="89">
        <v>209</v>
      </c>
      <c r="CF210" s="88">
        <f>IF(BY210&lt;26000000,0,IF(BY210&lt;26500000,4,IF(BY210&lt;27000000,7,IF(BY210&lt;27500000,9,IF(BY210&lt;28000000,11,IF(BY210&lt;28500000,15,IF(BY210&lt;29000000,17,IF(BY210&lt;29500000,20,IF(BY210&lt;30000000,23,IF(BY210&lt;30500000,25,IF(BY210&lt;31000000,27,IF(BY210&lt;31500000,29,IF(BY210&lt;32000000,33,IF(BY210&lt;32500000,37,IF(BY210&lt;33000000,39,IF(BY210&lt;33500000,42,IF(BY210&lt;34000000,45,IF(BY210&lt;34500000,48,IF(BY210&lt;35000000,52,52)))))))))))))))))))</f>
        <v>37</v>
      </c>
      <c r="CG210" s="89">
        <f>(CB210+CD210)/209</f>
        <v>10081.961722488039</v>
      </c>
      <c r="CH210" s="91"/>
      <c r="CI210" s="91"/>
      <c r="CJ210" s="92"/>
      <c r="CK210" s="92"/>
      <c r="CL210" s="88"/>
      <c r="CM210" s="88"/>
      <c r="CN210" s="88"/>
      <c r="CO210" s="89"/>
      <c r="CP210" s="89"/>
      <c r="CQ210" s="89"/>
      <c r="CR210" s="89"/>
      <c r="CS210" s="90"/>
      <c r="CT210" s="93"/>
      <c r="CU210" s="93"/>
      <c r="CV210" s="93"/>
      <c r="CW210" s="94"/>
      <c r="CX210" s="94"/>
      <c r="CY210" s="94"/>
      <c r="CZ210" s="95"/>
      <c r="DA210" s="95"/>
      <c r="DB210" s="96"/>
      <c r="DC210" s="97"/>
      <c r="DD210" s="98"/>
      <c r="DE210" s="98"/>
      <c r="DF210" s="97"/>
      <c r="DG210" s="99"/>
      <c r="DH210" s="98"/>
      <c r="DI210" s="98"/>
      <c r="DJ210" s="100"/>
      <c r="DK210" s="98"/>
      <c r="DL210" s="101"/>
      <c r="DM210" s="63"/>
    </row>
    <row r="211" spans="1:117" ht="15" customHeight="1">
      <c r="A211" s="74">
        <f>ROW()-2</f>
        <v>209</v>
      </c>
      <c r="B211" s="26">
        <v>260109</v>
      </c>
      <c r="C211" s="26" t="s">
        <v>2469</v>
      </c>
      <c r="D211" s="27"/>
      <c r="E211" s="27" t="s">
        <v>239</v>
      </c>
      <c r="F211" s="27" t="s">
        <v>196</v>
      </c>
      <c r="G211" s="27" t="s">
        <v>240</v>
      </c>
      <c r="H211" s="27" t="s">
        <v>217</v>
      </c>
      <c r="I211" s="27" t="s">
        <v>432</v>
      </c>
      <c r="J211" s="27" t="str">
        <f>+VLOOKUP($I211,[1]프로젝트현황!$I:$N,5,0)</f>
        <v>서울시</v>
      </c>
      <c r="K211" s="27" t="str">
        <f>+VLOOKUP($I211,[1]프로젝트현황!$I:$N,6,0)</f>
        <v>중구</v>
      </c>
      <c r="L211" s="68">
        <v>46024</v>
      </c>
      <c r="M211" s="28">
        <f>+L211</f>
        <v>46024</v>
      </c>
      <c r="N211" s="68"/>
      <c r="O211" s="75">
        <v>46057</v>
      </c>
      <c r="P211" s="76" t="s">
        <v>2470</v>
      </c>
      <c r="Q211" s="26" t="s">
        <v>2471</v>
      </c>
      <c r="R211" s="77" t="str">
        <f>LEFT(Q211,6)</f>
        <v>950626</v>
      </c>
      <c r="S211" s="77" t="str">
        <f>MID($Q211,3,2)</f>
        <v>06</v>
      </c>
      <c r="T211" s="77" t="str">
        <f>IF(OR(MID($Q211,8,1)="1",MID($Q211,8,1)="3"),"남자",IF(OR(MID($Q211,8,1)="2",MID($Q211,8,1)="4"),"여자",""))</f>
        <v>여자</v>
      </c>
      <c r="U211" s="77">
        <f ca="1">YEAR(TODAY())-IF(OR(MID($Q211,8,1)="1",MID($Q211,8,1)="2"),19&amp;LEFT($Q211,2),IF(OR(MID($Q211,8,1)="3",MID($Q211,8,1)="4"),20&amp;LEFT($Q211,2),""))+1</f>
        <v>32</v>
      </c>
      <c r="V211" s="31" t="s">
        <v>2369</v>
      </c>
      <c r="W211" s="31" t="s">
        <v>2370</v>
      </c>
      <c r="X211" s="26" t="s">
        <v>2472</v>
      </c>
      <c r="Y211" s="26"/>
      <c r="Z211" s="26"/>
      <c r="AA211" s="78"/>
      <c r="AB211" s="31" t="s">
        <v>2386</v>
      </c>
      <c r="AC211" s="26"/>
      <c r="AD211" s="79" t="str">
        <f ca="1">QUOTIENT(SUMPRODUCT(LEFT($AE211:$AF211,FIND("년",$AE211:$AF211)-1)*12+MID($AE211:$AF211,FIND("년",$AE211:$AF211)+1,FIND("개월",$AE211:$AF211)-FIND("년",$AE211:$AF211)-1)),12)&amp;"년"&amp;MOD(SUMPRODUCT(LEFT($AE211:$AF211,FIND("년",$AE211:$AF211)-1)*12+MID($AE211:$AF211,FIND("년",$AE211:$AF211)+1,FIND("개월",$AE211:$AF211)-FIND("년",$AE211:$AF211)-1)),12)&amp;"개월"</f>
        <v>4년8개월</v>
      </c>
      <c r="AE211" s="79" t="s">
        <v>2163</v>
      </c>
      <c r="AF211" s="80" t="str">
        <f ca="1">DATEDIF($L211,TODAY(),"y")&amp;"년"&amp;DATEDIF($L211,TODAY(),"ym")&amp;"개월"</f>
        <v>0년1개월</v>
      </c>
      <c r="AG211" s="81" t="s">
        <v>2373</v>
      </c>
      <c r="AH211" s="81" t="s">
        <v>1467</v>
      </c>
      <c r="AI211" s="76" t="s">
        <v>270</v>
      </c>
      <c r="AJ211" s="78">
        <v>43153</v>
      </c>
      <c r="AK211" s="36">
        <f ca="1">VALUE(LEFT($AD211,FIND("년",$AD211)-1))</f>
        <v>4</v>
      </c>
      <c r="AL211" s="31" t="str">
        <f ca="1">IF($AI211="학사",IF($AK211&lt;=8,"초급",IF($AK211&lt;12,"중급",IF($AK211&lt;15,"고급",IF($AK211&gt;=15,"특급")))))</f>
        <v>초급</v>
      </c>
      <c r="AM211" s="31" t="str">
        <f>IF(ISNUMBER(SEARCH("산업기사",$AT211)),IF($AK211&gt;=13,"특급",IF($AK211&gt;=10,"고급",IF($AK211&gt;=7,"중급","초급"))),IF(ISNUMBER(SEARCH("기사",$AR211)),IF($AK211&gt;=10,"특급",IF($AK211&gt;=7,"고급",IF($AK211&gt;=4,"중급","초급"))),"미해당"))</f>
        <v>미해당</v>
      </c>
      <c r="AN211" s="26"/>
      <c r="AO211" s="78"/>
      <c r="AP211" s="26"/>
      <c r="AQ211" s="78"/>
      <c r="AR211" s="26"/>
      <c r="AS211" s="26"/>
      <c r="AT211" s="82"/>
      <c r="AU211" s="26"/>
      <c r="AV211" s="83"/>
      <c r="AW211" s="84"/>
      <c r="AX211" s="84"/>
      <c r="AY211" s="40" t="s">
        <v>2374</v>
      </c>
      <c r="AZ211" s="41" t="s">
        <v>2375</v>
      </c>
      <c r="BA211" s="76" t="s">
        <v>230</v>
      </c>
      <c r="BB211" s="76" t="s">
        <v>2473</v>
      </c>
      <c r="BC211" s="85"/>
      <c r="BD211" s="85"/>
      <c r="BE211" s="69" t="s">
        <v>2474</v>
      </c>
      <c r="BF211" s="85" t="s">
        <v>1688</v>
      </c>
      <c r="BG211" s="85" t="s">
        <v>923</v>
      </c>
      <c r="BH211" s="81"/>
      <c r="BI211" s="86" t="s">
        <v>2475</v>
      </c>
      <c r="BJ211" s="45" t="str">
        <f>IFERROR(VLOOKUP($BG211,[1]프로젝트현황!Y:Z,2,0),"기타")</f>
        <v>동북권</v>
      </c>
      <c r="BK211" s="46" t="str">
        <f>(IF(BF211="","",BF211&amp;" "))&amp;(IF(BG211="","",BG211&amp;" "))&amp;(IF(BH211="","",BH211&amp;" "))&amp;BI211</f>
        <v>서울특별시 성북구 길음로 118, 416동 1901호</v>
      </c>
      <c r="BL211" s="70">
        <v>30</v>
      </c>
      <c r="BM211" s="70">
        <v>30</v>
      </c>
      <c r="BN211" s="87">
        <v>33000000</v>
      </c>
      <c r="BO211" s="87">
        <f>BP211*12</f>
        <v>33000069.599999998</v>
      </c>
      <c r="BP211" s="88">
        <f>SUM(BQ211:BS211)</f>
        <v>2750005.8</v>
      </c>
      <c r="BQ211" s="88">
        <f>ROUNDUP(BN211/12*209/(209+BU211*1.5)/BL211*BM211,-1)-BS211</f>
        <v>1960720</v>
      </c>
      <c r="BR211" s="88">
        <f>ROUNDUP(BN211/12*(BU211*1.5)/(209+BU211*1.5)/BL211*BM211,1)</f>
        <v>589285.79999999993</v>
      </c>
      <c r="BS211" s="88">
        <v>200000</v>
      </c>
      <c r="BT211" s="89">
        <v>209</v>
      </c>
      <c r="BU211" s="49">
        <f>IF($BN211="","",
IFERROR(
    IF($BN211&lt;'[1]시간외시간 기준표'!$B$2,0,
        IF($BN211&gt;LOOKUP(9.9E+307,'[1]시간외시간 기준표'!$B$2:$B$999),
            LOOKUP(9.9E+307,'[1]시간외시간 기준표'!$C$2:$C$999),
            LOOKUP($BN211,'[1]시간외시간 기준표'!$B$2:$B$999,'[1]시간외시간 기준표'!$C$2:$C$999)
        )
    ),0)
)</f>
        <v>38</v>
      </c>
      <c r="BV211" s="89">
        <f>(BQ211+BS211)/209</f>
        <v>10338.373205741627</v>
      </c>
      <c r="BW211" s="71">
        <v>30</v>
      </c>
      <c r="BX211" s="71">
        <v>30</v>
      </c>
      <c r="BY211" s="90">
        <v>33000000</v>
      </c>
      <c r="BZ211" s="90">
        <f>CA211*12</f>
        <v>33000103.200000003</v>
      </c>
      <c r="CA211" s="88">
        <f>SUM(CB211:CD211)</f>
        <v>2750008.6</v>
      </c>
      <c r="CB211" s="88">
        <f>ROUNDUP(BY211/12*209/(209+CF211*1.5)/BW211*BX211,-1)-CD211</f>
        <v>1913060</v>
      </c>
      <c r="CC211" s="88">
        <f>ROUNDUP(BY211/12*(CF211*1.5)/(209+CF211*1.5)/BW211*BX211,1)</f>
        <v>636948.6</v>
      </c>
      <c r="CD211" s="88">
        <v>200000</v>
      </c>
      <c r="CE211" s="89">
        <v>209</v>
      </c>
      <c r="CF211" s="88">
        <f>IF(BY211&lt;26000000,0,IF(BY211&lt;26500000,4,IF(BY211&lt;27000000,7,IF(BY211&lt;27500000,9,IF(BY211&lt;28000000,11,IF(BY211&lt;28500000,15,IF(BY211&lt;29000000,17,IF(BY211&lt;29500000,20,IF(BY211&lt;30000000,23,IF(BY211&lt;30500000,25,IF(BY211&lt;31000000,27,IF(BY211&lt;31500000,29,IF(BY211&lt;32000000,33,IF(BY211&lt;32500000,37,IF(BY211&lt;33000000,39,IF(BY211&lt;33500000,42,IF(BY211&lt;34000000,45,IF(BY211&lt;34500000,48,IF(BY211&lt;35000000,52,52)))))))))))))))))))</f>
        <v>42</v>
      </c>
      <c r="CG211" s="89">
        <f>(CB211+CD211)/209</f>
        <v>10110.334928229666</v>
      </c>
      <c r="CH211" s="91"/>
      <c r="CI211" s="91"/>
      <c r="CJ211" s="92"/>
      <c r="CK211" s="92"/>
      <c r="CL211" s="88"/>
      <c r="CM211" s="88"/>
      <c r="CN211" s="88"/>
      <c r="CO211" s="89"/>
      <c r="CP211" s="89"/>
      <c r="CQ211" s="89"/>
      <c r="CR211" s="89"/>
      <c r="CS211" s="90"/>
      <c r="CT211" s="93"/>
      <c r="CU211" s="93"/>
      <c r="CV211" s="93"/>
      <c r="CW211" s="94"/>
      <c r="CX211" s="94"/>
      <c r="CY211" s="94"/>
      <c r="CZ211" s="95"/>
      <c r="DA211" s="95"/>
      <c r="DB211" s="96"/>
      <c r="DC211" s="97"/>
      <c r="DD211" s="98"/>
      <c r="DE211" s="98"/>
      <c r="DF211" s="97"/>
      <c r="DG211" s="99"/>
      <c r="DH211" s="98"/>
      <c r="DI211" s="98"/>
      <c r="DJ211" s="100"/>
      <c r="DK211" s="98"/>
      <c r="DL211" s="101"/>
      <c r="DM211" s="24"/>
    </row>
    <row r="212" spans="1:117" ht="15" customHeight="1">
      <c r="A212" s="74">
        <f>ROW()-2</f>
        <v>210</v>
      </c>
      <c r="B212" s="26">
        <v>260110</v>
      </c>
      <c r="C212" s="26" t="s">
        <v>2476</v>
      </c>
      <c r="D212" s="27"/>
      <c r="E212" s="27" t="s">
        <v>613</v>
      </c>
      <c r="F212" s="27" t="s">
        <v>196</v>
      </c>
      <c r="G212" s="27" t="s">
        <v>240</v>
      </c>
      <c r="H212" s="27" t="s">
        <v>217</v>
      </c>
      <c r="I212" s="27" t="s">
        <v>432</v>
      </c>
      <c r="J212" s="27" t="str">
        <f>+VLOOKUP($I212,[1]프로젝트현황!$I:$N,5,0)</f>
        <v>서울시</v>
      </c>
      <c r="K212" s="27" t="str">
        <f>+VLOOKUP($I212,[1]프로젝트현황!$I:$N,6,0)</f>
        <v>중구</v>
      </c>
      <c r="L212" s="68">
        <v>46024</v>
      </c>
      <c r="M212" s="28">
        <f>+L212</f>
        <v>46024</v>
      </c>
      <c r="N212" s="68"/>
      <c r="O212" s="75"/>
      <c r="P212" s="76" t="s">
        <v>2477</v>
      </c>
      <c r="Q212" s="26" t="s">
        <v>2478</v>
      </c>
      <c r="R212" s="77" t="str">
        <f>LEFT(Q212,6)</f>
        <v>901229</v>
      </c>
      <c r="S212" s="77" t="str">
        <f>MID($Q212,3,2)</f>
        <v>12</v>
      </c>
      <c r="T212" s="77" t="str">
        <f>IF(OR(MID($Q212,8,1)="1",MID($Q212,8,1)="3"),"남자",IF(OR(MID($Q212,8,1)="2",MID($Q212,8,1)="4"),"여자",""))</f>
        <v>여자</v>
      </c>
      <c r="U212" s="77">
        <f ca="1">YEAR(TODAY())-IF(OR(MID($Q212,8,1)="1",MID($Q212,8,1)="2"),19&amp;LEFT($Q212,2),IF(OR(MID($Q212,8,1)="3",MID($Q212,8,1)="4"),20&amp;LEFT($Q212,2),""))+1</f>
        <v>37</v>
      </c>
      <c r="V212" s="31" t="s">
        <v>2369</v>
      </c>
      <c r="W212" s="31" t="s">
        <v>2370</v>
      </c>
      <c r="X212" s="26" t="s">
        <v>2479</v>
      </c>
      <c r="Y212" s="26"/>
      <c r="Z212" s="26"/>
      <c r="AA212" s="78"/>
      <c r="AB212" s="31" t="s">
        <v>2386</v>
      </c>
      <c r="AC212" s="26"/>
      <c r="AD212" s="79" t="str">
        <f ca="1">QUOTIENT(SUMPRODUCT(LEFT($AE212:$AF212,FIND("년",$AE212:$AF212)-1)*12+MID($AE212:$AF212,FIND("년",$AE212:$AF212)+1,FIND("개월",$AE212:$AF212)-FIND("년",$AE212:$AF212)-1)),12)&amp;"년"&amp;MOD(SUMPRODUCT(LEFT($AE212:$AF212,FIND("년",$AE212:$AF212)-1)*12+MID($AE212:$AF212,FIND("년",$AE212:$AF212)+1,FIND("개월",$AE212:$AF212)-FIND("년",$AE212:$AF212)-1)),12)&amp;"개월"</f>
        <v>0년1개월</v>
      </c>
      <c r="AE212" s="79" t="s">
        <v>543</v>
      </c>
      <c r="AF212" s="80" t="str">
        <f ca="1">DATEDIF($L212,TODAY(),"y")&amp;"년"&amp;DATEDIF($L212,TODAY(),"ym")&amp;"개월"</f>
        <v>0년1개월</v>
      </c>
      <c r="AG212" s="81" t="s">
        <v>2480</v>
      </c>
      <c r="AH212" s="81" t="s">
        <v>2481</v>
      </c>
      <c r="AI212" s="76" t="s">
        <v>205</v>
      </c>
      <c r="AJ212" s="78">
        <v>40585</v>
      </c>
      <c r="AK212" s="36">
        <f ca="1">VALUE(LEFT($AD212,FIND("년",$AD212)-1))</f>
        <v>0</v>
      </c>
      <c r="AL212" s="31" t="b">
        <f>IF($AI212="학사",IF($AK212&lt;=8,"초급",IF($AK212&lt;12,"중급",IF($AK212&lt;15,"고급",IF($AK212&gt;=15,"특급")))))</f>
        <v>0</v>
      </c>
      <c r="AM212" s="31" t="str">
        <f>IF(ISNUMBER(SEARCH("산업기사",$AT212)),IF($AK212&gt;=13,"특급",IF($AK212&gt;=10,"고급",IF($AK212&gt;=7,"중급","초급"))),IF(ISNUMBER(SEARCH("기사",$AR212)),IF($AK212&gt;=10,"특급",IF($AK212&gt;=7,"고급",IF($AK212&gt;=4,"중급","초급"))),"미해당"))</f>
        <v>미해당</v>
      </c>
      <c r="AN212" s="26"/>
      <c r="AO212" s="78"/>
      <c r="AP212" s="26"/>
      <c r="AQ212" s="78"/>
      <c r="AR212" s="26"/>
      <c r="AS212" s="26"/>
      <c r="AT212" s="82"/>
      <c r="AU212" s="26"/>
      <c r="AV212" s="83"/>
      <c r="AW212" s="84"/>
      <c r="AX212" s="84"/>
      <c r="AY212" s="40" t="s">
        <v>2374</v>
      </c>
      <c r="AZ212" s="41" t="s">
        <v>2375</v>
      </c>
      <c r="BA212" s="76" t="s">
        <v>2218</v>
      </c>
      <c r="BB212" s="76" t="s">
        <v>2482</v>
      </c>
      <c r="BC212" s="85" t="s">
        <v>507</v>
      </c>
      <c r="BD212" s="85" t="s">
        <v>2483</v>
      </c>
      <c r="BE212" s="69" t="s">
        <v>2484</v>
      </c>
      <c r="BF212" s="85" t="s">
        <v>2447</v>
      </c>
      <c r="BG212" s="85" t="s">
        <v>2485</v>
      </c>
      <c r="BH212" s="81"/>
      <c r="BI212" s="86" t="s">
        <v>2486</v>
      </c>
      <c r="BJ212" s="45" t="str">
        <f>IFERROR(VLOOKUP($BG212,[1]프로젝트현황!Y:Z,2,0),"기타")</f>
        <v>동북권</v>
      </c>
      <c r="BK212" s="46" t="str">
        <f>(IF(BF212="","",BF212&amp;" "))&amp;(IF(BG212="","",BG212&amp;" "))&amp;(IF(BH212="","",BH212&amp;" "))&amp;BI212</f>
        <v>서울특별시 중랑구 망우로 346, 101동 1903호</v>
      </c>
      <c r="BL212" s="70">
        <v>30</v>
      </c>
      <c r="BM212" s="70">
        <v>30</v>
      </c>
      <c r="BN212" s="87">
        <v>28000000</v>
      </c>
      <c r="BO212" s="87">
        <f>BP212*12</f>
        <v>28000101.599999998</v>
      </c>
      <c r="BP212" s="88">
        <f>SUM(BQ212:BS212)</f>
        <v>2333341.7999999998</v>
      </c>
      <c r="BQ212" s="88">
        <f>ROUNDUP(BN212/12*209/(209+BU212*1.5)/BL212*BM212,-1)-BS212</f>
        <v>1962610</v>
      </c>
      <c r="BR212" s="88">
        <f>ROUNDUP(BN212/12*(BU212*1.5)/(209+BU212*1.5)/BL212*BM212,1)</f>
        <v>170731.80000000002</v>
      </c>
      <c r="BS212" s="88">
        <v>200000</v>
      </c>
      <c r="BT212" s="89">
        <v>209</v>
      </c>
      <c r="BU212" s="49">
        <f>IF($BN212="","",
IFERROR(
    IF($BN212&lt;'[1]시간외시간 기준표'!$B$2,0,
        IF($BN212&gt;LOOKUP(9.9E+307,'[1]시간외시간 기준표'!$B$2:$B$999),
            LOOKUP(9.9E+307,'[1]시간외시간 기준표'!$C$2:$C$999),
            LOOKUP($BN212,'[1]시간외시간 기준표'!$B$2:$B$999,'[1]시간외시간 기준표'!$C$2:$C$999)
        )
    ),0)
)</f>
        <v>11</v>
      </c>
      <c r="BV212" s="89">
        <f>(BQ212+BS212)/209</f>
        <v>10347.416267942584</v>
      </c>
      <c r="BW212" s="71">
        <v>30</v>
      </c>
      <c r="BX212" s="71">
        <v>30</v>
      </c>
      <c r="BY212" s="90">
        <v>28000000</v>
      </c>
      <c r="BZ212" s="90">
        <f>CA212*12</f>
        <v>28000102.799999997</v>
      </c>
      <c r="CA212" s="88">
        <f>SUM(CB212:CD212)</f>
        <v>2333341.9</v>
      </c>
      <c r="CB212" s="88">
        <f>ROUNDUP(BY212/12*209/(209+CF212*1.5)/BW212*BX212,-1)-CD212</f>
        <v>1906560</v>
      </c>
      <c r="CC212" s="88">
        <f>ROUNDUP(BY212/12*(CF212*1.5)/(209+CF212*1.5)/BW212*BX212,1)</f>
        <v>226781.9</v>
      </c>
      <c r="CD212" s="88">
        <v>200000</v>
      </c>
      <c r="CE212" s="89">
        <v>209</v>
      </c>
      <c r="CF212" s="88">
        <f>IF(BY212&lt;26000000,0,IF(BY212&lt;26500000,4,IF(BY212&lt;27000000,7,IF(BY212&lt;27500000,9,IF(BY212&lt;28000000,11,IF(BY212&lt;28500000,15,IF(BY212&lt;29000000,17,IF(BY212&lt;29500000,20,IF(BY212&lt;30000000,23,IF(BY212&lt;30500000,25,IF(BY212&lt;31000000,27,IF(BY212&lt;31500000,29,IF(BY212&lt;32000000,33,IF(BY212&lt;32500000,37,IF(BY212&lt;33000000,39,IF(BY212&lt;33500000,42,IF(BY212&lt;34000000,45,IF(BY212&lt;34500000,48,IF(BY212&lt;35000000,52,52)))))))))))))))))))</f>
        <v>15</v>
      </c>
      <c r="CG212" s="89">
        <f>(CB212+CD212)/209</f>
        <v>10079.234449760766</v>
      </c>
      <c r="CH212" s="91"/>
      <c r="CI212" s="91"/>
      <c r="CJ212" s="92"/>
      <c r="CK212" s="92"/>
      <c r="CL212" s="88"/>
      <c r="CM212" s="88"/>
      <c r="CN212" s="88"/>
      <c r="CO212" s="89"/>
      <c r="CP212" s="89"/>
      <c r="CQ212" s="89"/>
      <c r="CR212" s="89"/>
      <c r="CS212" s="90"/>
      <c r="CT212" s="93"/>
      <c r="CU212" s="93"/>
      <c r="CV212" s="93"/>
      <c r="CW212" s="94"/>
      <c r="CX212" s="94"/>
      <c r="CY212" s="94"/>
      <c r="CZ212" s="95"/>
      <c r="DA212" s="95"/>
      <c r="DB212" s="96"/>
      <c r="DC212" s="97"/>
      <c r="DD212" s="98"/>
      <c r="DE212" s="98"/>
      <c r="DF212" s="97"/>
      <c r="DG212" s="99"/>
      <c r="DH212" s="98"/>
      <c r="DI212" s="98"/>
      <c r="DJ212" s="100"/>
      <c r="DK212" s="98"/>
      <c r="DL212" s="101"/>
      <c r="DM212" s="63"/>
    </row>
    <row r="213" spans="1:117" ht="15" customHeight="1">
      <c r="A213" s="74">
        <f>ROW()-2</f>
        <v>211</v>
      </c>
      <c r="B213" s="26">
        <v>260111</v>
      </c>
      <c r="C213" s="26" t="s">
        <v>2487</v>
      </c>
      <c r="D213" s="27"/>
      <c r="E213" s="27" t="s">
        <v>613</v>
      </c>
      <c r="F213" s="27" t="s">
        <v>196</v>
      </c>
      <c r="G213" s="27" t="s">
        <v>240</v>
      </c>
      <c r="H213" s="27" t="s">
        <v>217</v>
      </c>
      <c r="I213" s="27" t="s">
        <v>432</v>
      </c>
      <c r="J213" s="27" t="str">
        <f>+VLOOKUP($I213,[1]프로젝트현황!$I:$N,5,0)</f>
        <v>서울시</v>
      </c>
      <c r="K213" s="27" t="str">
        <f>+VLOOKUP($I213,[1]프로젝트현황!$I:$N,6,0)</f>
        <v>중구</v>
      </c>
      <c r="L213" s="68">
        <v>46024</v>
      </c>
      <c r="M213" s="28">
        <f>+L213</f>
        <v>46024</v>
      </c>
      <c r="N213" s="68"/>
      <c r="O213" s="75"/>
      <c r="P213" s="76" t="s">
        <v>2488</v>
      </c>
      <c r="Q213" s="26" t="s">
        <v>2489</v>
      </c>
      <c r="R213" s="77" t="str">
        <f>LEFT(Q213,6)</f>
        <v>040705</v>
      </c>
      <c r="S213" s="77" t="str">
        <f>MID($Q213,3,2)</f>
        <v>07</v>
      </c>
      <c r="T213" s="77" t="str">
        <f>IF(OR(MID($Q213,8,1)="1",MID($Q213,8,1)="3"),"남자",IF(OR(MID($Q213,8,1)="2",MID($Q213,8,1)="4"),"여자",""))</f>
        <v>여자</v>
      </c>
      <c r="U213" s="77">
        <f ca="1">YEAR(TODAY())-IF(OR(MID($Q213,8,1)="1",MID($Q213,8,1)="2"),19&amp;LEFT($Q213,2),IF(OR(MID($Q213,8,1)="3",MID($Q213,8,1)="4"),20&amp;LEFT($Q213,2),""))+1</f>
        <v>23</v>
      </c>
      <c r="V213" s="31" t="s">
        <v>2369</v>
      </c>
      <c r="W213" s="31" t="s">
        <v>2370</v>
      </c>
      <c r="X213" s="26" t="s">
        <v>2490</v>
      </c>
      <c r="Y213" s="26"/>
      <c r="Z213" s="26"/>
      <c r="AA213" s="78"/>
      <c r="AB213" s="31" t="s">
        <v>2386</v>
      </c>
      <c r="AC213" s="26"/>
      <c r="AD213" s="79" t="str">
        <f ca="1">QUOTIENT(SUMPRODUCT(LEFT($AE213:$AF213,FIND("년",$AE213:$AF213)-1)*12+MID($AE213:$AF213,FIND("년",$AE213:$AF213)+1,FIND("개월",$AE213:$AF213)-FIND("년",$AE213:$AF213)-1)),12)&amp;"년"&amp;MOD(SUMPRODUCT(LEFT($AE213:$AF213,FIND("년",$AE213:$AF213)-1)*12+MID($AE213:$AF213,FIND("년",$AE213:$AF213)+1,FIND("개월",$AE213:$AF213)-FIND("년",$AE213:$AF213)-1)),12)&amp;"개월"</f>
        <v>0년1개월</v>
      </c>
      <c r="AE213" s="79" t="s">
        <v>543</v>
      </c>
      <c r="AF213" s="80" t="str">
        <f ca="1">DATEDIF($L213,TODAY(),"y")&amp;"년"&amp;DATEDIF($L213,TODAY(),"ym")&amp;"개월"</f>
        <v>0년1개월</v>
      </c>
      <c r="AG213" s="81" t="s">
        <v>906</v>
      </c>
      <c r="AH213" s="81" t="s">
        <v>1633</v>
      </c>
      <c r="AI213" s="76" t="s">
        <v>205</v>
      </c>
      <c r="AJ213" s="78">
        <v>46065</v>
      </c>
      <c r="AK213" s="36">
        <f ca="1">VALUE(LEFT($AD213,FIND("년",$AD213)-1))</f>
        <v>0</v>
      </c>
      <c r="AL213" s="31" t="b">
        <f>IF($AI213="학사",IF($AK213&lt;=8,"초급",IF($AK213&lt;12,"중급",IF($AK213&lt;15,"고급",IF($AK213&gt;=15,"특급")))))</f>
        <v>0</v>
      </c>
      <c r="AM213" s="31" t="str">
        <f>IF(ISNUMBER(SEARCH("산업기사",$AT213)),IF($AK213&gt;=13,"특급",IF($AK213&gt;=10,"고급",IF($AK213&gt;=7,"중급","초급"))),IF(ISNUMBER(SEARCH("기사",$AR213)),IF($AK213&gt;=10,"특급",IF($AK213&gt;=7,"고급",IF($AK213&gt;=4,"중급","초급"))),"미해당"))</f>
        <v>미해당</v>
      </c>
      <c r="AN213" s="26"/>
      <c r="AO213" s="78"/>
      <c r="AP213" s="26"/>
      <c r="AQ213" s="78"/>
      <c r="AR213" s="26"/>
      <c r="AS213" s="26"/>
      <c r="AT213" s="82"/>
      <c r="AU213" s="26"/>
      <c r="AV213" s="83"/>
      <c r="AW213" s="84"/>
      <c r="AX213" s="84"/>
      <c r="AY213" s="40" t="s">
        <v>2374</v>
      </c>
      <c r="AZ213" s="41" t="s">
        <v>2375</v>
      </c>
      <c r="BA213" s="76" t="s">
        <v>2218</v>
      </c>
      <c r="BB213" s="76" t="s">
        <v>2491</v>
      </c>
      <c r="BC213" s="85" t="s">
        <v>254</v>
      </c>
      <c r="BD213" s="85" t="s">
        <v>2492</v>
      </c>
      <c r="BE213" s="69" t="s">
        <v>2493</v>
      </c>
      <c r="BF213" s="85" t="s">
        <v>2417</v>
      </c>
      <c r="BG213" s="85" t="s">
        <v>2494</v>
      </c>
      <c r="BH213" s="81"/>
      <c r="BI213" s="86" t="s">
        <v>2495</v>
      </c>
      <c r="BJ213" s="45" t="str">
        <f>IFERROR(VLOOKUP($BG213,[1]프로젝트현황!Y:Z,2,0),"기타")</f>
        <v>기타</v>
      </c>
      <c r="BK213" s="46" t="str">
        <f>(IF(BF213="","",BF213&amp;" "))&amp;(IF(BG213="","",BG213&amp;" "))&amp;(IF(BH213="","",BH213&amp;" "))&amp;BI213</f>
        <v>경기도 과천시 별양로 110, 618동 1604호</v>
      </c>
      <c r="BL213" s="70">
        <v>30</v>
      </c>
      <c r="BM213" s="70">
        <v>30</v>
      </c>
      <c r="BN213" s="87">
        <v>27000000</v>
      </c>
      <c r="BO213" s="87">
        <f>BP213*12</f>
        <v>27000120</v>
      </c>
      <c r="BP213" s="88">
        <f>SUM(BQ213:BS213)</f>
        <v>2250010</v>
      </c>
      <c r="BQ213" s="88">
        <f>ROUNDUP(BN213/12*209/(209+BU213*1.5)/BL213*BM213,-1)-BS213</f>
        <v>1957120</v>
      </c>
      <c r="BR213" s="88">
        <f>ROUNDUP(BN213/12*(BU213*1.5)/(209+BU213*1.5)/BL213*BM213,1)</f>
        <v>92890</v>
      </c>
      <c r="BS213" s="88">
        <v>200000</v>
      </c>
      <c r="BT213" s="89">
        <v>209</v>
      </c>
      <c r="BU213" s="49">
        <f>IF($BN213="","",
IFERROR(
    IF($BN213&lt;'[1]시간외시간 기준표'!$B$2,0,
        IF($BN213&gt;LOOKUP(9.9E+307,'[1]시간외시간 기준표'!$B$2:$B$999),
            LOOKUP(9.9E+307,'[1]시간외시간 기준표'!$C$2:$C$999),
            LOOKUP($BN213,'[1]시간외시간 기준표'!$B$2:$B$999,'[1]시간외시간 기준표'!$C$2:$C$999)
        )
    ),0)
)</f>
        <v>6</v>
      </c>
      <c r="BV213" s="89">
        <f>(BQ213+BS213)/209</f>
        <v>10321.148325358852</v>
      </c>
      <c r="BW213" s="71">
        <v>30</v>
      </c>
      <c r="BX213" s="71">
        <v>30</v>
      </c>
      <c r="BY213" s="90">
        <v>27000000</v>
      </c>
      <c r="BZ213" s="90">
        <f>CA213*12</f>
        <v>27000082.799999997</v>
      </c>
      <c r="CA213" s="88">
        <f>SUM(CB213:CD213)</f>
        <v>2250006.9</v>
      </c>
      <c r="CB213" s="88">
        <f>ROUNDUP(BY213/12*209/(209+CF213*1.5)/BW213*BX213,-1)-CD213</f>
        <v>1913490</v>
      </c>
      <c r="CC213" s="88">
        <f>ROUNDUP(BY213/12*(CF213*1.5)/(209+CF213*1.5)/BW213*BX213,1)</f>
        <v>136516.9</v>
      </c>
      <c r="CD213" s="88">
        <v>200000</v>
      </c>
      <c r="CE213" s="89">
        <v>209</v>
      </c>
      <c r="CF213" s="88">
        <f>IF(BY213&lt;26000000,0,IF(BY213&lt;26500000,4,IF(BY213&lt;27000000,7,IF(BY213&lt;27500000,9,IF(BY213&lt;28000000,11,IF(BY213&lt;28500000,15,IF(BY213&lt;29000000,17,IF(BY213&lt;29500000,20,IF(BY213&lt;30000000,23,IF(BY213&lt;30500000,25,IF(BY213&lt;31000000,27,IF(BY213&lt;31500000,29,IF(BY213&lt;32000000,33,IF(BY213&lt;32500000,37,IF(BY213&lt;33000000,39,IF(BY213&lt;33500000,42,IF(BY213&lt;34000000,45,IF(BY213&lt;34500000,48,IF(BY213&lt;35000000,52,52)))))))))))))))))))</f>
        <v>9</v>
      </c>
      <c r="CG213" s="89">
        <f>(CB213+CD213)/209</f>
        <v>10112.392344497608</v>
      </c>
      <c r="CH213" s="91"/>
      <c r="CI213" s="91"/>
      <c r="CJ213" s="92"/>
      <c r="CK213" s="92"/>
      <c r="CL213" s="88"/>
      <c r="CM213" s="88"/>
      <c r="CN213" s="88"/>
      <c r="CO213" s="89"/>
      <c r="CP213" s="89"/>
      <c r="CQ213" s="89"/>
      <c r="CR213" s="89"/>
      <c r="CS213" s="90"/>
      <c r="CT213" s="93"/>
      <c r="CU213" s="93"/>
      <c r="CV213" s="93"/>
      <c r="CW213" s="94"/>
      <c r="CX213" s="94"/>
      <c r="CY213" s="94"/>
      <c r="CZ213" s="95"/>
      <c r="DA213" s="95"/>
      <c r="DB213" s="96"/>
      <c r="DC213" s="97"/>
      <c r="DD213" s="98"/>
      <c r="DE213" s="98"/>
      <c r="DF213" s="97"/>
      <c r="DG213" s="99"/>
      <c r="DH213" s="98"/>
      <c r="DI213" s="98"/>
      <c r="DJ213" s="100"/>
      <c r="DK213" s="98"/>
      <c r="DL213" s="101"/>
      <c r="DM213" s="24"/>
    </row>
    <row r="214" spans="1:117" ht="15" customHeight="1">
      <c r="A214" s="74">
        <f>ROW()-2</f>
        <v>212</v>
      </c>
      <c r="B214" s="26">
        <v>260112</v>
      </c>
      <c r="C214" s="26" t="s">
        <v>2496</v>
      </c>
      <c r="D214" s="27"/>
      <c r="E214" s="27" t="s">
        <v>613</v>
      </c>
      <c r="F214" s="27" t="s">
        <v>196</v>
      </c>
      <c r="G214" s="27" t="s">
        <v>240</v>
      </c>
      <c r="H214" s="27" t="s">
        <v>217</v>
      </c>
      <c r="I214" s="27" t="s">
        <v>432</v>
      </c>
      <c r="J214" s="27" t="str">
        <f>+VLOOKUP($I214,[1]프로젝트현황!$I:$N,5,0)</f>
        <v>서울시</v>
      </c>
      <c r="K214" s="27" t="str">
        <f>+VLOOKUP($I214,[1]프로젝트현황!$I:$N,6,0)</f>
        <v>중구</v>
      </c>
      <c r="L214" s="68">
        <v>46024</v>
      </c>
      <c r="M214" s="28">
        <f>+L214</f>
        <v>46024</v>
      </c>
      <c r="N214" s="68"/>
      <c r="O214" s="75"/>
      <c r="P214" s="76" t="s">
        <v>2497</v>
      </c>
      <c r="Q214" s="26" t="s">
        <v>2498</v>
      </c>
      <c r="R214" s="77" t="str">
        <f>LEFT(Q214,6)</f>
        <v>050106</v>
      </c>
      <c r="S214" s="77" t="str">
        <f>MID($Q214,3,2)</f>
        <v>01</v>
      </c>
      <c r="T214" s="77" t="str">
        <f>IF(OR(MID($Q214,8,1)="1",MID($Q214,8,1)="3"),"남자",IF(OR(MID($Q214,8,1)="2",MID($Q214,8,1)="4"),"여자",""))</f>
        <v>여자</v>
      </c>
      <c r="U214" s="77">
        <f ca="1">YEAR(TODAY())-IF(OR(MID($Q214,8,1)="1",MID($Q214,8,1)="2"),19&amp;LEFT($Q214,2),IF(OR(MID($Q214,8,1)="3",MID($Q214,8,1)="4"),20&amp;LEFT($Q214,2),""))+1</f>
        <v>22</v>
      </c>
      <c r="V214" s="31" t="s">
        <v>2369</v>
      </c>
      <c r="W214" s="31" t="s">
        <v>2370</v>
      </c>
      <c r="X214" s="26" t="s">
        <v>2499</v>
      </c>
      <c r="Y214" s="26"/>
      <c r="Z214" s="26"/>
      <c r="AA214" s="78"/>
      <c r="AB214" s="31" t="s">
        <v>2386</v>
      </c>
      <c r="AC214" s="26"/>
      <c r="AD214" s="79" t="str">
        <f ca="1">QUOTIENT(SUMPRODUCT(LEFT($AE214:$AF214,FIND("년",$AE214:$AF214)-1)*12+MID($AE214:$AF214,FIND("년",$AE214:$AF214)+1,FIND("개월",$AE214:$AF214)-FIND("년",$AE214:$AF214)-1)),12)&amp;"년"&amp;MOD(SUMPRODUCT(LEFT($AE214:$AF214,FIND("년",$AE214:$AF214)-1)*12+MID($AE214:$AF214,FIND("년",$AE214:$AF214)+1,FIND("개월",$AE214:$AF214)-FIND("년",$AE214:$AF214)-1)),12)&amp;"개월"</f>
        <v>0년1개월</v>
      </c>
      <c r="AE214" s="79" t="s">
        <v>543</v>
      </c>
      <c r="AF214" s="80" t="str">
        <f ca="1">DATEDIF($L214,TODAY(),"y")&amp;"년"&amp;DATEDIF($L214,TODAY(),"ym")&amp;"개월"</f>
        <v>0년1개월</v>
      </c>
      <c r="AG214" s="81" t="s">
        <v>906</v>
      </c>
      <c r="AH214" s="81" t="s">
        <v>1633</v>
      </c>
      <c r="AI214" s="76" t="s">
        <v>205</v>
      </c>
      <c r="AJ214" s="78">
        <v>46065</v>
      </c>
      <c r="AK214" s="36">
        <f ca="1">VALUE(LEFT($AD214,FIND("년",$AD214)-1))</f>
        <v>0</v>
      </c>
      <c r="AL214" s="31" t="b">
        <f>IF($AI214="학사",IF($AK214&lt;=8,"초급",IF($AK214&lt;12,"중급",IF($AK214&lt;15,"고급",IF($AK214&gt;=15,"특급")))))</f>
        <v>0</v>
      </c>
      <c r="AM214" s="31" t="str">
        <f>IF(ISNUMBER(SEARCH("산업기사",$AT214)),IF($AK214&gt;=13,"특급",IF($AK214&gt;=10,"고급",IF($AK214&gt;=7,"중급","초급"))),IF(ISNUMBER(SEARCH("기사",$AR214)),IF($AK214&gt;=10,"특급",IF($AK214&gt;=7,"고급",IF($AK214&gt;=4,"중급","초급"))),"미해당"))</f>
        <v>미해당</v>
      </c>
      <c r="AN214" s="26"/>
      <c r="AO214" s="78"/>
      <c r="AP214" s="26"/>
      <c r="AQ214" s="78"/>
      <c r="AR214" s="26"/>
      <c r="AS214" s="26"/>
      <c r="AT214" s="82"/>
      <c r="AU214" s="26"/>
      <c r="AV214" s="83"/>
      <c r="AW214" s="84"/>
      <c r="AX214" s="84"/>
      <c r="AY214" s="40" t="s">
        <v>2374</v>
      </c>
      <c r="AZ214" s="41" t="s">
        <v>2375</v>
      </c>
      <c r="BA214" s="76" t="s">
        <v>2218</v>
      </c>
      <c r="BB214" s="76" t="s">
        <v>2500</v>
      </c>
      <c r="BC214" s="85" t="s">
        <v>254</v>
      </c>
      <c r="BD214" s="85" t="s">
        <v>2499</v>
      </c>
      <c r="BE214" s="69" t="s">
        <v>2501</v>
      </c>
      <c r="BF214" s="85" t="s">
        <v>2417</v>
      </c>
      <c r="BG214" s="85" t="s">
        <v>2502</v>
      </c>
      <c r="BH214" s="81"/>
      <c r="BI214" s="86" t="s">
        <v>2503</v>
      </c>
      <c r="BJ214" s="45" t="str">
        <f>IFERROR(VLOOKUP($BG214,[1]프로젝트현황!Y:Z,2,0),"기타")</f>
        <v>동북권</v>
      </c>
      <c r="BK214" s="46" t="str">
        <f>(IF(BF214="","",BF214&amp;" "))&amp;(IF(BG214="","",BG214&amp;" "))&amp;(IF(BH214="","",BH214&amp;" "))&amp;BI214</f>
        <v>경기도 양주시 옥정동로 104, 2111동 1203호</v>
      </c>
      <c r="BL214" s="70">
        <v>30</v>
      </c>
      <c r="BM214" s="70">
        <v>30</v>
      </c>
      <c r="BN214" s="87">
        <v>27000000</v>
      </c>
      <c r="BO214" s="87">
        <f>BP214*12</f>
        <v>27000120</v>
      </c>
      <c r="BP214" s="88">
        <f>SUM(BQ214:BS214)</f>
        <v>2250010</v>
      </c>
      <c r="BQ214" s="88">
        <f>ROUNDUP(BN214/12*209/(209+BU214*1.5)/BL214*BM214,-1)-BS214</f>
        <v>1957120</v>
      </c>
      <c r="BR214" s="88">
        <f>ROUNDUP(BN214/12*(BU214*1.5)/(209+BU214*1.5)/BL214*BM214,1)</f>
        <v>92890</v>
      </c>
      <c r="BS214" s="88">
        <v>200000</v>
      </c>
      <c r="BT214" s="89">
        <v>209</v>
      </c>
      <c r="BU214" s="49">
        <f>IF($BN214="","",
IFERROR(
    IF($BN214&lt;'[1]시간외시간 기준표'!$B$2,0,
        IF($BN214&gt;LOOKUP(9.9E+307,'[1]시간외시간 기준표'!$B$2:$B$999),
            LOOKUP(9.9E+307,'[1]시간외시간 기준표'!$C$2:$C$999),
            LOOKUP($BN214,'[1]시간외시간 기준표'!$B$2:$B$999,'[1]시간외시간 기준표'!$C$2:$C$999)
        )
    ),0)
)</f>
        <v>6</v>
      </c>
      <c r="BV214" s="89">
        <f>(BQ214+BS214)/209</f>
        <v>10321.148325358852</v>
      </c>
      <c r="BW214" s="71">
        <v>30</v>
      </c>
      <c r="BX214" s="71">
        <v>30</v>
      </c>
      <c r="BY214" s="90">
        <v>27000000</v>
      </c>
      <c r="BZ214" s="90">
        <f>CA214*12</f>
        <v>27000082.799999997</v>
      </c>
      <c r="CA214" s="88">
        <f>SUM(CB214:CD214)</f>
        <v>2250006.9</v>
      </c>
      <c r="CB214" s="88">
        <f>ROUNDUP(BY214/12*209/(209+CF214*1.5)/BW214*BX214,-1)-CD214</f>
        <v>1913490</v>
      </c>
      <c r="CC214" s="88">
        <f>ROUNDUP(BY214/12*(CF214*1.5)/(209+CF214*1.5)/BW214*BX214,1)</f>
        <v>136516.9</v>
      </c>
      <c r="CD214" s="88">
        <v>200000</v>
      </c>
      <c r="CE214" s="89">
        <v>209</v>
      </c>
      <c r="CF214" s="88">
        <f>IF(BY214&lt;26000000,0,IF(BY214&lt;26500000,4,IF(BY214&lt;27000000,7,IF(BY214&lt;27500000,9,IF(BY214&lt;28000000,11,IF(BY214&lt;28500000,15,IF(BY214&lt;29000000,17,IF(BY214&lt;29500000,20,IF(BY214&lt;30000000,23,IF(BY214&lt;30500000,25,IF(BY214&lt;31000000,27,IF(BY214&lt;31500000,29,IF(BY214&lt;32000000,33,IF(BY214&lt;32500000,37,IF(BY214&lt;33000000,39,IF(BY214&lt;33500000,42,IF(BY214&lt;34000000,45,IF(BY214&lt;34500000,48,IF(BY214&lt;35000000,52,52)))))))))))))))))))</f>
        <v>9</v>
      </c>
      <c r="CG214" s="89">
        <f>(CB214+CD214)/209</f>
        <v>10112.392344497608</v>
      </c>
      <c r="CH214" s="91"/>
      <c r="CI214" s="91"/>
      <c r="CJ214" s="92"/>
      <c r="CK214" s="92"/>
      <c r="CL214" s="88"/>
      <c r="CM214" s="88"/>
      <c r="CN214" s="88"/>
      <c r="CO214" s="89"/>
      <c r="CP214" s="89"/>
      <c r="CQ214" s="89"/>
      <c r="CR214" s="89"/>
      <c r="CS214" s="90"/>
      <c r="CT214" s="93"/>
      <c r="CU214" s="93"/>
      <c r="CV214" s="93"/>
      <c r="CW214" s="94"/>
      <c r="CX214" s="94"/>
      <c r="CY214" s="94"/>
      <c r="CZ214" s="95"/>
      <c r="DA214" s="95"/>
      <c r="DB214" s="96"/>
      <c r="DC214" s="97"/>
      <c r="DD214" s="98"/>
      <c r="DE214" s="98"/>
      <c r="DF214" s="97"/>
      <c r="DG214" s="99"/>
      <c r="DH214" s="98"/>
      <c r="DI214" s="98"/>
      <c r="DJ214" s="100"/>
      <c r="DK214" s="98"/>
      <c r="DL214" s="101"/>
      <c r="DM214" s="24"/>
    </row>
    <row r="215" spans="1:117" ht="15" customHeight="1">
      <c r="A215" s="74">
        <f>ROW()-2</f>
        <v>213</v>
      </c>
      <c r="B215" s="26">
        <v>260113</v>
      </c>
      <c r="C215" s="26" t="s">
        <v>2504</v>
      </c>
      <c r="D215" s="27"/>
      <c r="E215" s="27" t="s">
        <v>239</v>
      </c>
      <c r="F215" s="27" t="s">
        <v>196</v>
      </c>
      <c r="G215" s="27" t="s">
        <v>240</v>
      </c>
      <c r="H215" s="27" t="s">
        <v>217</v>
      </c>
      <c r="I215" s="27" t="s">
        <v>432</v>
      </c>
      <c r="J215" s="27" t="str">
        <f>+VLOOKUP($I215,[1]프로젝트현황!$I:$N,5,0)</f>
        <v>서울시</v>
      </c>
      <c r="K215" s="27" t="str">
        <f>+VLOOKUP($I215,[1]프로젝트현황!$I:$N,6,0)</f>
        <v>중구</v>
      </c>
      <c r="L215" s="68">
        <v>46024</v>
      </c>
      <c r="M215" s="28">
        <f>+L215</f>
        <v>46024</v>
      </c>
      <c r="N215" s="68"/>
      <c r="O215" s="75"/>
      <c r="P215" s="76" t="s">
        <v>2505</v>
      </c>
      <c r="Q215" s="26" t="s">
        <v>2506</v>
      </c>
      <c r="R215" s="77" t="str">
        <f>LEFT(Q215,6)</f>
        <v>811118</v>
      </c>
      <c r="S215" s="77" t="str">
        <f>MID($Q215,3,2)</f>
        <v>11</v>
      </c>
      <c r="T215" s="77" t="str">
        <f>IF(OR(MID($Q215,8,1)="1",MID($Q215,8,1)="3"),"남자",IF(OR(MID($Q215,8,1)="2",MID($Q215,8,1)="4"),"여자",""))</f>
        <v>여자</v>
      </c>
      <c r="U215" s="77">
        <f ca="1">YEAR(TODAY())-IF(OR(MID($Q215,8,1)="1",MID($Q215,8,1)="2"),19&amp;LEFT($Q215,2),IF(OR(MID($Q215,8,1)="3",MID($Q215,8,1)="4"),20&amp;LEFT($Q215,2),""))+1</f>
        <v>46</v>
      </c>
      <c r="V215" s="31" t="s">
        <v>2369</v>
      </c>
      <c r="W215" s="31" t="s">
        <v>2370</v>
      </c>
      <c r="X215" s="26" t="s">
        <v>2507</v>
      </c>
      <c r="Y215" s="26"/>
      <c r="Z215" s="26"/>
      <c r="AA215" s="78"/>
      <c r="AB215" s="31" t="s">
        <v>2386</v>
      </c>
      <c r="AC215" s="26"/>
      <c r="AD215" s="79" t="str">
        <f ca="1">QUOTIENT(SUMPRODUCT(LEFT($AE215:$AF215,FIND("년",$AE215:$AF215)-1)*12+MID($AE215:$AF215,FIND("년",$AE215:$AF215)+1,FIND("개월",$AE215:$AF215)-FIND("년",$AE215:$AF215)-1)),12)&amp;"년"&amp;MOD(SUMPRODUCT(LEFT($AE215:$AF215,FIND("년",$AE215:$AF215)-1)*12+MID($AE215:$AF215,FIND("년",$AE215:$AF215)+1,FIND("개월",$AE215:$AF215)-FIND("년",$AE215:$AF215)-1)),12)&amp;"개월"</f>
        <v>3년10개월</v>
      </c>
      <c r="AE215" s="79" t="s">
        <v>2285</v>
      </c>
      <c r="AF215" s="80" t="str">
        <f ca="1">DATEDIF($L215,TODAY(),"y")&amp;"년"&amp;DATEDIF($L215,TODAY(),"ym")&amp;"개월"</f>
        <v>0년1개월</v>
      </c>
      <c r="AG215" s="81" t="s">
        <v>2508</v>
      </c>
      <c r="AH215" s="81" t="s">
        <v>379</v>
      </c>
      <c r="AI215" s="76" t="s">
        <v>270</v>
      </c>
      <c r="AJ215" s="78">
        <v>38954</v>
      </c>
      <c r="AK215" s="36">
        <f ca="1">VALUE(LEFT($AD215,FIND("년",$AD215)-1))</f>
        <v>3</v>
      </c>
      <c r="AL215" s="31" t="str">
        <f ca="1">IF($AI215="학사",IF($AK215&lt;=8,"초급",IF($AK215&lt;12,"중급",IF($AK215&lt;15,"고급",IF($AK215&gt;=15,"특급")))))</f>
        <v>초급</v>
      </c>
      <c r="AM215" s="31" t="str">
        <f>IF(ISNUMBER(SEARCH("산업기사",$AT215)),IF($AK215&gt;=13,"특급",IF($AK215&gt;=10,"고급",IF($AK215&gt;=7,"중급","초급"))),IF(ISNUMBER(SEARCH("기사",$AR215)),IF($AK215&gt;=10,"특급",IF($AK215&gt;=7,"고급",IF($AK215&gt;=4,"중급","초급"))),"미해당"))</f>
        <v>미해당</v>
      </c>
      <c r="AN215" s="26"/>
      <c r="AO215" s="78"/>
      <c r="AP215" s="26"/>
      <c r="AQ215" s="78"/>
      <c r="AR215" s="26"/>
      <c r="AS215" s="26"/>
      <c r="AT215" s="82"/>
      <c r="AU215" s="26"/>
      <c r="AV215" s="83"/>
      <c r="AW215" s="84"/>
      <c r="AX215" s="84"/>
      <c r="AY215" s="40" t="s">
        <v>2374</v>
      </c>
      <c r="AZ215" s="41" t="s">
        <v>2375</v>
      </c>
      <c r="BA215" s="76" t="s">
        <v>2218</v>
      </c>
      <c r="BB215" s="76" t="s">
        <v>2509</v>
      </c>
      <c r="BC215" s="85" t="s">
        <v>2510</v>
      </c>
      <c r="BD215" s="85" t="s">
        <v>2511</v>
      </c>
      <c r="BE215" s="69" t="s">
        <v>2512</v>
      </c>
      <c r="BF215" s="85" t="s">
        <v>2447</v>
      </c>
      <c r="BG215" s="85" t="s">
        <v>2513</v>
      </c>
      <c r="BH215" s="81"/>
      <c r="BI215" s="86" t="s">
        <v>2514</v>
      </c>
      <c r="BJ215" s="45" t="str">
        <f>IFERROR(VLOOKUP($BG215,[1]프로젝트현황!Y:Z,2,0),"기타")</f>
        <v>서북권</v>
      </c>
      <c r="BK215" s="46" t="str">
        <f>(IF(BF215="","",BF215&amp;" "))&amp;(IF(BG215="","",BG215&amp;" "))&amp;(IF(BH215="","",BH215&amp;" "))&amp;BI215</f>
        <v>서울특별시 중구 만리재로 175</v>
      </c>
      <c r="BL215" s="70">
        <v>30</v>
      </c>
      <c r="BM215" s="70">
        <v>30</v>
      </c>
      <c r="BN215" s="87">
        <v>32000000</v>
      </c>
      <c r="BO215" s="87">
        <f>BP215*12</f>
        <v>32000094</v>
      </c>
      <c r="BP215" s="88">
        <f>SUM(BQ215:BS215)</f>
        <v>2666674.5</v>
      </c>
      <c r="BQ215" s="88">
        <f>ROUNDUP(BN215/12*209/(209+BU215*1.5)/BL215*BM215,-1)-BS215</f>
        <v>1968620</v>
      </c>
      <c r="BR215" s="88">
        <f>ROUNDUP(BN215/12*(BU215*1.5)/(209+BU215*1.5)/BL215*BM215,1)</f>
        <v>498054.5</v>
      </c>
      <c r="BS215" s="88">
        <v>200000</v>
      </c>
      <c r="BT215" s="89">
        <v>209</v>
      </c>
      <c r="BU215" s="49">
        <f>IF($BN215="","",
IFERROR(
    IF($BN215&lt;'[1]시간외시간 기준표'!$B$2,0,
        IF($BN215&gt;LOOKUP(9.9E+307,'[1]시간외시간 기준표'!$B$2:$B$999),
            LOOKUP(9.9E+307,'[1]시간외시간 기준표'!$C$2:$C$999),
            LOOKUP($BN215,'[1]시간외시간 기준표'!$B$2:$B$999,'[1]시간외시간 기준표'!$C$2:$C$999)
        )
    ),0)
)</f>
        <v>32</v>
      </c>
      <c r="BV215" s="89">
        <f>(BQ215+BS215)/209</f>
        <v>10376.172248803829</v>
      </c>
      <c r="BW215" s="71">
        <v>30</v>
      </c>
      <c r="BX215" s="71">
        <v>30</v>
      </c>
      <c r="BY215" s="90">
        <v>32000000</v>
      </c>
      <c r="BZ215" s="90">
        <f>CA215*12</f>
        <v>32000116.799999997</v>
      </c>
      <c r="CA215" s="88">
        <f>SUM(CB215:CD215)</f>
        <v>2666676.4</v>
      </c>
      <c r="CB215" s="88">
        <f>ROUNDUP(BY215/12*209/(209+CF215*1.5)/BW215*BX215,-1)-CD215</f>
        <v>1907130</v>
      </c>
      <c r="CC215" s="88">
        <f>ROUNDUP(BY215/12*(CF215*1.5)/(209+CF215*1.5)/BW215*BX215,1)</f>
        <v>559546.4</v>
      </c>
      <c r="CD215" s="88">
        <v>200000</v>
      </c>
      <c r="CE215" s="89">
        <v>209</v>
      </c>
      <c r="CF215" s="88">
        <f>IF(BY215&lt;26000000,0,IF(BY215&lt;26500000,4,IF(BY215&lt;27000000,7,IF(BY215&lt;27500000,9,IF(BY215&lt;28000000,11,IF(BY215&lt;28500000,15,IF(BY215&lt;29000000,17,IF(BY215&lt;29500000,20,IF(BY215&lt;30000000,23,IF(BY215&lt;30500000,25,IF(BY215&lt;31000000,27,IF(BY215&lt;31500000,29,IF(BY215&lt;32000000,33,IF(BY215&lt;32500000,37,IF(BY215&lt;33000000,39,IF(BY215&lt;33500000,42,IF(BY215&lt;34000000,45,IF(BY215&lt;34500000,48,IF(BY215&lt;35000000,52,52)))))))))))))))))))</f>
        <v>37</v>
      </c>
      <c r="CG215" s="89">
        <f>(CB215+CD215)/209</f>
        <v>10081.961722488039</v>
      </c>
      <c r="CH215" s="91"/>
      <c r="CI215" s="91"/>
      <c r="CJ215" s="92"/>
      <c r="CK215" s="92"/>
      <c r="CL215" s="88"/>
      <c r="CM215" s="88"/>
      <c r="CN215" s="88"/>
      <c r="CO215" s="89"/>
      <c r="CP215" s="89"/>
      <c r="CQ215" s="89"/>
      <c r="CR215" s="89"/>
      <c r="CS215" s="90"/>
      <c r="CT215" s="93"/>
      <c r="CU215" s="93"/>
      <c r="CV215" s="93"/>
      <c r="CW215" s="94"/>
      <c r="CX215" s="94"/>
      <c r="CY215" s="94"/>
      <c r="CZ215" s="95"/>
      <c r="DA215" s="95"/>
      <c r="DB215" s="96"/>
      <c r="DC215" s="97"/>
      <c r="DD215" s="98"/>
      <c r="DE215" s="98"/>
      <c r="DF215" s="97"/>
      <c r="DG215" s="99"/>
      <c r="DH215" s="98"/>
      <c r="DI215" s="98"/>
      <c r="DJ215" s="100"/>
      <c r="DK215" s="98"/>
      <c r="DL215" s="101"/>
      <c r="DM215" s="24"/>
    </row>
    <row r="216" spans="1:117" ht="15" customHeight="1">
      <c r="A216" s="74">
        <f>ROW()-2</f>
        <v>214</v>
      </c>
      <c r="B216" s="26">
        <v>260114</v>
      </c>
      <c r="C216" s="26" t="s">
        <v>2515</v>
      </c>
      <c r="D216" s="27"/>
      <c r="E216" s="27" t="s">
        <v>613</v>
      </c>
      <c r="F216" s="27" t="s">
        <v>196</v>
      </c>
      <c r="G216" s="27" t="s">
        <v>240</v>
      </c>
      <c r="H216" s="27" t="s">
        <v>217</v>
      </c>
      <c r="I216" s="27" t="s">
        <v>432</v>
      </c>
      <c r="J216" s="27" t="str">
        <f>+VLOOKUP($I216,[1]프로젝트현황!$I:$N,5,0)</f>
        <v>서울시</v>
      </c>
      <c r="K216" s="27" t="str">
        <f>+VLOOKUP($I216,[1]프로젝트현황!$I:$N,6,0)</f>
        <v>중구</v>
      </c>
      <c r="L216" s="68">
        <v>46024</v>
      </c>
      <c r="M216" s="28">
        <f>+L216</f>
        <v>46024</v>
      </c>
      <c r="N216" s="68"/>
      <c r="O216" s="75"/>
      <c r="P216" s="76" t="s">
        <v>2516</v>
      </c>
      <c r="Q216" s="26" t="s">
        <v>2517</v>
      </c>
      <c r="R216" s="77" t="str">
        <f>LEFT(Q216,6)</f>
        <v>031119</v>
      </c>
      <c r="S216" s="77" t="str">
        <f>MID($Q216,3,2)</f>
        <v>11</v>
      </c>
      <c r="T216" s="77" t="str">
        <f>IF(OR(MID($Q216,8,1)="1",MID($Q216,8,1)="3"),"남자",IF(OR(MID($Q216,8,1)="2",MID($Q216,8,1)="4"),"여자",""))</f>
        <v>남자</v>
      </c>
      <c r="U216" s="77">
        <f ca="1">YEAR(TODAY())-IF(OR(MID($Q216,8,1)="1",MID($Q216,8,1)="2"),19&amp;LEFT($Q216,2),IF(OR(MID($Q216,8,1)="3",MID($Q216,8,1)="4"),20&amp;LEFT($Q216,2),""))+1</f>
        <v>24</v>
      </c>
      <c r="V216" s="31" t="s">
        <v>2369</v>
      </c>
      <c r="W216" s="31" t="s">
        <v>2370</v>
      </c>
      <c r="X216" s="26" t="s">
        <v>2518</v>
      </c>
      <c r="Y216" s="26"/>
      <c r="Z216" s="26"/>
      <c r="AA216" s="78"/>
      <c r="AB216" s="31" t="s">
        <v>2386</v>
      </c>
      <c r="AC216" s="26"/>
      <c r="AD216" s="79" t="str">
        <f ca="1">QUOTIENT(SUMPRODUCT(LEFT($AE216:$AF216,FIND("년",$AE216:$AF216)-1)*12+MID($AE216:$AF216,FIND("년",$AE216:$AF216)+1,FIND("개월",$AE216:$AF216)-FIND("년",$AE216:$AF216)-1)),12)&amp;"년"&amp;MOD(SUMPRODUCT(LEFT($AE216:$AF216,FIND("년",$AE216:$AF216)-1)*12+MID($AE216:$AF216,FIND("년",$AE216:$AF216)+1,FIND("개월",$AE216:$AF216)-FIND("년",$AE216:$AF216)-1)),12)&amp;"개월"</f>
        <v>4년2개월</v>
      </c>
      <c r="AE216" s="79" t="s">
        <v>2519</v>
      </c>
      <c r="AF216" s="80" t="str">
        <f ca="1">DATEDIF($L216,TODAY(),"y")&amp;"년"&amp;DATEDIF($L216,TODAY(),"ym")&amp;"개월"</f>
        <v>0년1개월</v>
      </c>
      <c r="AG216" s="81" t="s">
        <v>2520</v>
      </c>
      <c r="AH216" s="81" t="s">
        <v>2006</v>
      </c>
      <c r="AI216" s="76" t="s">
        <v>365</v>
      </c>
      <c r="AJ216" s="78">
        <v>44567</v>
      </c>
      <c r="AK216" s="36">
        <f ca="1">VALUE(LEFT($AD216,FIND("년",$AD216)-1))</f>
        <v>4</v>
      </c>
      <c r="AL216" s="31" t="b">
        <f>IF($AI216="학사",IF($AK216&lt;=8,"초급",IF($AK216&lt;12,"중급",IF($AK216&lt;15,"고급",IF($AK216&gt;=15,"특급")))))</f>
        <v>0</v>
      </c>
      <c r="AM216" s="31" t="str">
        <f>IF(ISNUMBER(SEARCH("산업기사",$AT216)),IF($AK216&gt;=13,"특급",IF($AK216&gt;=10,"고급",IF($AK216&gt;=7,"중급","초급"))),IF(ISNUMBER(SEARCH("기사",$AR216)),IF($AK216&gt;=10,"특급",IF($AK216&gt;=7,"고급",IF($AK216&gt;=4,"중급","초급"))),"미해당"))</f>
        <v>미해당</v>
      </c>
      <c r="AN216" s="26"/>
      <c r="AO216" s="78"/>
      <c r="AP216" s="26"/>
      <c r="AQ216" s="78"/>
      <c r="AR216" s="26"/>
      <c r="AS216" s="26"/>
      <c r="AT216" s="82"/>
      <c r="AU216" s="26"/>
      <c r="AV216" s="83"/>
      <c r="AW216" s="84"/>
      <c r="AX216" s="84"/>
      <c r="AY216" s="40" t="s">
        <v>2374</v>
      </c>
      <c r="AZ216" s="41" t="s">
        <v>2375</v>
      </c>
      <c r="BA216" s="76" t="s">
        <v>2218</v>
      </c>
      <c r="BB216" s="76" t="s">
        <v>2521</v>
      </c>
      <c r="BC216" s="85"/>
      <c r="BD216" s="85"/>
      <c r="BE216" s="69" t="s">
        <v>2522</v>
      </c>
      <c r="BF216" s="85" t="s">
        <v>2417</v>
      </c>
      <c r="BG216" s="85" t="s">
        <v>2523</v>
      </c>
      <c r="BH216" s="81"/>
      <c r="BI216" s="86" t="s">
        <v>2524</v>
      </c>
      <c r="BJ216" s="45" t="str">
        <f>IFERROR(VLOOKUP($BG216,[1]프로젝트현황!Y:Z,2,0),"기타")</f>
        <v>서남권</v>
      </c>
      <c r="BK216" s="46" t="str">
        <f>(IF(BF216="","",BF216&amp;" "))&amp;(IF(BG216="","",BG216&amp;" "))&amp;(IF(BH216="","",BH216&amp;" "))&amp;BI216</f>
        <v>경기도 시흥시 검바위1로 38, 나동 1층 104호</v>
      </c>
      <c r="BL216" s="70">
        <v>30</v>
      </c>
      <c r="BM216" s="70">
        <v>30</v>
      </c>
      <c r="BN216" s="87">
        <v>28500000</v>
      </c>
      <c r="BO216" s="87">
        <f>BP216*12</f>
        <v>28500007.200000003</v>
      </c>
      <c r="BP216" s="88">
        <f>SUM(BQ216:BS216)</f>
        <v>2375000.6</v>
      </c>
      <c r="BQ216" s="88">
        <f>ROUNDUP(BN216/12*209/(209+BU216*1.5)/BL216*BM216,-1)-BS216</f>
        <v>1972320</v>
      </c>
      <c r="BR216" s="88">
        <f>ROUNDUP(BN216/12*(BU216*1.5)/(209+BU216*1.5)/BL216*BM216,1)</f>
        <v>202680.6</v>
      </c>
      <c r="BS216" s="88">
        <v>200000</v>
      </c>
      <c r="BT216" s="89">
        <v>209</v>
      </c>
      <c r="BU216" s="49">
        <f>IF($BN216="","",
IFERROR(
    IF($BN216&lt;'[1]시간외시간 기준표'!$B$2,0,
        IF($BN216&gt;LOOKUP(9.9E+307,'[1]시간외시간 기준표'!$B$2:$B$999),
            LOOKUP(9.9E+307,'[1]시간외시간 기준표'!$C$2:$C$999),
            LOOKUP($BN216,'[1]시간외시간 기준표'!$B$2:$B$999,'[1]시간외시간 기준표'!$C$2:$C$999)
        )
    ),0)
)</f>
        <v>13</v>
      </c>
      <c r="BV216" s="89">
        <f>(BQ216+BS216)/209</f>
        <v>10393.875598086124</v>
      </c>
      <c r="BW216" s="71">
        <v>30</v>
      </c>
      <c r="BX216" s="71">
        <v>30</v>
      </c>
      <c r="BY216" s="90">
        <v>28500000</v>
      </c>
      <c r="BZ216" s="90">
        <f>CA216*12</f>
        <v>28500027.599999998</v>
      </c>
      <c r="CA216" s="88">
        <f>SUM(CB216:CD216)</f>
        <v>2375002.2999999998</v>
      </c>
      <c r="CB216" s="88">
        <f>ROUNDUP(BY216/12*209/(209+CF216*1.5)/BW216*BX216,-1)-CD216</f>
        <v>1916740</v>
      </c>
      <c r="CC216" s="88">
        <f>ROUNDUP(BY216/12*(CF216*1.5)/(209+CF216*1.5)/BW216*BX216,1)</f>
        <v>258262.30000000002</v>
      </c>
      <c r="CD216" s="88">
        <v>200000</v>
      </c>
      <c r="CE216" s="89">
        <v>209</v>
      </c>
      <c r="CF216" s="88">
        <f>IF(BY216&lt;26000000,0,IF(BY216&lt;26500000,4,IF(BY216&lt;27000000,7,IF(BY216&lt;27500000,9,IF(BY216&lt;28000000,11,IF(BY216&lt;28500000,15,IF(BY216&lt;29000000,17,IF(BY216&lt;29500000,20,IF(BY216&lt;30000000,23,IF(BY216&lt;30500000,25,IF(BY216&lt;31000000,27,IF(BY216&lt;31500000,29,IF(BY216&lt;32000000,33,IF(BY216&lt;32500000,37,IF(BY216&lt;33000000,39,IF(BY216&lt;33500000,42,IF(BY216&lt;34000000,45,IF(BY216&lt;34500000,48,IF(BY216&lt;35000000,52,52)))))))))))))))))))</f>
        <v>17</v>
      </c>
      <c r="CG216" s="89">
        <f>(CB216+CD216)/209</f>
        <v>10127.942583732058</v>
      </c>
      <c r="CH216" s="91"/>
      <c r="CI216" s="91"/>
      <c r="CJ216" s="92"/>
      <c r="CK216" s="92"/>
      <c r="CL216" s="88"/>
      <c r="CM216" s="88"/>
      <c r="CN216" s="88"/>
      <c r="CO216" s="89"/>
      <c r="CP216" s="89"/>
      <c r="CQ216" s="89"/>
      <c r="CR216" s="89"/>
      <c r="CS216" s="90"/>
      <c r="CT216" s="93"/>
      <c r="CU216" s="93"/>
      <c r="CV216" s="93"/>
      <c r="CW216" s="94"/>
      <c r="CX216" s="94"/>
      <c r="CY216" s="94"/>
      <c r="CZ216" s="95"/>
      <c r="DA216" s="95"/>
      <c r="DB216" s="96"/>
      <c r="DC216" s="97"/>
      <c r="DD216" s="98"/>
      <c r="DE216" s="98"/>
      <c r="DF216" s="97"/>
      <c r="DG216" s="99"/>
      <c r="DH216" s="98"/>
      <c r="DI216" s="98"/>
      <c r="DJ216" s="100"/>
      <c r="DK216" s="98"/>
      <c r="DL216" s="101"/>
      <c r="DM216" s="24"/>
    </row>
    <row r="217" spans="1:117" ht="15" customHeight="1">
      <c r="A217" s="74">
        <f>ROW()-2</f>
        <v>215</v>
      </c>
      <c r="B217" s="26">
        <v>260115</v>
      </c>
      <c r="C217" s="26" t="s">
        <v>2525</v>
      </c>
      <c r="D217" s="27"/>
      <c r="E217" s="27" t="s">
        <v>613</v>
      </c>
      <c r="F217" s="27" t="s">
        <v>196</v>
      </c>
      <c r="G217" s="27" t="s">
        <v>240</v>
      </c>
      <c r="H217" s="27" t="s">
        <v>217</v>
      </c>
      <c r="I217" s="27" t="s">
        <v>432</v>
      </c>
      <c r="J217" s="27" t="str">
        <f>+VLOOKUP($I217,[1]프로젝트현황!$I:$N,5,0)</f>
        <v>서울시</v>
      </c>
      <c r="K217" s="27" t="str">
        <f>+VLOOKUP($I217,[1]프로젝트현황!$I:$N,6,0)</f>
        <v>중구</v>
      </c>
      <c r="L217" s="68">
        <v>46024</v>
      </c>
      <c r="M217" s="28">
        <f>+L217</f>
        <v>46024</v>
      </c>
      <c r="N217" s="68"/>
      <c r="O217" s="75"/>
      <c r="P217" s="76" t="s">
        <v>2526</v>
      </c>
      <c r="Q217" s="26" t="s">
        <v>2527</v>
      </c>
      <c r="R217" s="77" t="str">
        <f>LEFT(Q217,6)</f>
        <v>030430</v>
      </c>
      <c r="S217" s="77" t="str">
        <f>MID($Q217,3,2)</f>
        <v>04</v>
      </c>
      <c r="T217" s="77" t="str">
        <f>IF(OR(MID($Q217,8,1)="1",MID($Q217,8,1)="3"),"남자",IF(OR(MID($Q217,8,1)="2",MID($Q217,8,1)="4"),"여자",""))</f>
        <v>남자</v>
      </c>
      <c r="U217" s="77">
        <f ca="1">YEAR(TODAY())-IF(OR(MID($Q217,8,1)="1",MID($Q217,8,1)="2"),19&amp;LEFT($Q217,2),IF(OR(MID($Q217,8,1)="3",MID($Q217,8,1)="4"),20&amp;LEFT($Q217,2),""))+1</f>
        <v>24</v>
      </c>
      <c r="V217" s="31" t="s">
        <v>2369</v>
      </c>
      <c r="W217" s="31" t="s">
        <v>2370</v>
      </c>
      <c r="X217" s="26" t="s">
        <v>2528</v>
      </c>
      <c r="Y217" s="26"/>
      <c r="Z217" s="26"/>
      <c r="AA217" s="78"/>
      <c r="AB217" s="31" t="s">
        <v>2386</v>
      </c>
      <c r="AC217" s="26"/>
      <c r="AD217" s="79" t="str">
        <f ca="1">QUOTIENT(SUMPRODUCT(LEFT($AE217:$AF217,FIND("년",$AE217:$AF217)-1)*12+MID($AE217:$AF217,FIND("년",$AE217:$AF217)+1,FIND("개월",$AE217:$AF217)-FIND("년",$AE217:$AF217)-1)),12)&amp;"년"&amp;MOD(SUMPRODUCT(LEFT($AE217:$AF217,FIND("년",$AE217:$AF217)-1)*12+MID($AE217:$AF217,FIND("년",$AE217:$AF217)+1,FIND("개월",$AE217:$AF217)-FIND("년",$AE217:$AF217)-1)),12)&amp;"개월"</f>
        <v>4년2개월</v>
      </c>
      <c r="AE217" s="79" t="s">
        <v>2519</v>
      </c>
      <c r="AF217" s="80" t="str">
        <f ca="1">DATEDIF($L217,TODAY(),"y")&amp;"년"&amp;DATEDIF($L217,TODAY(),"ym")&amp;"개월"</f>
        <v>0년1개월</v>
      </c>
      <c r="AG217" s="81" t="s">
        <v>2520</v>
      </c>
      <c r="AH217" s="81" t="s">
        <v>2006</v>
      </c>
      <c r="AI217" s="76" t="s">
        <v>365</v>
      </c>
      <c r="AJ217" s="78">
        <v>44567</v>
      </c>
      <c r="AK217" s="36">
        <f ca="1">VALUE(LEFT($AD217,FIND("년",$AD217)-1))</f>
        <v>4</v>
      </c>
      <c r="AL217" s="31" t="b">
        <f>IF($AI217="학사",IF($AK217&lt;=8,"초급",IF($AK217&lt;12,"중급",IF($AK217&lt;15,"고급",IF($AK217&gt;=15,"특급")))))</f>
        <v>0</v>
      </c>
      <c r="AM217" s="31" t="str">
        <f>IF(ISNUMBER(SEARCH("산업기사",$AT217)),IF($AK217&gt;=13,"특급",IF($AK217&gt;=10,"고급",IF($AK217&gt;=7,"중급","초급"))),IF(ISNUMBER(SEARCH("기사",$AR217)),IF($AK217&gt;=10,"특급",IF($AK217&gt;=7,"고급",IF($AK217&gt;=4,"중급","초급"))),"미해당"))</f>
        <v>미해당</v>
      </c>
      <c r="AN217" s="26"/>
      <c r="AO217" s="78"/>
      <c r="AP217" s="26"/>
      <c r="AQ217" s="78"/>
      <c r="AR217" s="26"/>
      <c r="AS217" s="26"/>
      <c r="AT217" s="82"/>
      <c r="AU217" s="26"/>
      <c r="AV217" s="83"/>
      <c r="AW217" s="84"/>
      <c r="AX217" s="84"/>
      <c r="AY217" s="40" t="s">
        <v>2374</v>
      </c>
      <c r="AZ217" s="41" t="s">
        <v>2375</v>
      </c>
      <c r="BA217" s="76" t="s">
        <v>2218</v>
      </c>
      <c r="BB217" s="76" t="s">
        <v>2529</v>
      </c>
      <c r="BC217" s="85" t="s">
        <v>254</v>
      </c>
      <c r="BD217" s="85" t="s">
        <v>2528</v>
      </c>
      <c r="BE217" s="69" t="s">
        <v>2530</v>
      </c>
      <c r="BF217" s="85" t="s">
        <v>2417</v>
      </c>
      <c r="BG217" s="85" t="s">
        <v>355</v>
      </c>
      <c r="BH217" s="81" t="s">
        <v>1678</v>
      </c>
      <c r="BI217" s="86" t="s">
        <v>2531</v>
      </c>
      <c r="BJ217" s="45" t="str">
        <f>IFERROR(VLOOKUP($BG217,[1]프로젝트현황!Y:Z,2,0),"기타")</f>
        <v>서남권</v>
      </c>
      <c r="BK217" s="46" t="str">
        <f>(IF(BF217="","",BF217&amp;" "))&amp;(IF(BG217="","",BG217&amp;" "))&amp;(IF(BH217="","",BH217&amp;" "))&amp;BI217</f>
        <v>경기도 부천시 오정구 삼작로416번길 3, 402호</v>
      </c>
      <c r="BL217" s="70">
        <v>30</v>
      </c>
      <c r="BM217" s="70">
        <v>30</v>
      </c>
      <c r="BN217" s="87">
        <v>27500000</v>
      </c>
      <c r="BO217" s="87">
        <f>BP217*12</f>
        <v>27500092.799999997</v>
      </c>
      <c r="BP217" s="88">
        <f>SUM(BQ217:BS217)</f>
        <v>2291674.4</v>
      </c>
      <c r="BQ217" s="88">
        <f>ROUNDUP(BN217/12*209/(209+BU217*1.5)/BL217*BM217,-1)-BS217</f>
        <v>1967240</v>
      </c>
      <c r="BR217" s="88">
        <f>ROUNDUP(BN217/12*(BU217*1.5)/(209+BU217*1.5)/BL217*BM217,1)</f>
        <v>124434.40000000001</v>
      </c>
      <c r="BS217" s="88">
        <v>200000</v>
      </c>
      <c r="BT217" s="89">
        <v>209</v>
      </c>
      <c r="BU217" s="49">
        <f>IF($BN217="","",
IFERROR(
    IF($BN217&lt;'[1]시간외시간 기준표'!$B$2,0,
        IF($BN217&gt;LOOKUP(9.9E+307,'[1]시간외시간 기준표'!$B$2:$B$999),
            LOOKUP(9.9E+307,'[1]시간외시간 기준표'!$C$2:$C$999),
            LOOKUP($BN217,'[1]시간외시간 기준표'!$B$2:$B$999,'[1]시간외시간 기준표'!$C$2:$C$999)
        )
    ),0)
)</f>
        <v>8</v>
      </c>
      <c r="BV217" s="89">
        <f>(BQ217+BS217)/209</f>
        <v>10369.56937799043</v>
      </c>
      <c r="BW217" s="71">
        <v>30</v>
      </c>
      <c r="BX217" s="71">
        <v>30</v>
      </c>
      <c r="BY217" s="90">
        <v>27500000</v>
      </c>
      <c r="BZ217" s="90">
        <f>CA217*12</f>
        <v>27500076</v>
      </c>
      <c r="CA217" s="88">
        <f>SUM(CB217:CD217)</f>
        <v>2291673</v>
      </c>
      <c r="CB217" s="88">
        <f>ROUNDUP(BY217/12*209/(209+CF217*1.5)/BW217*BX217,-1)-CD217</f>
        <v>1923990</v>
      </c>
      <c r="CC217" s="88">
        <f>ROUNDUP(BY217/12*(CF217*1.5)/(209+CF217*1.5)/BW217*BX217,1)</f>
        <v>167683</v>
      </c>
      <c r="CD217" s="88">
        <v>200000</v>
      </c>
      <c r="CE217" s="89">
        <v>209</v>
      </c>
      <c r="CF217" s="88">
        <f>IF(BY217&lt;26000000,0,IF(BY217&lt;26500000,4,IF(BY217&lt;27000000,7,IF(BY217&lt;27500000,9,IF(BY217&lt;28000000,11,IF(BY217&lt;28500000,15,IF(BY217&lt;29000000,17,IF(BY217&lt;29500000,20,IF(BY217&lt;30000000,23,IF(BY217&lt;30500000,25,IF(BY217&lt;31000000,27,IF(BY217&lt;31500000,29,IF(BY217&lt;32000000,33,IF(BY217&lt;32500000,37,IF(BY217&lt;33000000,39,IF(BY217&lt;33500000,42,IF(BY217&lt;34000000,45,IF(BY217&lt;34500000,48,IF(BY217&lt;35000000,52,52)))))))))))))))))))</f>
        <v>11</v>
      </c>
      <c r="CG217" s="89">
        <f>(CB217+CD217)/209</f>
        <v>10162.631578947368</v>
      </c>
      <c r="CH217" s="91"/>
      <c r="CI217" s="91"/>
      <c r="CJ217" s="92"/>
      <c r="CK217" s="92"/>
      <c r="CL217" s="88"/>
      <c r="CM217" s="88"/>
      <c r="CN217" s="88"/>
      <c r="CO217" s="89"/>
      <c r="CP217" s="89"/>
      <c r="CQ217" s="89"/>
      <c r="CR217" s="89"/>
      <c r="CS217" s="90"/>
      <c r="CT217" s="93"/>
      <c r="CU217" s="93"/>
      <c r="CV217" s="93"/>
      <c r="CW217" s="94"/>
      <c r="CX217" s="94"/>
      <c r="CY217" s="94"/>
      <c r="CZ217" s="95"/>
      <c r="DA217" s="95"/>
      <c r="DB217" s="96"/>
      <c r="DC217" s="97"/>
      <c r="DD217" s="98"/>
      <c r="DE217" s="98"/>
      <c r="DF217" s="97"/>
      <c r="DG217" s="99"/>
      <c r="DH217" s="98"/>
      <c r="DI217" s="98"/>
      <c r="DJ217" s="100"/>
      <c r="DK217" s="98"/>
      <c r="DL217" s="101"/>
      <c r="DM217" s="24"/>
    </row>
    <row r="218" spans="1:117" ht="15" customHeight="1">
      <c r="A218" s="74">
        <f>ROW()-2</f>
        <v>216</v>
      </c>
      <c r="B218" s="26">
        <v>260116</v>
      </c>
      <c r="C218" s="26" t="s">
        <v>2532</v>
      </c>
      <c r="D218" s="27"/>
      <c r="E218" s="27" t="s">
        <v>239</v>
      </c>
      <c r="F218" s="27" t="s">
        <v>196</v>
      </c>
      <c r="G218" s="27" t="s">
        <v>240</v>
      </c>
      <c r="H218" s="27" t="s">
        <v>217</v>
      </c>
      <c r="I218" s="27" t="s">
        <v>432</v>
      </c>
      <c r="J218" s="27" t="str">
        <f>+VLOOKUP($I218,[1]프로젝트현황!$I:$N,5,0)</f>
        <v>서울시</v>
      </c>
      <c r="K218" s="27" t="str">
        <f>+VLOOKUP($I218,[1]프로젝트현황!$I:$N,6,0)</f>
        <v>중구</v>
      </c>
      <c r="L218" s="68">
        <v>46024</v>
      </c>
      <c r="M218" s="28">
        <f>+L218</f>
        <v>46024</v>
      </c>
      <c r="N218" s="68"/>
      <c r="O218" s="75"/>
      <c r="P218" s="76" t="s">
        <v>2533</v>
      </c>
      <c r="Q218" s="26" t="s">
        <v>2534</v>
      </c>
      <c r="R218" s="77" t="str">
        <f>LEFT(Q218,6)</f>
        <v>940913</v>
      </c>
      <c r="S218" s="77" t="str">
        <f>MID($Q218,3,2)</f>
        <v>09</v>
      </c>
      <c r="T218" s="77" t="str">
        <f>IF(OR(MID($Q218,8,1)="1",MID($Q218,8,1)="3"),"남자",IF(OR(MID($Q218,8,1)="2",MID($Q218,8,1)="4"),"여자",""))</f>
        <v>남자</v>
      </c>
      <c r="U218" s="77">
        <f ca="1">YEAR(TODAY())-IF(OR(MID($Q218,8,1)="1",MID($Q218,8,1)="2"),19&amp;LEFT($Q218,2),IF(OR(MID($Q218,8,1)="3",MID($Q218,8,1)="4"),20&amp;LEFT($Q218,2),""))+1</f>
        <v>33</v>
      </c>
      <c r="V218" s="31" t="s">
        <v>2369</v>
      </c>
      <c r="W218" s="31" t="s">
        <v>2370</v>
      </c>
      <c r="X218" s="26" t="s">
        <v>2535</v>
      </c>
      <c r="Y218" s="26"/>
      <c r="Z218" s="26"/>
      <c r="AA218" s="78"/>
      <c r="AB218" s="31" t="s">
        <v>2386</v>
      </c>
      <c r="AC218" s="26"/>
      <c r="AD218" s="79" t="str">
        <f ca="1">QUOTIENT(SUMPRODUCT(LEFT($AE218:$AF218,FIND("년",$AE218:$AF218)-1)*12+MID($AE218:$AF218,FIND("년",$AE218:$AF218)+1,FIND("개월",$AE218:$AF218)-FIND("년",$AE218:$AF218)-1)),12)&amp;"년"&amp;MOD(SUMPRODUCT(LEFT($AE218:$AF218,FIND("년",$AE218:$AF218)-1)*12+MID($AE218:$AF218,FIND("년",$AE218:$AF218)+1,FIND("개월",$AE218:$AF218)-FIND("년",$AE218:$AF218)-1)),12)&amp;"개월"</f>
        <v>9년7개월</v>
      </c>
      <c r="AE218" s="79" t="s">
        <v>2536</v>
      </c>
      <c r="AF218" s="80" t="str">
        <f ca="1">DATEDIF($L218,TODAY(),"y")&amp;"년"&amp;DATEDIF($L218,TODAY(),"ym")&amp;"개월"</f>
        <v>0년1개월</v>
      </c>
      <c r="AG218" s="81" t="s">
        <v>2537</v>
      </c>
      <c r="AH218" s="81" t="s">
        <v>2538</v>
      </c>
      <c r="AI218" s="76" t="s">
        <v>365</v>
      </c>
      <c r="AJ218" s="78">
        <v>41312</v>
      </c>
      <c r="AK218" s="36">
        <f ca="1">VALUE(LEFT($AD218,FIND("년",$AD218)-1))</f>
        <v>9</v>
      </c>
      <c r="AL218" s="31" t="b">
        <f>IF($AI218="학사",IF($AK218&lt;=8,"초급",IF($AK218&lt;12,"중급",IF($AK218&lt;15,"고급",IF($AK218&gt;=15,"특급")))))</f>
        <v>0</v>
      </c>
      <c r="AM218" s="31" t="str">
        <f>IF(ISNUMBER(SEARCH("산업기사",$AT218)),IF($AK218&gt;=13,"특급",IF($AK218&gt;=10,"고급",IF($AK218&gt;=7,"중급","초급"))),IF(ISNUMBER(SEARCH("기사",$AR218)),IF($AK218&gt;=10,"특급",IF($AK218&gt;=7,"고급",IF($AK218&gt;=4,"중급","초급"))),"미해당"))</f>
        <v>미해당</v>
      </c>
      <c r="AN218" s="26"/>
      <c r="AO218" s="78"/>
      <c r="AP218" s="26"/>
      <c r="AQ218" s="78"/>
      <c r="AR218" s="26"/>
      <c r="AS218" s="26"/>
      <c r="AT218" s="82"/>
      <c r="AU218" s="26"/>
      <c r="AV218" s="83"/>
      <c r="AW218" s="84"/>
      <c r="AX218" s="84"/>
      <c r="AY218" s="40" t="s">
        <v>2374</v>
      </c>
      <c r="AZ218" s="41" t="s">
        <v>2375</v>
      </c>
      <c r="BA218" s="76" t="s">
        <v>230</v>
      </c>
      <c r="BB218" s="76" t="s">
        <v>2539</v>
      </c>
      <c r="BC218" s="85" t="s">
        <v>254</v>
      </c>
      <c r="BD218" s="85" t="s">
        <v>2540</v>
      </c>
      <c r="BE218" s="69" t="s">
        <v>2541</v>
      </c>
      <c r="BF218" s="85" t="s">
        <v>1688</v>
      </c>
      <c r="BG218" s="85" t="s">
        <v>623</v>
      </c>
      <c r="BH218" s="81"/>
      <c r="BI218" s="86" t="s">
        <v>2542</v>
      </c>
      <c r="BJ218" s="45" t="str">
        <f>IFERROR(VLOOKUP($BG218,[1]프로젝트현황!Y:Z,2,0),"기타")</f>
        <v>동북권</v>
      </c>
      <c r="BK218" s="46" t="str">
        <f>(IF(BF218="","",BF218&amp;" "))&amp;(IF(BG218="","",BG218&amp;" "))&amp;(IF(BH218="","",BH218&amp;" "))&amp;BI218</f>
        <v>서울특별시 강북구 인수봉로85길 16, 201호</v>
      </c>
      <c r="BL218" s="70">
        <v>30</v>
      </c>
      <c r="BM218" s="70">
        <v>30</v>
      </c>
      <c r="BN218" s="87">
        <v>30000000</v>
      </c>
      <c r="BO218" s="87">
        <f>BP218*12</f>
        <v>30000109.200000003</v>
      </c>
      <c r="BP218" s="88">
        <f>SUM(BQ218:BS218)</f>
        <v>2500009.1</v>
      </c>
      <c r="BQ218" s="88">
        <f>ROUNDUP(BN218/12*209/(209+BU218*1.5)/BL218*BM218,-1)-BS218</f>
        <v>1959100</v>
      </c>
      <c r="BR218" s="88">
        <f>ROUNDUP(BN218/12*(BU218*1.5)/(209+BU218*1.5)/BL218*BM218,1)</f>
        <v>340909.1</v>
      </c>
      <c r="BS218" s="88">
        <v>200000</v>
      </c>
      <c r="BT218" s="89">
        <v>209</v>
      </c>
      <c r="BU218" s="49">
        <f>IF($BN218="","",
IFERROR(
    IF($BN218&lt;'[1]시간외시간 기준표'!$B$2,0,
        IF($BN218&gt;LOOKUP(9.9E+307,'[1]시간외시간 기준표'!$B$2:$B$999),
            LOOKUP(9.9E+307,'[1]시간외시간 기준표'!$C$2:$C$999),
            LOOKUP($BN218,'[1]시간외시간 기준표'!$B$2:$B$999,'[1]시간외시간 기준표'!$C$2:$C$999)
        )
    ),0)
)</f>
        <v>22</v>
      </c>
      <c r="BV218" s="89">
        <f>(BQ218+BS218)/209</f>
        <v>10330.622009569379</v>
      </c>
      <c r="BW218" s="71">
        <v>30</v>
      </c>
      <c r="BX218" s="71">
        <v>30</v>
      </c>
      <c r="BY218" s="90">
        <v>30000000</v>
      </c>
      <c r="BZ218" s="90">
        <f>CA218*12</f>
        <v>30000055.200000003</v>
      </c>
      <c r="CA218" s="88">
        <f>SUM(CB218:CD218)</f>
        <v>2500004.6</v>
      </c>
      <c r="CB218" s="88">
        <f>ROUNDUP(BY218/12*209/(209+CF218*1.5)/BW218*BX218,-1)-CD218</f>
        <v>1919680</v>
      </c>
      <c r="CC218" s="88">
        <f>ROUNDUP(BY218/12*(CF218*1.5)/(209+CF218*1.5)/BW218*BX218,1)</f>
        <v>380324.6</v>
      </c>
      <c r="CD218" s="88">
        <v>200000</v>
      </c>
      <c r="CE218" s="89">
        <v>209</v>
      </c>
      <c r="CF218" s="88">
        <f>IF(BY218&lt;26000000,0,IF(BY218&lt;26500000,4,IF(BY218&lt;27000000,7,IF(BY218&lt;27500000,9,IF(BY218&lt;28000000,11,IF(BY218&lt;28500000,15,IF(BY218&lt;29000000,17,IF(BY218&lt;29500000,20,IF(BY218&lt;30000000,23,IF(BY218&lt;30500000,25,IF(BY218&lt;31000000,27,IF(BY218&lt;31500000,29,IF(BY218&lt;32000000,33,IF(BY218&lt;32500000,37,IF(BY218&lt;33000000,39,IF(BY218&lt;33500000,42,IF(BY218&lt;34000000,45,IF(BY218&lt;34500000,48,IF(BY218&lt;35000000,52,52)))))))))))))))))))</f>
        <v>25</v>
      </c>
      <c r="CG218" s="89">
        <f>(CB218+CD218)/209</f>
        <v>10142.009569377991</v>
      </c>
      <c r="CH218" s="91"/>
      <c r="CI218" s="91"/>
      <c r="CJ218" s="92"/>
      <c r="CK218" s="92"/>
      <c r="CL218" s="88"/>
      <c r="CM218" s="88"/>
      <c r="CN218" s="88"/>
      <c r="CO218" s="89"/>
      <c r="CP218" s="89"/>
      <c r="CQ218" s="89"/>
      <c r="CR218" s="89"/>
      <c r="CS218" s="90"/>
      <c r="CT218" s="93"/>
      <c r="CU218" s="93"/>
      <c r="CV218" s="93"/>
      <c r="CW218" s="94"/>
      <c r="CX218" s="94"/>
      <c r="CY218" s="94"/>
      <c r="CZ218" s="95"/>
      <c r="DA218" s="95"/>
      <c r="DB218" s="96"/>
      <c r="DC218" s="97"/>
      <c r="DD218" s="98"/>
      <c r="DE218" s="98"/>
      <c r="DF218" s="97"/>
      <c r="DG218" s="99"/>
      <c r="DH218" s="98"/>
      <c r="DI218" s="98"/>
      <c r="DJ218" s="100"/>
      <c r="DK218" s="98"/>
      <c r="DL218" s="101"/>
      <c r="DM218" s="24"/>
    </row>
    <row r="219" spans="1:117" ht="15" customHeight="1">
      <c r="A219" s="74">
        <f>ROW()-2</f>
        <v>217</v>
      </c>
      <c r="B219" s="26">
        <v>260201</v>
      </c>
      <c r="C219" s="26" t="s">
        <v>2543</v>
      </c>
      <c r="D219" s="27"/>
      <c r="E219" s="27" t="s">
        <v>2544</v>
      </c>
      <c r="F219" s="27" t="s">
        <v>196</v>
      </c>
      <c r="G219" s="27" t="s">
        <v>240</v>
      </c>
      <c r="H219" s="27" t="s">
        <v>2545</v>
      </c>
      <c r="I219" s="27" t="s">
        <v>2546</v>
      </c>
      <c r="J219" s="27" t="str">
        <f>+VLOOKUP($I219,[1]프로젝트현황!$I:$N,5,0)</f>
        <v>서울시</v>
      </c>
      <c r="K219" s="27" t="str">
        <f>+VLOOKUP($I219,[1]프로젝트현황!$I:$N,6,0)</f>
        <v>구로구</v>
      </c>
      <c r="L219" s="68">
        <v>46055</v>
      </c>
      <c r="M219" s="28">
        <f>+L219</f>
        <v>46055</v>
      </c>
      <c r="N219" s="68"/>
      <c r="O219" s="75"/>
      <c r="P219" s="76" t="s">
        <v>2547</v>
      </c>
      <c r="Q219" s="26" t="s">
        <v>2548</v>
      </c>
      <c r="R219" s="77" t="str">
        <f>LEFT(Q219,6)</f>
        <v>040923</v>
      </c>
      <c r="S219" s="77" t="str">
        <f>MID($Q219,3,2)</f>
        <v>09</v>
      </c>
      <c r="T219" s="77" t="str">
        <f>IF(OR(MID($Q219,8,1)="1",MID($Q219,8,1)="3"),"남자",IF(OR(MID($Q219,8,1)="2",MID($Q219,8,1)="4"),"여자",""))</f>
        <v>여자</v>
      </c>
      <c r="U219" s="77">
        <f ca="1">YEAR(TODAY())-IF(OR(MID($Q219,8,1)="1",MID($Q219,8,1)="2"),19&amp;LEFT($Q219,2),IF(OR(MID($Q219,8,1)="3",MID($Q219,8,1)="4"),20&amp;LEFT($Q219,2),""))+1</f>
        <v>23</v>
      </c>
      <c r="V219" s="31" t="s">
        <v>2369</v>
      </c>
      <c r="W219" s="31" t="s">
        <v>2370</v>
      </c>
      <c r="X219" s="26" t="s">
        <v>2549</v>
      </c>
      <c r="Y219" s="26"/>
      <c r="Z219" s="26"/>
      <c r="AA219" s="78"/>
      <c r="AB219" s="31" t="s">
        <v>2386</v>
      </c>
      <c r="AC219" s="26"/>
      <c r="AD219" s="79" t="str">
        <f ca="1">QUOTIENT(SUMPRODUCT(LEFT($AE219:$AF219,FIND("년",$AE219:$AF219)-1)*12+MID($AE219:$AF219,FIND("년",$AE219:$AF219)+1,FIND("개월",$AE219:$AF219)-FIND("년",$AE219:$AF219)-1)),12)&amp;"년"&amp;MOD(SUMPRODUCT(LEFT($AE219:$AF219,FIND("년",$AE219:$AF219)-1)*12+MID($AE219:$AF219,FIND("년",$AE219:$AF219)+1,FIND("개월",$AE219:$AF219)-FIND("년",$AE219:$AF219)-1)),12)&amp;"개월"</f>
        <v>0년0개월</v>
      </c>
      <c r="AE219" s="79" t="s">
        <v>543</v>
      </c>
      <c r="AF219" s="80" t="str">
        <f ca="1">DATEDIF($L219,TODAY(),"y")&amp;"년"&amp;DATEDIF($L219,TODAY(),"ym")&amp;"개월"</f>
        <v>0년0개월</v>
      </c>
      <c r="AG219" s="81" t="s">
        <v>2550</v>
      </c>
      <c r="AH219" s="81" t="s">
        <v>2551</v>
      </c>
      <c r="AI219" s="76" t="s">
        <v>2552</v>
      </c>
      <c r="AJ219" s="78">
        <v>46053</v>
      </c>
      <c r="AK219" s="36">
        <f ca="1">VALUE(LEFT($AD219,FIND("년",$AD219)-1))</f>
        <v>0</v>
      </c>
      <c r="AL219" s="31" t="b">
        <f>IF($AI219="학사",IF($AK219&lt;=8,"초급",IF($AK219&lt;12,"중급",IF($AK219&lt;15,"고급",IF($AK219&gt;=15,"특급")))))</f>
        <v>0</v>
      </c>
      <c r="AM219" s="31" t="str">
        <f>IF(ISNUMBER(SEARCH("산업기사",$AT219)),IF($AK219&gt;=13,"특급",IF($AK219&gt;=10,"고급",IF($AK219&gt;=7,"중급","초급"))),IF(ISNUMBER(SEARCH("기사",$AR219)),IF($AK219&gt;=10,"특급",IF($AK219&gt;=7,"고급",IF($AK219&gt;=4,"중급","초급"))),"미해당"))</f>
        <v>미해당</v>
      </c>
      <c r="AN219" s="26"/>
      <c r="AO219" s="78"/>
      <c r="AP219" s="26"/>
      <c r="AQ219" s="78"/>
      <c r="AR219" s="26"/>
      <c r="AS219" s="26"/>
      <c r="AT219" s="82"/>
      <c r="AU219" s="26"/>
      <c r="AV219" s="83"/>
      <c r="AW219" s="84"/>
      <c r="AX219" s="84"/>
      <c r="AY219" s="40" t="s">
        <v>2374</v>
      </c>
      <c r="AZ219" s="41" t="s">
        <v>2375</v>
      </c>
      <c r="BA219" s="76" t="s">
        <v>2218</v>
      </c>
      <c r="BB219" s="76" t="s">
        <v>2553</v>
      </c>
      <c r="BC219" s="85"/>
      <c r="BD219" s="85"/>
      <c r="BE219" s="64" t="s">
        <v>2554</v>
      </c>
      <c r="BF219" s="85" t="s">
        <v>2417</v>
      </c>
      <c r="BG219" s="85" t="s">
        <v>2555</v>
      </c>
      <c r="BH219" s="81" t="s">
        <v>2556</v>
      </c>
      <c r="BI219" s="86" t="s">
        <v>2557</v>
      </c>
      <c r="BJ219" s="45" t="s">
        <v>2558</v>
      </c>
      <c r="BK219" s="46" t="str">
        <f>(IF(BF219="","",BF219&amp;" "))&amp;(IF(BG219="","",BG219&amp;" "))&amp;(IF(BH219="","",BH219&amp;" "))&amp;BI219</f>
        <v>경기도 용인시 수지구 풍덕천로 91 103동 1802호</v>
      </c>
      <c r="BL219" s="70">
        <v>30</v>
      </c>
      <c r="BM219" s="70">
        <v>30</v>
      </c>
      <c r="BN219" s="87">
        <v>27000000</v>
      </c>
      <c r="BO219" s="87">
        <f>BP219*12</f>
        <v>27000120</v>
      </c>
      <c r="BP219" s="88">
        <f>SUM(BQ219:BS219)</f>
        <v>2250010</v>
      </c>
      <c r="BQ219" s="88">
        <f>ROUNDUP(BN219/12*209/(209+BU219*1.5)/BL219*BM219,-1)-BS219</f>
        <v>1957120</v>
      </c>
      <c r="BR219" s="88">
        <f>ROUNDUP(BN219/12*(BU219*1.5)/(209+BU219*1.5)/BL219*BM219,1)</f>
        <v>92890</v>
      </c>
      <c r="BS219" s="88">
        <v>200000</v>
      </c>
      <c r="BT219" s="89">
        <v>209</v>
      </c>
      <c r="BU219" s="49">
        <f>IF($BN219="","",
IFERROR(
    IF($BN219&lt;'[1]시간외시간 기준표'!$B$2,0,
        IF($BN219&gt;LOOKUP(9.9E+307,'[1]시간외시간 기준표'!$B$2:$B$999),
            LOOKUP(9.9E+307,'[1]시간외시간 기준표'!$C$2:$C$999),
            LOOKUP($BN219,'[1]시간외시간 기준표'!$B$2:$B$999,'[1]시간외시간 기준표'!$C$2:$C$999)
        )
    ),0)
)</f>
        <v>6</v>
      </c>
      <c r="BV219" s="89">
        <f>(BQ219+BS219)/209</f>
        <v>10321.148325358852</v>
      </c>
      <c r="BW219" s="71"/>
      <c r="BX219" s="71"/>
      <c r="BY219" s="90"/>
      <c r="BZ219" s="90"/>
      <c r="CA219" s="88"/>
      <c r="CB219" s="88"/>
      <c r="CC219" s="88"/>
      <c r="CD219" s="88"/>
      <c r="CE219" s="89"/>
      <c r="CF219" s="88"/>
      <c r="CG219" s="89"/>
      <c r="CH219" s="91"/>
      <c r="CI219" s="91"/>
      <c r="CJ219" s="92"/>
      <c r="CK219" s="92"/>
      <c r="CL219" s="88"/>
      <c r="CM219" s="88"/>
      <c r="CN219" s="88"/>
      <c r="CO219" s="89"/>
      <c r="CP219" s="89"/>
      <c r="CQ219" s="89"/>
      <c r="CR219" s="89"/>
      <c r="CS219" s="90"/>
      <c r="CT219" s="93"/>
      <c r="CU219" s="93"/>
      <c r="CV219" s="93"/>
      <c r="CW219" s="94"/>
      <c r="CX219" s="94"/>
      <c r="CY219" s="94"/>
      <c r="CZ219" s="95"/>
      <c r="DA219" s="95"/>
      <c r="DB219" s="96"/>
      <c r="DC219" s="97"/>
      <c r="DD219" s="98"/>
      <c r="DE219" s="98"/>
      <c r="DF219" s="97"/>
      <c r="DG219" s="99"/>
      <c r="DH219" s="98"/>
      <c r="DI219" s="98"/>
      <c r="DJ219" s="100"/>
      <c r="DK219" s="98"/>
      <c r="DL219" s="101"/>
      <c r="DM219" s="24"/>
    </row>
    <row r="220" spans="1:117" ht="15" customHeight="1">
      <c r="A220" s="74">
        <f>ROW()-2</f>
        <v>218</v>
      </c>
      <c r="B220" s="26">
        <v>260202</v>
      </c>
      <c r="C220" s="26" t="s">
        <v>2559</v>
      </c>
      <c r="D220" s="27"/>
      <c r="E220" s="27" t="s">
        <v>2544</v>
      </c>
      <c r="F220" s="27" t="s">
        <v>196</v>
      </c>
      <c r="G220" s="27" t="s">
        <v>240</v>
      </c>
      <c r="H220" s="27" t="s">
        <v>2545</v>
      </c>
      <c r="I220" s="27" t="s">
        <v>2560</v>
      </c>
      <c r="J220" s="27" t="str">
        <f>+VLOOKUP($I220,[1]프로젝트현황!$I:$N,5,0)</f>
        <v>서울시</v>
      </c>
      <c r="K220" s="27" t="str">
        <f>+VLOOKUP($I220,[1]프로젝트현황!$I:$N,6,0)</f>
        <v>구로구</v>
      </c>
      <c r="L220" s="68">
        <v>46055</v>
      </c>
      <c r="M220" s="28">
        <f>+L220</f>
        <v>46055</v>
      </c>
      <c r="N220" s="68"/>
      <c r="O220" s="75"/>
      <c r="P220" s="76" t="s">
        <v>2561</v>
      </c>
      <c r="Q220" s="26" t="s">
        <v>2562</v>
      </c>
      <c r="R220" s="77" t="str">
        <f>LEFT(Q220,6)</f>
        <v>970525</v>
      </c>
      <c r="S220" s="77" t="str">
        <f>MID($Q220,3,2)</f>
        <v>05</v>
      </c>
      <c r="T220" s="77" t="str">
        <f>IF(OR(MID($Q220,8,1)="1",MID($Q220,8,1)="3"),"남자",IF(OR(MID($Q220,8,1)="2",MID($Q220,8,1)="4"),"여자",""))</f>
        <v>남자</v>
      </c>
      <c r="U220" s="77">
        <f ca="1">YEAR(TODAY())-IF(OR(MID($Q220,8,1)="1",MID($Q220,8,1)="2"),19&amp;LEFT($Q220,2),IF(OR(MID($Q220,8,1)="3",MID($Q220,8,1)="4"),20&amp;LEFT($Q220,2),""))+1</f>
        <v>30</v>
      </c>
      <c r="V220" s="31" t="s">
        <v>2369</v>
      </c>
      <c r="W220" s="31" t="s">
        <v>2370</v>
      </c>
      <c r="X220" s="26" t="s">
        <v>2563</v>
      </c>
      <c r="Y220" s="26"/>
      <c r="Z220" s="26"/>
      <c r="AA220" s="78"/>
      <c r="AB220" s="31" t="s">
        <v>2386</v>
      </c>
      <c r="AC220" s="26"/>
      <c r="AD220" s="79" t="str">
        <f ca="1">QUOTIENT(SUMPRODUCT(LEFT($AE220:$AF220,FIND("년",$AE220:$AF220)-1)*12+MID($AE220:$AF220,FIND("년",$AE220:$AF220)+1,FIND("개월",$AE220:$AF220)-FIND("년",$AE220:$AF220)-1)),12)&amp;"년"&amp;MOD(SUMPRODUCT(LEFT($AE220:$AF220,FIND("년",$AE220:$AF220)-1)*12+MID($AE220:$AF220,FIND("년",$AE220:$AF220)+1,FIND("개월",$AE220:$AF220)-FIND("년",$AE220:$AF220)-1)),12)&amp;"개월"</f>
        <v>0년0개월</v>
      </c>
      <c r="AE220" s="79" t="s">
        <v>543</v>
      </c>
      <c r="AF220" s="80" t="str">
        <f ca="1">DATEDIF($L220,TODAY(),"y")&amp;"년"&amp;DATEDIF($L220,TODAY(),"ym")&amp;"개월"</f>
        <v>0년0개월</v>
      </c>
      <c r="AG220" s="81" t="s">
        <v>2564</v>
      </c>
      <c r="AH220" s="81"/>
      <c r="AI220" s="76" t="s">
        <v>2565</v>
      </c>
      <c r="AJ220" s="78">
        <v>42412</v>
      </c>
      <c r="AK220" s="36">
        <f ca="1">VALUE(LEFT($AD220,FIND("년",$AD220)-1))</f>
        <v>0</v>
      </c>
      <c r="AL220" s="31" t="b">
        <f>IF($AI220="학사",IF($AK220&lt;=8,"초급",IF($AK220&lt;12,"중급",IF($AK220&lt;15,"고급",IF($AK220&gt;=15,"특급")))))</f>
        <v>0</v>
      </c>
      <c r="AM220" s="31" t="str">
        <f>IF(ISNUMBER(SEARCH("산업기사",$AT220)),IF($AK220&gt;=13,"특급",IF($AK220&gt;=10,"고급",IF($AK220&gt;=7,"중급","초급"))),IF(ISNUMBER(SEARCH("기사",$AR220)),IF($AK220&gt;=10,"특급",IF($AK220&gt;=7,"고급",IF($AK220&gt;=4,"중급","초급"))),"미해당"))</f>
        <v>미해당</v>
      </c>
      <c r="AN220" s="26"/>
      <c r="AO220" s="78"/>
      <c r="AP220" s="26"/>
      <c r="AQ220" s="78"/>
      <c r="AR220" s="26"/>
      <c r="AS220" s="26"/>
      <c r="AT220" s="82"/>
      <c r="AU220" s="26"/>
      <c r="AV220" s="83"/>
      <c r="AW220" s="84"/>
      <c r="AX220" s="84"/>
      <c r="AY220" s="40" t="s">
        <v>2374</v>
      </c>
      <c r="AZ220" s="41" t="s">
        <v>2375</v>
      </c>
      <c r="BA220" s="76" t="s">
        <v>2218</v>
      </c>
      <c r="BB220" s="76" t="s">
        <v>2566</v>
      </c>
      <c r="BC220" s="85"/>
      <c r="BD220" s="85"/>
      <c r="BE220" s="64" t="s">
        <v>2567</v>
      </c>
      <c r="BF220" s="85" t="s">
        <v>2417</v>
      </c>
      <c r="BG220" s="85" t="s">
        <v>2568</v>
      </c>
      <c r="BH220" s="81" t="s">
        <v>2569</v>
      </c>
      <c r="BI220" s="86" t="s">
        <v>2570</v>
      </c>
      <c r="BJ220" s="45" t="s">
        <v>2558</v>
      </c>
      <c r="BK220" s="46" t="str">
        <f>(IF(BF220="","",BF220&amp;" "))&amp;(IF(BG220="","",BG220&amp;" "))&amp;(IF(BH220="","",BH220&amp;" "))&amp;BI220</f>
        <v>경기도 성남시 수정구 성남대로 1210 1006호</v>
      </c>
      <c r="BL220" s="70">
        <v>30</v>
      </c>
      <c r="BM220" s="70">
        <v>30</v>
      </c>
      <c r="BN220" s="87">
        <v>27000000</v>
      </c>
      <c r="BO220" s="87">
        <f>BP220*12</f>
        <v>27000120</v>
      </c>
      <c r="BP220" s="88">
        <f>SUM(BQ220:BS220)</f>
        <v>2250010</v>
      </c>
      <c r="BQ220" s="88">
        <f>ROUNDUP(BN220/12*209/(209+BU220*1.5)/BL220*BM220,-1)-BS220</f>
        <v>1957120</v>
      </c>
      <c r="BR220" s="88">
        <f>ROUNDUP(BN220/12*(BU220*1.5)/(209+BU220*1.5)/BL220*BM220,1)</f>
        <v>92890</v>
      </c>
      <c r="BS220" s="88">
        <v>200000</v>
      </c>
      <c r="BT220" s="89">
        <v>209</v>
      </c>
      <c r="BU220" s="49">
        <f>IF($BN220="","",
IFERROR(
    IF($BN220&lt;'[1]시간외시간 기준표'!$B$2,0,
        IF($BN220&gt;LOOKUP(9.9E+307,'[1]시간외시간 기준표'!$B$2:$B$999),
            LOOKUP(9.9E+307,'[1]시간외시간 기준표'!$C$2:$C$999),
            LOOKUP($BN220,'[1]시간외시간 기준표'!$B$2:$B$999,'[1]시간외시간 기준표'!$C$2:$C$999)
        )
    ),0)
)</f>
        <v>6</v>
      </c>
      <c r="BV220" s="89">
        <f>(BQ220+BS220)/209</f>
        <v>10321.148325358852</v>
      </c>
      <c r="BW220" s="71"/>
      <c r="BX220" s="71"/>
      <c r="BY220" s="90"/>
      <c r="BZ220" s="90"/>
      <c r="CA220" s="88"/>
      <c r="CB220" s="88"/>
      <c r="CC220" s="88"/>
      <c r="CD220" s="88"/>
      <c r="CE220" s="89"/>
      <c r="CF220" s="88"/>
      <c r="CG220" s="89"/>
      <c r="CH220" s="91"/>
      <c r="CI220" s="91"/>
      <c r="CJ220" s="92"/>
      <c r="CK220" s="92"/>
      <c r="CL220" s="88"/>
      <c r="CM220" s="88"/>
      <c r="CN220" s="88"/>
      <c r="CO220" s="89"/>
      <c r="CP220" s="89"/>
      <c r="CQ220" s="89"/>
      <c r="CR220" s="89"/>
      <c r="CS220" s="90"/>
      <c r="CT220" s="93"/>
      <c r="CU220" s="93"/>
      <c r="CV220" s="93"/>
      <c r="CW220" s="94"/>
      <c r="CX220" s="94"/>
      <c r="CY220" s="94"/>
      <c r="CZ220" s="95"/>
      <c r="DA220" s="95"/>
      <c r="DB220" s="96"/>
      <c r="DC220" s="97"/>
      <c r="DD220" s="98"/>
      <c r="DE220" s="98"/>
      <c r="DF220" s="97"/>
      <c r="DG220" s="99"/>
      <c r="DH220" s="98"/>
      <c r="DI220" s="98"/>
      <c r="DJ220" s="100"/>
      <c r="DK220" s="98"/>
      <c r="DL220" s="101"/>
      <c r="DM220" s="24"/>
    </row>
    <row r="221" spans="1:117" ht="15" customHeight="1">
      <c r="A221" s="74">
        <f>ROW()-2</f>
        <v>219</v>
      </c>
      <c r="B221" s="26">
        <v>260203</v>
      </c>
      <c r="C221" s="26" t="s">
        <v>2571</v>
      </c>
      <c r="D221" s="27"/>
      <c r="E221" s="27" t="s">
        <v>2544</v>
      </c>
      <c r="F221" s="27" t="s">
        <v>196</v>
      </c>
      <c r="G221" s="27" t="s">
        <v>240</v>
      </c>
      <c r="H221" s="27" t="s">
        <v>2545</v>
      </c>
      <c r="I221" s="27" t="s">
        <v>2546</v>
      </c>
      <c r="J221" s="27" t="str">
        <f>+VLOOKUP($I221,[1]프로젝트현황!$I:$N,5,0)</f>
        <v>서울시</v>
      </c>
      <c r="K221" s="27" t="str">
        <f>+VLOOKUP($I221,[1]프로젝트현황!$I:$N,6,0)</f>
        <v>구로구</v>
      </c>
      <c r="L221" s="68">
        <v>46055</v>
      </c>
      <c r="M221" s="28">
        <f>+L221</f>
        <v>46055</v>
      </c>
      <c r="N221" s="68"/>
      <c r="O221" s="75"/>
      <c r="P221" s="76" t="s">
        <v>2572</v>
      </c>
      <c r="Q221" s="26" t="s">
        <v>2573</v>
      </c>
      <c r="R221" s="77" t="str">
        <f>LEFT(Q221,6)</f>
        <v>051027</v>
      </c>
      <c r="S221" s="77" t="str">
        <f>MID($Q221,3,2)</f>
        <v>10</v>
      </c>
      <c r="T221" s="77" t="str">
        <f>IF(OR(MID($Q221,8,1)="1",MID($Q221,8,1)="3"),"남자",IF(OR(MID($Q221,8,1)="2",MID($Q221,8,1)="4"),"여자",""))</f>
        <v>여자</v>
      </c>
      <c r="U221" s="77">
        <f ca="1">YEAR(TODAY())-IF(OR(MID($Q221,8,1)="1",MID($Q221,8,1)="2"),19&amp;LEFT($Q221,2),IF(OR(MID($Q221,8,1)="3",MID($Q221,8,1)="4"),20&amp;LEFT($Q221,2),""))+1</f>
        <v>22</v>
      </c>
      <c r="V221" s="31" t="s">
        <v>2369</v>
      </c>
      <c r="W221" s="31" t="s">
        <v>2370</v>
      </c>
      <c r="X221" s="26" t="s">
        <v>2574</v>
      </c>
      <c r="Y221" s="26"/>
      <c r="Z221" s="26"/>
      <c r="AA221" s="78"/>
      <c r="AB221" s="31" t="s">
        <v>2386</v>
      </c>
      <c r="AC221" s="26"/>
      <c r="AD221" s="79" t="str">
        <f ca="1">QUOTIENT(SUMPRODUCT(LEFT($AE221:$AF221,FIND("년",$AE221:$AF221)-1)*12+MID($AE221:$AF221,FIND("년",$AE221:$AF221)+1,FIND("개월",$AE221:$AF221)-FIND("년",$AE221:$AF221)-1)),12)&amp;"년"&amp;MOD(SUMPRODUCT(LEFT($AE221:$AF221,FIND("년",$AE221:$AF221)-1)*12+MID($AE221:$AF221,FIND("년",$AE221:$AF221)+1,FIND("개월",$AE221:$AF221)-FIND("년",$AE221:$AF221)-1)),12)&amp;"개월"</f>
        <v>0년0개월</v>
      </c>
      <c r="AE221" s="79" t="s">
        <v>543</v>
      </c>
      <c r="AF221" s="80" t="str">
        <f ca="1">DATEDIF($L221,TODAY(),"y")&amp;"년"&amp;DATEDIF($L221,TODAY(),"ym")&amp;"개월"</f>
        <v>0년0개월</v>
      </c>
      <c r="AG221" s="81" t="s">
        <v>2575</v>
      </c>
      <c r="AH221" s="81" t="s">
        <v>2576</v>
      </c>
      <c r="AI221" s="76" t="s">
        <v>2552</v>
      </c>
      <c r="AJ221" s="78">
        <v>46065</v>
      </c>
      <c r="AK221" s="36">
        <f ca="1">VALUE(LEFT($AD221,FIND("년",$AD221)-1))</f>
        <v>0</v>
      </c>
      <c r="AL221" s="31" t="b">
        <f>IF($AI221="학사",IF($AK221&lt;=8,"초급",IF($AK221&lt;12,"중급",IF($AK221&lt;15,"고급",IF($AK221&gt;=15,"특급")))))</f>
        <v>0</v>
      </c>
      <c r="AM221" s="31" t="str">
        <f>IF(ISNUMBER(SEARCH("산업기사",$AT221)),IF($AK221&gt;=13,"특급",IF($AK221&gt;=10,"고급",IF($AK221&gt;=7,"중급","초급"))),IF(ISNUMBER(SEARCH("기사",$AR221)),IF($AK221&gt;=10,"특급",IF($AK221&gt;=7,"고급",IF($AK221&gt;=4,"중급","초급"))),"미해당"))</f>
        <v>미해당</v>
      </c>
      <c r="AN221" s="26"/>
      <c r="AO221" s="78"/>
      <c r="AP221" s="26"/>
      <c r="AQ221" s="78"/>
      <c r="AR221" s="26"/>
      <c r="AS221" s="26"/>
      <c r="AT221" s="82"/>
      <c r="AU221" s="26"/>
      <c r="AV221" s="83"/>
      <c r="AW221" s="84"/>
      <c r="AX221" s="84"/>
      <c r="AY221" s="40" t="s">
        <v>2374</v>
      </c>
      <c r="AZ221" s="41" t="s">
        <v>2375</v>
      </c>
      <c r="BA221" s="76"/>
      <c r="BB221" s="76"/>
      <c r="BC221" s="85"/>
      <c r="BD221" s="85"/>
      <c r="BE221" s="64" t="s">
        <v>2577</v>
      </c>
      <c r="BF221" s="85" t="s">
        <v>2578</v>
      </c>
      <c r="BG221" s="85" t="s">
        <v>2579</v>
      </c>
      <c r="BH221" s="81" t="s">
        <v>2580</v>
      </c>
      <c r="BI221" s="86" t="s">
        <v>2581</v>
      </c>
      <c r="BJ221" s="45" t="s">
        <v>2558</v>
      </c>
      <c r="BK221" s="46" t="s">
        <v>2582</v>
      </c>
      <c r="BL221" s="70">
        <v>30</v>
      </c>
      <c r="BM221" s="70">
        <v>30</v>
      </c>
      <c r="BN221" s="87">
        <v>27000000</v>
      </c>
      <c r="BO221" s="87">
        <f>BP221*12</f>
        <v>27000120</v>
      </c>
      <c r="BP221" s="88">
        <f>SUM(BQ221:BS221)</f>
        <v>2250010</v>
      </c>
      <c r="BQ221" s="88">
        <f>ROUNDUP(BN221/12*209/(209+BU221*1.5)/BL221*BM221,-1)-BS221</f>
        <v>1957120</v>
      </c>
      <c r="BR221" s="88">
        <f>ROUNDUP(BN221/12*(BU221*1.5)/(209+BU221*1.5)/BL221*BM221,1)</f>
        <v>92890</v>
      </c>
      <c r="BS221" s="88">
        <v>200000</v>
      </c>
      <c r="BT221" s="89">
        <v>209</v>
      </c>
      <c r="BU221" s="49">
        <f>IF($BN221="","",
IFERROR(
    IF($BN221&lt;'[1]시간외시간 기준표'!$B$2,0,
        IF($BN221&gt;LOOKUP(9.9E+307,'[1]시간외시간 기준표'!$B$2:$B$999),
            LOOKUP(9.9E+307,'[1]시간외시간 기준표'!$C$2:$C$999),
            LOOKUP($BN221,'[1]시간외시간 기준표'!$B$2:$B$999,'[1]시간외시간 기준표'!$C$2:$C$999)
        )
    ),0)
)</f>
        <v>6</v>
      </c>
      <c r="BV221" s="89">
        <f>(BQ221+BS221)/209</f>
        <v>10321.148325358852</v>
      </c>
      <c r="BW221" s="71"/>
      <c r="BX221" s="71"/>
      <c r="BY221" s="90"/>
      <c r="BZ221" s="90"/>
      <c r="CA221" s="88"/>
      <c r="CB221" s="88"/>
      <c r="CC221" s="88"/>
      <c r="CD221" s="88"/>
      <c r="CE221" s="89"/>
      <c r="CF221" s="88"/>
      <c r="CG221" s="89"/>
      <c r="CH221" s="91"/>
      <c r="CI221" s="91"/>
      <c r="CJ221" s="92"/>
      <c r="CK221" s="92"/>
      <c r="CL221" s="88"/>
      <c r="CM221" s="88"/>
      <c r="CN221" s="88"/>
      <c r="CO221" s="89"/>
      <c r="CP221" s="89"/>
      <c r="CQ221" s="89"/>
      <c r="CR221" s="89"/>
      <c r="CS221" s="90"/>
      <c r="CT221" s="93"/>
      <c r="CU221" s="93"/>
      <c r="CV221" s="93"/>
      <c r="CW221" s="94"/>
      <c r="CX221" s="94"/>
      <c r="CY221" s="94"/>
      <c r="CZ221" s="95"/>
      <c r="DA221" s="95"/>
      <c r="DB221" s="96"/>
      <c r="DC221" s="97"/>
      <c r="DD221" s="98"/>
      <c r="DE221" s="98"/>
      <c r="DF221" s="97"/>
      <c r="DG221" s="99"/>
      <c r="DH221" s="98"/>
      <c r="DI221" s="98"/>
      <c r="DJ221" s="100"/>
      <c r="DK221" s="98"/>
      <c r="DL221" s="101"/>
      <c r="DM221" s="24"/>
    </row>
    <row r="222" spans="1:117" ht="15" customHeight="1">
      <c r="A222" s="74">
        <f>ROW()-2</f>
        <v>220</v>
      </c>
      <c r="B222" s="26">
        <v>260204</v>
      </c>
      <c r="C222" s="26" t="s">
        <v>2583</v>
      </c>
      <c r="D222" s="27"/>
      <c r="E222" s="27" t="s">
        <v>2584</v>
      </c>
      <c r="F222" s="27" t="s">
        <v>196</v>
      </c>
      <c r="G222" s="27" t="s">
        <v>240</v>
      </c>
      <c r="H222" s="27" t="s">
        <v>217</v>
      </c>
      <c r="I222" s="27" t="s">
        <v>432</v>
      </c>
      <c r="J222" s="27" t="str">
        <f>+VLOOKUP($I222,[1]프로젝트현황!$I:$N,5,0)</f>
        <v>서울시</v>
      </c>
      <c r="K222" s="27" t="str">
        <f>+VLOOKUP($I222,[1]프로젝트현황!$I:$N,6,0)</f>
        <v>중구</v>
      </c>
      <c r="L222" s="68">
        <v>46055</v>
      </c>
      <c r="M222" s="28">
        <f>+L222</f>
        <v>46055</v>
      </c>
      <c r="N222" s="68"/>
      <c r="O222" s="75"/>
      <c r="P222" s="76" t="s">
        <v>2585</v>
      </c>
      <c r="Q222" s="26" t="s">
        <v>2586</v>
      </c>
      <c r="R222" s="77" t="s">
        <v>2587</v>
      </c>
      <c r="S222" s="77" t="s">
        <v>2588</v>
      </c>
      <c r="T222" s="77" t="s">
        <v>2589</v>
      </c>
      <c r="U222" s="77">
        <v>55</v>
      </c>
      <c r="V222" s="31" t="s">
        <v>2369</v>
      </c>
      <c r="W222" s="31" t="s">
        <v>2370</v>
      </c>
      <c r="X222" s="26" t="s">
        <v>2590</v>
      </c>
      <c r="Y222" s="26"/>
      <c r="Z222" s="26"/>
      <c r="AA222" s="78"/>
      <c r="AB222" s="31" t="s">
        <v>2386</v>
      </c>
      <c r="AC222" s="26"/>
      <c r="AD222" s="79" t="str">
        <f ca="1">QUOTIENT(SUMPRODUCT(LEFT($AE222:$AF222,FIND("년",$AE222:$AF222)-1)*12+MID($AE222:$AF222,FIND("년",$AE222:$AF222)+1,FIND("개월",$AE222:$AF222)-FIND("년",$AE222:$AF222)-1)),12)&amp;"년"&amp;MOD(SUMPRODUCT(LEFT($AE222:$AF222,FIND("년",$AE222:$AF222)-1)*12+MID($AE222:$AF222,FIND("년",$AE222:$AF222)+1,FIND("개월",$AE222:$AF222)-FIND("년",$AE222:$AF222)-1)),12)&amp;"개월"</f>
        <v>0년0개월</v>
      </c>
      <c r="AE222" s="79" t="s">
        <v>543</v>
      </c>
      <c r="AF222" s="80" t="str">
        <f ca="1">DATEDIF($L222,TODAY(),"y")&amp;"년"&amp;DATEDIF($L222,TODAY(),"ym")&amp;"개월"</f>
        <v>0년0개월</v>
      </c>
      <c r="AG222" s="81" t="s">
        <v>2591</v>
      </c>
      <c r="AH222" s="81" t="s">
        <v>2592</v>
      </c>
      <c r="AI222" s="76" t="s">
        <v>2267</v>
      </c>
      <c r="AJ222" s="78">
        <v>36769</v>
      </c>
      <c r="AK222" s="36">
        <f ca="1">VALUE(LEFT($AD222,FIND("년",$AD222)-1))</f>
        <v>0</v>
      </c>
      <c r="AL222" s="31" t="str">
        <f ca="1">IF($AI222="학사",IF($AK222&lt;=8,"초급",IF($AK222&lt;12,"중급",IF($AK222&lt;15,"고급",IF($AK222&gt;=15,"특급")))))</f>
        <v>초급</v>
      </c>
      <c r="AM222" s="31" t="str">
        <f>IF(ISNUMBER(SEARCH("산업기사",$AT222)),IF($AK222&gt;=13,"특급",IF($AK222&gt;=10,"고급",IF($AK222&gt;=7,"중급","초급"))),IF(ISNUMBER(SEARCH("기사",$AR222)),IF($AK222&gt;=10,"특급",IF($AK222&gt;=7,"고급",IF($AK222&gt;=4,"중급","초급"))),"미해당"))</f>
        <v>미해당</v>
      </c>
      <c r="AN222" s="26"/>
      <c r="AO222" s="78"/>
      <c r="AP222" s="26"/>
      <c r="AQ222" s="78"/>
      <c r="AR222" s="26"/>
      <c r="AS222" s="26"/>
      <c r="AT222" s="82"/>
      <c r="AU222" s="26"/>
      <c r="AV222" s="83"/>
      <c r="AW222" s="84"/>
      <c r="AX222" s="84"/>
      <c r="AY222" s="40" t="s">
        <v>2374</v>
      </c>
      <c r="AZ222" s="41" t="s">
        <v>2375</v>
      </c>
      <c r="BA222" s="76" t="s">
        <v>2218</v>
      </c>
      <c r="BB222" s="76" t="s">
        <v>2593</v>
      </c>
      <c r="BC222" s="85"/>
      <c r="BD222" s="85"/>
      <c r="BE222" s="69" t="s">
        <v>2594</v>
      </c>
      <c r="BF222" s="85" t="s">
        <v>2417</v>
      </c>
      <c r="BG222" s="85" t="s">
        <v>2595</v>
      </c>
      <c r="BH222" s="81" t="s">
        <v>2596</v>
      </c>
      <c r="BI222" s="86" t="s">
        <v>2597</v>
      </c>
      <c r="BJ222" s="45" t="s">
        <v>2558</v>
      </c>
      <c r="BK222" s="46" t="s">
        <v>2598</v>
      </c>
      <c r="BL222" s="70">
        <v>30</v>
      </c>
      <c r="BM222" s="70">
        <v>30</v>
      </c>
      <c r="BN222" s="87">
        <v>65000000</v>
      </c>
      <c r="BO222" s="87">
        <f>BP222*12</f>
        <v>65000106</v>
      </c>
      <c r="BP222" s="88">
        <f>SUM(BQ222:BS222)</f>
        <v>5416675.5</v>
      </c>
      <c r="BQ222" s="88">
        <f>ROUNDUP(BN222/12*209/(209+BU222*1.5)/BL222*BM222,-1)-BS222</f>
        <v>3744550</v>
      </c>
      <c r="BR222" s="88">
        <f>ROUNDUP(BN222/12*(BU222*1.5)/(209+BU222*1.5)/BL222*BM222,1)</f>
        <v>1472125.5</v>
      </c>
      <c r="BS222" s="88">
        <v>200000</v>
      </c>
      <c r="BT222" s="89">
        <v>209</v>
      </c>
      <c r="BU222" s="49">
        <f>IF($BN222="","",
IFERROR(
    IF($BN222&lt;'[1]시간외시간 기준표'!$B$2,0,
        IF($BN222&gt;LOOKUP(9.9E+307,'[1]시간외시간 기준표'!$B$2:$B$999),
            LOOKUP(9.9E+307,'[1]시간외시간 기준표'!$C$2:$C$999),
            LOOKUP($BN222,'[1]시간외시간 기준표'!$B$2:$B$999,'[1]시간외시간 기준표'!$C$2:$C$999)
        )
    ),0)
)</f>
        <v>52</v>
      </c>
      <c r="BV222" s="89">
        <f>(BQ222+BS222)/209</f>
        <v>18873.444976076556</v>
      </c>
      <c r="BW222" s="71"/>
      <c r="BX222" s="71"/>
      <c r="BY222" s="90"/>
      <c r="BZ222" s="90"/>
      <c r="CA222" s="88"/>
      <c r="CB222" s="88"/>
      <c r="CC222" s="88"/>
      <c r="CD222" s="88"/>
      <c r="CE222" s="89"/>
      <c r="CF222" s="88"/>
      <c r="CG222" s="89"/>
      <c r="CH222" s="91"/>
      <c r="CI222" s="91"/>
      <c r="CJ222" s="92"/>
      <c r="CK222" s="92"/>
      <c r="CL222" s="88"/>
      <c r="CM222" s="88"/>
      <c r="CN222" s="88"/>
      <c r="CO222" s="89"/>
      <c r="CP222" s="89"/>
      <c r="CQ222" s="89"/>
      <c r="CR222" s="89"/>
      <c r="CS222" s="90"/>
      <c r="CT222" s="93"/>
      <c r="CU222" s="93"/>
      <c r="CV222" s="93"/>
      <c r="CW222" s="94"/>
      <c r="CX222" s="94"/>
      <c r="CY222" s="94"/>
      <c r="CZ222" s="95"/>
      <c r="DA222" s="95"/>
      <c r="DB222" s="96"/>
      <c r="DC222" s="97"/>
      <c r="DD222" s="98"/>
      <c r="DE222" s="98"/>
      <c r="DF222" s="97"/>
      <c r="DG222" s="99"/>
      <c r="DH222" s="98"/>
      <c r="DI222" s="98"/>
      <c r="DJ222" s="100"/>
      <c r="DK222" s="98"/>
      <c r="DL222" s="101"/>
      <c r="DM222" s="24"/>
    </row>
    <row r="223" spans="1:117" s="63" customFormat="1" ht="15" customHeight="1">
      <c r="A223" s="74">
        <f>ROW()-2</f>
        <v>221</v>
      </c>
      <c r="B223" s="26">
        <v>260205</v>
      </c>
      <c r="C223" s="102" t="s">
        <v>2599</v>
      </c>
      <c r="D223" s="27"/>
      <c r="E223" s="27" t="s">
        <v>2544</v>
      </c>
      <c r="F223" s="27" t="s">
        <v>196</v>
      </c>
      <c r="G223" s="27" t="s">
        <v>240</v>
      </c>
      <c r="H223" s="27" t="s">
        <v>260</v>
      </c>
      <c r="I223" s="27" t="s">
        <v>2600</v>
      </c>
      <c r="J223" s="27" t="str">
        <f>+VLOOKUP($I223,[1]프로젝트현황!$I:$N,5,0)</f>
        <v>서울시</v>
      </c>
      <c r="K223" s="27" t="str">
        <f>+VLOOKUP($I223,[1]프로젝트현황!$I:$N,6,0)</f>
        <v>중구</v>
      </c>
      <c r="L223" s="68">
        <v>46062</v>
      </c>
      <c r="M223" s="28">
        <f>+L223</f>
        <v>46062</v>
      </c>
      <c r="N223" s="68"/>
      <c r="O223" s="75"/>
      <c r="P223" s="76" t="s">
        <v>2601</v>
      </c>
      <c r="Q223" s="26" t="s">
        <v>2602</v>
      </c>
      <c r="R223" s="77" t="str">
        <f>LEFT(Q223,6)</f>
        <v>030927</v>
      </c>
      <c r="S223" s="77" t="str">
        <f>MID($Q223,3,2)</f>
        <v>09</v>
      </c>
      <c r="T223" s="77" t="str">
        <f>IF(OR(MID($Q223,8,1)="1",MID($Q223,8,1)="3"),"남자",IF(OR(MID($Q223,8,1)="2",MID($Q223,8,1)="4"),"여자",""))</f>
        <v>여자</v>
      </c>
      <c r="U223" s="77">
        <f ca="1">YEAR(TODAY())-IF(OR(MID($Q223,8,1)="1",MID($Q223,8,1)="2"),19&amp;LEFT($Q223,2),IF(OR(MID($Q223,8,1)="3",MID($Q223,8,1)="4"),20&amp;LEFT($Q223,2),""))+1</f>
        <v>24</v>
      </c>
      <c r="V223" s="31" t="s">
        <v>2369</v>
      </c>
      <c r="W223" s="31" t="s">
        <v>2370</v>
      </c>
      <c r="X223" s="26" t="s">
        <v>2603</v>
      </c>
      <c r="Y223" s="26"/>
      <c r="Z223" s="26"/>
      <c r="AA223" s="78"/>
      <c r="AB223" s="31" t="s">
        <v>2386</v>
      </c>
      <c r="AC223" s="26"/>
      <c r="AD223" s="79" t="str">
        <f ca="1">QUOTIENT(SUMPRODUCT(LEFT($AE223:$AF223,FIND("년",$AE223:$AF223)-1)*12+MID($AE223:$AF223,FIND("년",$AE223:$AF223)+1,FIND("개월",$AE223:$AF223)-FIND("년",$AE223:$AF223)-1)),12)&amp;"년"&amp;MOD(SUMPRODUCT(LEFT($AE223:$AF223,FIND("년",$AE223:$AF223)-1)*12+MID($AE223:$AF223,FIND("년",$AE223:$AF223)+1,FIND("개월",$AE223:$AF223)-FIND("년",$AE223:$AF223)-1)),12)&amp;"개월"</f>
        <v>0년0개월</v>
      </c>
      <c r="AE223" s="79" t="s">
        <v>543</v>
      </c>
      <c r="AF223" s="80" t="str">
        <f ca="1">DATEDIF($L223,TODAY(),"y")&amp;"년"&amp;DATEDIF($L223,TODAY(),"ym")&amp;"개월"</f>
        <v>0년0개월</v>
      </c>
      <c r="AG223" s="81" t="s">
        <v>2550</v>
      </c>
      <c r="AH223" s="81" t="s">
        <v>2551</v>
      </c>
      <c r="AI223" s="76" t="s">
        <v>2552</v>
      </c>
      <c r="AJ223" s="78">
        <v>46053</v>
      </c>
      <c r="AK223" s="36">
        <f ca="1">VALUE(LEFT($AD223,FIND("년",$AD223)-1))</f>
        <v>0</v>
      </c>
      <c r="AL223" s="31" t="b">
        <f>IF($AI223="학사",IF($AK223&lt;=8,"초급",IF($AK223&lt;12,"중급",IF($AK223&lt;15,"고급",IF($AK223&gt;=15,"특급")))))</f>
        <v>0</v>
      </c>
      <c r="AM223" s="31" t="str">
        <f>IF(ISNUMBER(SEARCH("산업기사",$AT223)),IF($AK223&gt;=13,"특급",IF($AK223&gt;=10,"고급",IF($AK223&gt;=7,"중급","초급"))),IF(ISNUMBER(SEARCH("기사",$AR223)),IF($AK223&gt;=10,"특급",IF($AK223&gt;=7,"고급",IF($AK223&gt;=4,"중급","초급"))),"미해당"))</f>
        <v>미해당</v>
      </c>
      <c r="AN223" s="26"/>
      <c r="AO223" s="78"/>
      <c r="AP223" s="26"/>
      <c r="AQ223" s="78"/>
      <c r="AR223" s="26"/>
      <c r="AS223" s="26"/>
      <c r="AT223" s="82"/>
      <c r="AU223" s="26"/>
      <c r="AV223" s="83"/>
      <c r="AW223" s="84"/>
      <c r="AX223" s="84"/>
      <c r="AY223" s="40" t="s">
        <v>2374</v>
      </c>
      <c r="AZ223" s="41" t="s">
        <v>2375</v>
      </c>
      <c r="BA223" s="76" t="s">
        <v>2604</v>
      </c>
      <c r="BB223" s="76" t="s">
        <v>2605</v>
      </c>
      <c r="BC223" s="85"/>
      <c r="BD223" s="85"/>
      <c r="BE223" s="69" t="s">
        <v>2606</v>
      </c>
      <c r="BF223" s="85" t="s">
        <v>2417</v>
      </c>
      <c r="BG223" s="85" t="s">
        <v>2607</v>
      </c>
      <c r="BH223" s="81" t="s">
        <v>2608</v>
      </c>
      <c r="BI223" s="86" t="s">
        <v>2609</v>
      </c>
      <c r="BJ223" s="45" t="s">
        <v>2558</v>
      </c>
      <c r="BK223" s="46" t="str">
        <f>(IF(BF223="","",BF223&amp;" "))&amp;(IF(BG223="","",BG223&amp;" "))&amp;(IF(BH223="","",BH223&amp;" "))&amp;BI223</f>
        <v>경기도 파주시 조리읍 능안로 37 109동 1106호</v>
      </c>
      <c r="BL223" s="70">
        <v>30</v>
      </c>
      <c r="BM223" s="70">
        <v>30</v>
      </c>
      <c r="BN223" s="87">
        <v>27000000</v>
      </c>
      <c r="BO223" s="87">
        <f>BP223*12</f>
        <v>27000120</v>
      </c>
      <c r="BP223" s="88">
        <f>SUM(BQ223:BS223)</f>
        <v>2250010</v>
      </c>
      <c r="BQ223" s="88">
        <f>ROUNDUP(BN223/12*209/(209+BU223*1.5)/BL223*BM223,-1)-BS223</f>
        <v>1957120</v>
      </c>
      <c r="BR223" s="88">
        <f>ROUNDUP(BN223/12*(BU223*1.5)/(209+BU223*1.5)/BL223*BM223,1)</f>
        <v>92890</v>
      </c>
      <c r="BS223" s="88">
        <v>200000</v>
      </c>
      <c r="BT223" s="89">
        <v>209</v>
      </c>
      <c r="BU223" s="49">
        <f>IF($BN223="","",
IFERROR(
    IF($BN223&lt;'[1]시간외시간 기준표'!$B$2,0,
        IF($BN223&gt;LOOKUP(9.9E+307,'[1]시간외시간 기준표'!$B$2:$B$999),
            LOOKUP(9.9E+307,'[1]시간외시간 기준표'!$C$2:$C$999),
            LOOKUP($BN223,'[1]시간외시간 기준표'!$B$2:$B$999,'[1]시간외시간 기준표'!$C$2:$C$999)
        )
    ),0)
)</f>
        <v>6</v>
      </c>
      <c r="BV223" s="89">
        <f>(BQ223+BS223)/209</f>
        <v>10321.148325358852</v>
      </c>
      <c r="BW223" s="71"/>
      <c r="BX223" s="71"/>
      <c r="BY223" s="90"/>
      <c r="BZ223" s="90"/>
      <c r="CA223" s="88"/>
      <c r="CB223" s="88"/>
      <c r="CC223" s="88"/>
      <c r="CD223" s="88"/>
      <c r="CE223" s="89"/>
      <c r="CF223" s="88"/>
      <c r="CG223" s="89"/>
      <c r="CH223" s="91"/>
      <c r="CI223" s="91"/>
      <c r="CJ223" s="92"/>
      <c r="CK223" s="92"/>
      <c r="CL223" s="88"/>
      <c r="CM223" s="88"/>
      <c r="CN223" s="88"/>
      <c r="CO223" s="89"/>
      <c r="CP223" s="89"/>
      <c r="CQ223" s="89"/>
      <c r="CR223" s="89"/>
      <c r="CS223" s="90"/>
      <c r="CT223" s="93"/>
      <c r="CU223" s="93"/>
      <c r="CV223" s="93"/>
      <c r="CW223" s="94"/>
      <c r="CX223" s="94"/>
      <c r="CY223" s="94"/>
      <c r="CZ223" s="95"/>
      <c r="DA223" s="95"/>
      <c r="DB223" s="96"/>
      <c r="DC223" s="97"/>
      <c r="DD223" s="98"/>
      <c r="DE223" s="98"/>
      <c r="DF223" s="97"/>
      <c r="DG223" s="99"/>
      <c r="DH223" s="98"/>
      <c r="DI223" s="98"/>
      <c r="DJ223" s="100"/>
      <c r="DK223" s="98"/>
      <c r="DL223" s="101"/>
      <c r="DM223" s="24"/>
    </row>
    <row r="224" spans="1:117" s="63" customFormat="1" ht="15" customHeight="1">
      <c r="A224" s="25">
        <f>ROW()-2</f>
        <v>222</v>
      </c>
      <c r="B224" s="26">
        <v>8250101</v>
      </c>
      <c r="C224" s="27" t="s">
        <v>2610</v>
      </c>
      <c r="D224" s="27"/>
      <c r="E224" s="27" t="s">
        <v>613</v>
      </c>
      <c r="F224" s="27" t="s">
        <v>2611</v>
      </c>
      <c r="G224" s="27" t="s">
        <v>240</v>
      </c>
      <c r="H224" s="27" t="s">
        <v>260</v>
      </c>
      <c r="I224" s="27" t="s">
        <v>1850</v>
      </c>
      <c r="J224" s="27" t="str">
        <f>+VLOOKUP($I224,[1]프로젝트현황!$I:$N,5,0)</f>
        <v>서울시</v>
      </c>
      <c r="K224" s="27" t="str">
        <f>+VLOOKUP($I224,[1]프로젝트현황!$I:$N,6,0)</f>
        <v>구로구</v>
      </c>
      <c r="L224" s="28">
        <v>46024</v>
      </c>
      <c r="M224" s="28">
        <f>+L224</f>
        <v>46024</v>
      </c>
      <c r="N224" s="28"/>
      <c r="O224" s="29"/>
      <c r="P224" s="30" t="s">
        <v>2612</v>
      </c>
      <c r="Q224" s="27" t="s">
        <v>2613</v>
      </c>
      <c r="R224" s="31" t="str">
        <f>LEFT(Q224,6)</f>
        <v>030301</v>
      </c>
      <c r="S224" s="31" t="str">
        <f>MID($Q224,3,2)</f>
        <v>03</v>
      </c>
      <c r="T224" s="31" t="str">
        <f>IF(OR(MID($Q224,8,1)="1",MID($Q224,8,1)="3"),"남자",IF(OR(MID($Q224,8,1)="2",MID($Q224,8,1)="4"),"여자",""))</f>
        <v>여자</v>
      </c>
      <c r="U224" s="31">
        <f ca="1">YEAR(TODAY())-IF(OR(MID($Q224,8,1)="1",MID($Q224,8,1)="2"),19&amp;LEFT($Q224,2),IF(OR(MID($Q224,8,1)="3",MID($Q224,8,1)="4"),20&amp;LEFT($Q224,2),""))+1</f>
        <v>24</v>
      </c>
      <c r="V224" s="31" t="s">
        <v>200</v>
      </c>
      <c r="W224" s="31" t="s">
        <v>201</v>
      </c>
      <c r="X224" s="27" t="s">
        <v>2614</v>
      </c>
      <c r="Y224" s="27"/>
      <c r="Z224" s="27"/>
      <c r="AA224" s="32"/>
      <c r="AB224" s="31" t="s">
        <v>203</v>
      </c>
      <c r="AC224" s="27"/>
      <c r="AD224" s="33" t="str">
        <f ca="1">QUOTIENT(SUMPRODUCT(LEFT($AE224:$AF224,FIND("년",$AE224:$AF224)-1)*12+MID($AE224:$AF224,FIND("년",$AE224:$AF224)+1,FIND("개월",$AE224:$AF224)-FIND("년",$AE224:$AF224)-1)),12)&amp;"년"&amp;MOD(SUMPRODUCT(LEFT($AE224:$AF224,FIND("년",$AE224:$AF224)-1)*12+MID($AE224:$AF224,FIND("년",$AE224:$AF224)+1,FIND("개월",$AE224:$AF224)-FIND("년",$AE224:$AF224)-1)),12)&amp;"개월"</f>
        <v>0년1개월</v>
      </c>
      <c r="AE224" s="33" t="s">
        <v>543</v>
      </c>
      <c r="AF224" s="34" t="str">
        <f ca="1">DATEDIF($L224,TODAY(),"y")&amp;"년"&amp;DATEDIF($L224,TODAY(),"ym")&amp;"개월"</f>
        <v>0년1개월</v>
      </c>
      <c r="AG224" s="35" t="s">
        <v>2615</v>
      </c>
      <c r="AH224" s="35"/>
      <c r="AI224" s="30" t="s">
        <v>270</v>
      </c>
      <c r="AJ224" s="32" t="s">
        <v>1634</v>
      </c>
      <c r="AK224" s="36">
        <f ca="1">VALUE(LEFT($AD224,FIND("년",$AD224)-1))</f>
        <v>0</v>
      </c>
      <c r="AL224" s="31" t="str">
        <f ca="1">IF($AI224="학사",IF($AK224&lt;=5,"초급",IF($AK224&lt;9,"중급",IF($AK224&lt;12,"고급",IF($AK224&gt;=12,"특급")))))</f>
        <v>초급</v>
      </c>
      <c r="AM224" s="31" t="str">
        <f>IF(ISNUMBER(SEARCH("산업기사",$AT224)),IF($AK224&gt;=13,"특급",IF($AK224&gt;=10,"고급",IF($AK224&gt;=7,"중급","초급"))),IF(ISNUMBER(SEARCH("기사",$AR224)),IF($AK224&gt;=10,"특급",IF($AK224&gt;=7,"고급",IF($AK224&gt;=4,"중급","초급"))),"미해당"))</f>
        <v>미해당</v>
      </c>
      <c r="AN224" s="27"/>
      <c r="AO224" s="32"/>
      <c r="AP224" s="27"/>
      <c r="AQ224" s="32"/>
      <c r="AR224" s="27"/>
      <c r="AS224" s="27"/>
      <c r="AT224" s="37"/>
      <c r="AU224" s="27"/>
      <c r="AV224" s="38"/>
      <c r="AW224" s="39"/>
      <c r="AX224" s="39"/>
      <c r="AY224" s="40" t="s">
        <v>251</v>
      </c>
      <c r="AZ224" s="41" t="s">
        <v>252</v>
      </c>
      <c r="BA224" s="30" t="s">
        <v>2616</v>
      </c>
      <c r="BB224" s="30" t="s">
        <v>2617</v>
      </c>
      <c r="BC224" s="42" t="s">
        <v>254</v>
      </c>
      <c r="BD224" s="42" t="s">
        <v>2614</v>
      </c>
      <c r="BE224" s="69" t="s">
        <v>2618</v>
      </c>
      <c r="BF224" s="42" t="s">
        <v>234</v>
      </c>
      <c r="BG224" s="42" t="s">
        <v>328</v>
      </c>
      <c r="BH224" s="35" t="s">
        <v>1617</v>
      </c>
      <c r="BI224" s="44" t="s">
        <v>2619</v>
      </c>
      <c r="BJ224" s="45" t="str">
        <f>IFERROR(VLOOKUP($BG224,[1]프로젝트현황!Y:Z,2,0),"기타")</f>
        <v>동남권</v>
      </c>
      <c r="BK224" s="46" t="str">
        <f>(IF(BF224="","",BF224&amp;" "))&amp;(IF(BG224="","",BG224&amp;" "))&amp;(IF(BH224="","",BH224&amp;" "))&amp;BI224</f>
        <v>경기도 성남시 수정구 수정로58, 303호(수진동,세일띠아모아파트)</v>
      </c>
      <c r="BL224" s="47">
        <v>30</v>
      </c>
      <c r="BM224" s="47">
        <v>30</v>
      </c>
      <c r="BN224" s="87">
        <f>1083600*12</f>
        <v>13003200</v>
      </c>
      <c r="BO224" s="48">
        <f>BP224*12</f>
        <v>13003200</v>
      </c>
      <c r="BP224" s="49">
        <f>SUM(BQ224:BS224)</f>
        <v>1083600</v>
      </c>
      <c r="BQ224" s="49">
        <v>883600</v>
      </c>
      <c r="BR224" s="49">
        <v>0</v>
      </c>
      <c r="BS224" s="49">
        <v>200000</v>
      </c>
      <c r="BT224" s="50">
        <v>209</v>
      </c>
      <c r="BU224" s="49">
        <f>IF($BN224="","",
IFERROR(
    IF($BN224&lt;'[1]시간외시간 기준표'!$B$2,0,
        IF($BN224&gt;LOOKUP(9.9E+307,'[1]시간외시간 기준표'!$B$2:$B$999),
            LOOKUP(9.9E+307,'[1]시간외시간 기준표'!$C$2:$C$999),
            LOOKUP($BN224,'[1]시간외시간 기준표'!$B$2:$B$999,'[1]시간외시간 기준표'!$C$2:$C$999)
        )
    ),0)
)</f>
        <v>0</v>
      </c>
      <c r="BV224" s="50">
        <f>(BQ224+BS224)/209</f>
        <v>5184.6889952153106</v>
      </c>
      <c r="BW224" s="51">
        <v>30</v>
      </c>
      <c r="BX224" s="51">
        <v>30</v>
      </c>
      <c r="BY224" s="52">
        <f>1050000*12</f>
        <v>12600000</v>
      </c>
      <c r="BZ224" s="52">
        <f>CA224*12</f>
        <v>12600000</v>
      </c>
      <c r="CA224" s="49">
        <f>SUM(CB224:CD224)</f>
        <v>1050000</v>
      </c>
      <c r="CB224" s="49">
        <f>ROUNDUP(BY224/12*209/(209+CF224*1.5)/BW224*BX224,-1)-CD224</f>
        <v>850000</v>
      </c>
      <c r="CC224" s="49">
        <f>ROUNDUP(BY224/12*(CF224*1.5)/(209+CF224*1.5)/BW224*BX224,1)</f>
        <v>0</v>
      </c>
      <c r="CD224" s="49">
        <v>200000</v>
      </c>
      <c r="CE224" s="50">
        <v>209</v>
      </c>
      <c r="CF224" s="49">
        <f>IF(BY224&lt;26000000,0,IF(BY224&lt;26500000,4,IF(BY224&lt;27000000,7,IF(BY224&lt;27500000,9,IF(BY224&lt;28000000,11,IF(BY224&lt;28500000,15,IF(BY224&lt;29000000,17,IF(BY224&lt;29500000,20,IF(BY224&lt;30000000,23,IF(BY224&lt;30500000,25,IF(BY224&lt;31000000,27,IF(BY224&lt;31500000,29,IF(BY224&lt;32000000,33,IF(BY224&lt;32500000,37,IF(BY224&lt;33000000,39,IF(BY224&lt;33500000,42,IF(BY224&lt;34000000,45,IF(BY224&lt;34500000,48,IF(BY224&lt;35000000,52,52)))))))))))))))))))</f>
        <v>0</v>
      </c>
      <c r="CG224" s="50">
        <f>(CB224+CD224)/209</f>
        <v>5023.923444976077</v>
      </c>
      <c r="CH224" s="66">
        <v>30</v>
      </c>
      <c r="CI224" s="66">
        <v>30</v>
      </c>
      <c r="CJ224" s="67">
        <f>1050000*12</f>
        <v>12600000</v>
      </c>
      <c r="CK224" s="67">
        <f>CL224*12</f>
        <v>12600000</v>
      </c>
      <c r="CL224" s="49">
        <f>SUM(CM224:CO224)</f>
        <v>1050000</v>
      </c>
      <c r="CM224" s="49">
        <f>ROUNDUP(CJ224/12*209/(209+CQ224*1.5)/CH224*CI224,-1)-CO224</f>
        <v>850000</v>
      </c>
      <c r="CN224" s="49">
        <f>ROUNDUP(CJ224/12*(CQ224*1.5)/(209+CQ224*1.5)/CH224*CI224,1)</f>
        <v>0</v>
      </c>
      <c r="CO224" s="50">
        <v>200000</v>
      </c>
      <c r="CP224" s="50">
        <v>209</v>
      </c>
      <c r="CQ224" s="50">
        <f>IF(CJ224&lt;26000000,0,IF(CJ224&lt;26500000,4,IF(CJ224&lt;27000000,7,IF(CJ224&lt;27500000,9,IF(CJ224&lt;28000000,11,IF(CJ224&lt;28500000,15,IF(CJ224&lt;29000000,17,IF(CJ224&lt;29500000,20,IF(CJ224&lt;30000000,23,IF(CJ224&lt;30500000,25,IF(CJ224&lt;31000000,27,IF(CJ224&lt;31500000,29,IF(CJ224&lt;32000000,33,IF(CJ224&lt;32500000,37,IF(CJ224&lt;33000000,39,IF(CJ224&lt;33500000,42,IF(CJ224&lt;34000000,45,IF(CJ224&lt;34500000,48,IF(CJ224&lt;35000000,52,52)))))))))))))))))))</f>
        <v>0</v>
      </c>
      <c r="CR224" s="50">
        <f>(CM224+CO224)/209</f>
        <v>5023.923444976077</v>
      </c>
      <c r="CS224" s="52">
        <v>12600000</v>
      </c>
      <c r="CT224" s="53">
        <f>IFERROR(CS224/12,"")</f>
        <v>1050000</v>
      </c>
      <c r="CU224" s="53">
        <v>1050000</v>
      </c>
      <c r="CV224" s="53">
        <v>0</v>
      </c>
      <c r="CW224" s="54">
        <v>0</v>
      </c>
      <c r="CX224" s="54">
        <v>105</v>
      </c>
      <c r="CY224" s="54">
        <v>0</v>
      </c>
      <c r="CZ224" s="55">
        <f>SUM(CX224:CY224)</f>
        <v>105</v>
      </c>
      <c r="DA224" s="55" t="s">
        <v>2620</v>
      </c>
      <c r="DB224" s="56">
        <f>IFERROR((CU224+CW224)/105,"")</f>
        <v>10000</v>
      </c>
      <c r="DC224" s="57">
        <v>2023</v>
      </c>
      <c r="DD224" s="58"/>
      <c r="DE224" s="58"/>
      <c r="DF224" s="57"/>
      <c r="DG224" s="59">
        <f>B224</f>
        <v>8250101</v>
      </c>
      <c r="DH224" s="58"/>
      <c r="DI224" s="58"/>
      <c r="DJ224" s="60"/>
      <c r="DK224" s="58"/>
      <c r="DL224" s="61"/>
      <c r="DM224" s="24"/>
    </row>
    <row r="225" spans="1:117" ht="15" customHeight="1">
      <c r="A225" s="74">
        <f>ROW()-2</f>
        <v>223</v>
      </c>
      <c r="B225" s="26">
        <v>8250801</v>
      </c>
      <c r="C225" s="26" t="s">
        <v>2621</v>
      </c>
      <c r="D225" s="27"/>
      <c r="E225" s="27" t="s">
        <v>283</v>
      </c>
      <c r="F225" s="27" t="s">
        <v>2611</v>
      </c>
      <c r="G225" s="27" t="s">
        <v>240</v>
      </c>
      <c r="H225" s="27" t="s">
        <v>260</v>
      </c>
      <c r="I225" s="27" t="s">
        <v>2159</v>
      </c>
      <c r="J225" s="27" t="str">
        <f>+VLOOKUP($I225,[1]프로젝트현황!$I:$N,5,0)</f>
        <v>서울시</v>
      </c>
      <c r="K225" s="27" t="str">
        <f>+VLOOKUP($I225,[1]프로젝트현황!$I:$N,6,0)</f>
        <v>마포구</v>
      </c>
      <c r="L225" s="68">
        <v>45870</v>
      </c>
      <c r="M225" s="68"/>
      <c r="N225" s="68"/>
      <c r="O225" s="75">
        <v>46234</v>
      </c>
      <c r="P225" s="76" t="s">
        <v>2622</v>
      </c>
      <c r="Q225" s="26" t="s">
        <v>2623</v>
      </c>
      <c r="R225" s="77" t="str">
        <f>LEFT(Q225,6)</f>
        <v>680705</v>
      </c>
      <c r="S225" s="77" t="str">
        <f>MID($Q225,3,2)</f>
        <v>07</v>
      </c>
      <c r="T225" s="77" t="str">
        <f>IF(OR(MID($Q225,8,1)="1",MID($Q225,8,1)="3"),"남자",IF(OR(MID($Q225,8,1)="2",MID($Q225,8,1)="4"),"여자",""))</f>
        <v>여자</v>
      </c>
      <c r="U225" s="77">
        <f ca="1">YEAR(TODAY())-IF(OR(MID($Q225,8,1)="1",MID($Q225,8,1)="2"),19&amp;LEFT($Q225,2),IF(OR(MID($Q225,8,1)="3",MID($Q225,8,1)="4"),20&amp;LEFT($Q225,2),""))+1</f>
        <v>59</v>
      </c>
      <c r="V225" s="77" t="s">
        <v>200</v>
      </c>
      <c r="W225" s="77" t="s">
        <v>201</v>
      </c>
      <c r="X225" s="26" t="s">
        <v>2624</v>
      </c>
      <c r="Y225" s="26"/>
      <c r="Z225" s="26"/>
      <c r="AA225" s="78"/>
      <c r="AB225" s="77" t="s">
        <v>203</v>
      </c>
      <c r="AC225" s="26"/>
      <c r="AD225" s="79" t="str">
        <f ca="1">QUOTIENT(SUMPRODUCT(LEFT($AE225:$AF225,FIND("년",$AE225:$AF225)-1)*12+MID($AE225:$AF225,FIND("년",$AE225:$AF225)+1,FIND("개월",$AE225:$AF225)-FIND("년",$AE225:$AF225)-1)),12)&amp;"년"&amp;MOD(SUMPRODUCT(LEFT($AE225:$AF225,FIND("년",$AE225:$AF225)-1)*12+MID($AE225:$AF225,FIND("년",$AE225:$AF225)+1,FIND("개월",$AE225:$AF225)-FIND("년",$AE225:$AF225)-1)),12)&amp;"개월"</f>
        <v>26년11개월</v>
      </c>
      <c r="AE225" s="79" t="s">
        <v>2625</v>
      </c>
      <c r="AF225" s="80" t="str">
        <f ca="1">DATEDIF($L225,TODAY(),"y")&amp;"년"&amp;DATEDIF($L225,TODAY(),"ym")&amp;"개월"</f>
        <v>0년6개월</v>
      </c>
      <c r="AG225" s="81" t="s">
        <v>2626</v>
      </c>
      <c r="AH225" s="81" t="s">
        <v>588</v>
      </c>
      <c r="AI225" s="76" t="s">
        <v>270</v>
      </c>
      <c r="AJ225" s="78">
        <v>33291</v>
      </c>
      <c r="AK225" s="103">
        <f ca="1">VALUE(LEFT($AD225,FIND("년",$AD225)-1))</f>
        <v>26</v>
      </c>
      <c r="AL225" s="77" t="str">
        <f ca="1">IF($AI225="학사",IF($AK225&lt;=5,"초급",IF($AK225&lt;9,"중급",IF($AK225&lt;12,"고급",IF($AK225&gt;=12,"특급")))))</f>
        <v>특급</v>
      </c>
      <c r="AM225" s="77" t="str">
        <f>IF(ISNUMBER(SEARCH("산업기사",$AT225)),IF($AK225&gt;=13,"특급",IF($AK225&gt;=10,"고급",IF($AK225&gt;=7,"중급","초급"))),IF(ISNUMBER(SEARCH("기사",$AR225)),IF($AK225&gt;=10,"특급",IF($AK225&gt;=7,"고급",IF($AK225&gt;=4,"중급","초급"))),"미해당"))</f>
        <v>미해당</v>
      </c>
      <c r="AN225" s="26" t="s">
        <v>135</v>
      </c>
      <c r="AO225" s="78">
        <v>45787</v>
      </c>
      <c r="AP225" s="26"/>
      <c r="AQ225" s="78"/>
      <c r="AR225" s="26"/>
      <c r="AS225" s="26"/>
      <c r="AT225" s="82"/>
      <c r="AU225" s="26"/>
      <c r="AV225" s="83"/>
      <c r="AW225" s="84"/>
      <c r="AX225" s="84"/>
      <c r="AY225" s="104" t="s">
        <v>251</v>
      </c>
      <c r="AZ225" s="105" t="s">
        <v>252</v>
      </c>
      <c r="BA225" s="76" t="s">
        <v>230</v>
      </c>
      <c r="BB225" s="76" t="s">
        <v>2627</v>
      </c>
      <c r="BC225" s="85"/>
      <c r="BD225" s="85"/>
      <c r="BE225" s="69" t="s">
        <v>2628</v>
      </c>
      <c r="BF225" s="85" t="s">
        <v>1688</v>
      </c>
      <c r="BG225" s="85" t="s">
        <v>371</v>
      </c>
      <c r="BH225" s="81"/>
      <c r="BI225" s="86" t="s">
        <v>2629</v>
      </c>
      <c r="BJ225" s="45" t="str">
        <f>IFERROR(VLOOKUP($BG225,[1]프로젝트현황!Y:Z,2,0),"기타")</f>
        <v>서남권</v>
      </c>
      <c r="BK225" s="106" t="str">
        <f>(IF(BF225="","",BF225&amp;" "))&amp;(IF(BG225="","",BG225&amp;" "))&amp;(IF(BH225="","",BH225&amp;" "))&amp;BI225</f>
        <v>서울특별시 관악구 서원10길 8, 가동 205호 (신림동, 황해연립)</v>
      </c>
      <c r="BL225" s="70">
        <v>30</v>
      </c>
      <c r="BM225" s="70">
        <v>30</v>
      </c>
      <c r="BN225" s="87">
        <v>42000000</v>
      </c>
      <c r="BO225" s="87">
        <f>BP225*12</f>
        <v>42000115.200000003</v>
      </c>
      <c r="BP225" s="88">
        <f>SUM(BQ225:BS225)</f>
        <v>3500009.6</v>
      </c>
      <c r="BQ225" s="88">
        <f>ROUNDUP(BN225/12*209/(209+BU225*1.5)/BL225*BM225,-1)-BS225</f>
        <v>2348790</v>
      </c>
      <c r="BR225" s="88">
        <f>ROUNDUP(BN225/12*(BU225*1.5)/(209+BU225*1.5)/BL225*BM225,1)</f>
        <v>951219.6</v>
      </c>
      <c r="BS225" s="88">
        <v>200000</v>
      </c>
      <c r="BT225" s="89">
        <v>209</v>
      </c>
      <c r="BU225" s="49">
        <f>IF($BN225="","",
IFERROR(
    IF($BN225&lt;'[1]시간외시간 기준표'!$B$2,0,
        IF($BN225&gt;LOOKUP(9.9E+307,'[1]시간외시간 기준표'!$B$2:$B$999),
            LOOKUP(9.9E+307,'[1]시간외시간 기준표'!$C$2:$C$999),
            LOOKUP($BN225,'[1]시간외시간 기준표'!$B$2:$B$999,'[1]시간외시간 기준표'!$C$2:$C$999)
        )
    ),0)
)</f>
        <v>52</v>
      </c>
      <c r="BV225" s="89">
        <f>(BQ225+BS225)/209</f>
        <v>12195.167464114833</v>
      </c>
      <c r="BW225" s="71">
        <v>30</v>
      </c>
      <c r="BX225" s="71">
        <v>30</v>
      </c>
      <c r="BY225" s="90">
        <v>42000000</v>
      </c>
      <c r="BZ225" s="90">
        <f>CA225*12</f>
        <v>42000115.200000003</v>
      </c>
      <c r="CA225" s="88">
        <f>SUM(CB225:CD225)</f>
        <v>3500009.6</v>
      </c>
      <c r="CB225" s="88">
        <f>ROUNDUP(BY225/12*209/(209+CF225*1.5)/BW225*BX225,-1)-CD225</f>
        <v>2348790</v>
      </c>
      <c r="CC225" s="88">
        <f>ROUNDUP(BY225/12*(CF225*1.5)/(209+CF225*1.5)/BW225*BX225,1)</f>
        <v>951219.6</v>
      </c>
      <c r="CD225" s="88">
        <v>200000</v>
      </c>
      <c r="CE225" s="89">
        <v>209</v>
      </c>
      <c r="CF225" s="88">
        <f>IF(BY225&lt;26000000,0,IF(BY225&lt;26500000,4,IF(BY225&lt;27000000,7,IF(BY225&lt;27500000,9,IF(BY225&lt;28000000,11,IF(BY225&lt;28500000,15,IF(BY225&lt;29000000,17,IF(BY225&lt;29500000,20,IF(BY225&lt;30000000,23,IF(BY225&lt;30500000,25,IF(BY225&lt;31000000,27,IF(BY225&lt;31500000,29,IF(BY225&lt;32000000,33,IF(BY225&lt;32500000,37,IF(BY225&lt;33000000,39,IF(BY225&lt;33500000,42,IF(BY225&lt;34000000,45,IF(BY225&lt;34500000,48,IF(BY225&lt;35000000,52,52)))))))))))))))))))</f>
        <v>52</v>
      </c>
      <c r="CG225" s="89">
        <f>(CB225+CD225)/209</f>
        <v>12195.167464114833</v>
      </c>
      <c r="CH225" s="91"/>
      <c r="CI225" s="91"/>
      <c r="CJ225" s="92"/>
      <c r="CK225" s="92"/>
      <c r="CL225" s="88"/>
      <c r="CM225" s="88"/>
      <c r="CN225" s="88"/>
      <c r="CO225" s="89"/>
      <c r="CP225" s="89"/>
      <c r="CQ225" s="89"/>
      <c r="CR225" s="89"/>
      <c r="CS225" s="90"/>
      <c r="CT225" s="93"/>
      <c r="CU225" s="93"/>
      <c r="CV225" s="93"/>
      <c r="CW225" s="94"/>
      <c r="CX225" s="94"/>
      <c r="CY225" s="94"/>
      <c r="CZ225" s="95"/>
      <c r="DA225" s="95"/>
      <c r="DB225" s="96"/>
      <c r="DC225" s="97"/>
      <c r="DD225" s="98"/>
      <c r="DE225" s="98"/>
      <c r="DF225" s="97"/>
      <c r="DG225" s="99">
        <f>B225</f>
        <v>8250801</v>
      </c>
      <c r="DH225" s="98"/>
      <c r="DI225" s="98"/>
      <c r="DJ225" s="100"/>
      <c r="DK225" s="98"/>
      <c r="DL225" s="101"/>
      <c r="DM225" s="24"/>
    </row>
    <row r="226" spans="1:117" s="63" customFormat="1" ht="15" customHeight="1">
      <c r="A226" s="74">
        <f>ROW()-2</f>
        <v>224</v>
      </c>
      <c r="B226" s="26">
        <v>8250901</v>
      </c>
      <c r="C226" s="26" t="s">
        <v>2630</v>
      </c>
      <c r="D226" s="27"/>
      <c r="E226" s="27" t="s">
        <v>613</v>
      </c>
      <c r="F226" s="27" t="s">
        <v>2611</v>
      </c>
      <c r="G226" s="27" t="s">
        <v>216</v>
      </c>
      <c r="H226" s="27" t="s">
        <v>198</v>
      </c>
      <c r="I226" s="27" t="s">
        <v>389</v>
      </c>
      <c r="J226" s="27" t="str">
        <f>+VLOOKUP($I226,[1]프로젝트현황!$I:$N,5,0)</f>
        <v>서울시</v>
      </c>
      <c r="K226" s="27" t="str">
        <f>+VLOOKUP($I226,[1]프로젝트현황!$I:$N,6,0)</f>
        <v>강남구</v>
      </c>
      <c r="L226" s="68">
        <v>46024</v>
      </c>
      <c r="M226" s="28">
        <f>+L226</f>
        <v>46024</v>
      </c>
      <c r="N226" s="68"/>
      <c r="O226" s="75"/>
      <c r="P226" s="76" t="s">
        <v>2631</v>
      </c>
      <c r="Q226" s="26" t="s">
        <v>2632</v>
      </c>
      <c r="R226" s="77" t="str">
        <f>LEFT(Q226,6)</f>
        <v>930929</v>
      </c>
      <c r="S226" s="77" t="str">
        <f>MID($Q226,3,2)</f>
        <v>09</v>
      </c>
      <c r="T226" s="77" t="str">
        <f>IF(OR(MID($Q226,8,1)="1",MID($Q226,8,1)="3"),"남자",IF(OR(MID($Q226,8,1)="2",MID($Q226,8,1)="4"),"여자",""))</f>
        <v>남자</v>
      </c>
      <c r="U226" s="77">
        <f ca="1">YEAR(TODAY())-IF(OR(MID($Q226,8,1)="1",MID($Q226,8,1)="2"),19&amp;LEFT($Q226,2),IF(OR(MID($Q226,8,1)="3",MID($Q226,8,1)="4"),20&amp;LEFT($Q226,2),""))+1</f>
        <v>34</v>
      </c>
      <c r="V226" s="77" t="s">
        <v>200</v>
      </c>
      <c r="W226" s="77" t="s">
        <v>201</v>
      </c>
      <c r="X226" s="26" t="s">
        <v>2633</v>
      </c>
      <c r="Y226" s="26"/>
      <c r="Z226" s="26"/>
      <c r="AA226" s="78"/>
      <c r="AB226" s="77" t="s">
        <v>203</v>
      </c>
      <c r="AC226" s="26"/>
      <c r="AD226" s="79" t="str">
        <f ca="1">QUOTIENT(SUMPRODUCT(LEFT($AE226:$AF226,FIND("년",$AE226:$AF226)-1)*12+MID($AE226:$AF226,FIND("년",$AE226:$AF226)+1,FIND("개월",$AE226:$AF226)-FIND("년",$AE226:$AF226)-1)),12)&amp;"년"&amp;MOD(SUMPRODUCT(LEFT($AE226:$AF226,FIND("년",$AE226:$AF226)-1)*12+MID($AE226:$AF226,FIND("년",$AE226:$AF226)+1,FIND("개월",$AE226:$AF226)-FIND("년",$AE226:$AF226)-1)),12)&amp;"개월"</f>
        <v>1년8개월</v>
      </c>
      <c r="AE226" s="79" t="s">
        <v>2634</v>
      </c>
      <c r="AF226" s="80" t="str">
        <f ca="1">DATEDIF($L226,TODAY(),"y")&amp;"년"&amp;DATEDIF($L226,TODAY(),"ym")&amp;"개월"</f>
        <v>0년1개월</v>
      </c>
      <c r="AG226" s="81" t="s">
        <v>2635</v>
      </c>
      <c r="AH226" s="81" t="s">
        <v>2636</v>
      </c>
      <c r="AI226" s="76" t="s">
        <v>2552</v>
      </c>
      <c r="AJ226" s="78">
        <v>42786</v>
      </c>
      <c r="AK226" s="103">
        <f ca="1">VALUE(LEFT($AD226,FIND("년",$AD226)-1))</f>
        <v>1</v>
      </c>
      <c r="AL226" s="77" t="str">
        <f ca="1">IF($AI226="전문학사",IF($AK226&lt;=8,"초급",IF($AK226&lt;12,"중급",IF($AK226&lt;15,"고급",IF($AK226&gt;=15,"특급")))))</f>
        <v>초급</v>
      </c>
      <c r="AM226" s="77" t="str">
        <f>IF(ISNUMBER(SEARCH("산업기사",$AT226)),IF($AK226&gt;=13,"특급",IF($AK226&gt;=10,"고급",IF($AK226&gt;=7,"중급","초급"))),IF(ISNUMBER(SEARCH("기사",$AR226)),IF($AK226&gt;=10,"특급",IF($AK226&gt;=7,"고급",IF($AK226&gt;=4,"중급","초급"))),"미해당"))</f>
        <v>미해당</v>
      </c>
      <c r="AN226" s="26"/>
      <c r="AO226" s="78"/>
      <c r="AP226" s="26"/>
      <c r="AQ226" s="78"/>
      <c r="AR226" s="26"/>
      <c r="AS226" s="26"/>
      <c r="AT226" s="82"/>
      <c r="AU226" s="26"/>
      <c r="AV226" s="83"/>
      <c r="AW226" s="84"/>
      <c r="AX226" s="84"/>
      <c r="AY226" s="104" t="s">
        <v>2637</v>
      </c>
      <c r="AZ226" s="105" t="s">
        <v>2637</v>
      </c>
      <c r="BA226" s="76" t="s">
        <v>2376</v>
      </c>
      <c r="BB226" s="76" t="s">
        <v>2638</v>
      </c>
      <c r="BC226" s="85" t="s">
        <v>2639</v>
      </c>
      <c r="BD226" s="85" t="s">
        <v>2640</v>
      </c>
      <c r="BE226" s="69" t="s">
        <v>2641</v>
      </c>
      <c r="BF226" s="85" t="s">
        <v>234</v>
      </c>
      <c r="BG226" s="85" t="s">
        <v>2642</v>
      </c>
      <c r="BH226" s="81"/>
      <c r="BI226" s="86" t="s">
        <v>2643</v>
      </c>
      <c r="BJ226" s="45" t="str">
        <f>IFERROR(VLOOKUP($BG226,[1]프로젝트현황!Y:Z,2,0),"기타")</f>
        <v>서남권</v>
      </c>
      <c r="BK226" s="106" t="str">
        <f>(IF(BF226="","",BF226&amp;" "))&amp;(IF(BG226="","",BG226&amp;" "))&amp;(IF(BH226="","",BH226&amp;" "))&amp;BI226</f>
        <v>경기도 의왕시 내손순환로7, 304동 1201호(내손동,래미안 에버하임아파트)</v>
      </c>
      <c r="BL226" s="70">
        <v>30</v>
      </c>
      <c r="BM226" s="70">
        <v>30</v>
      </c>
      <c r="BN226" s="87">
        <f>1083600*12</f>
        <v>13003200</v>
      </c>
      <c r="BO226" s="87">
        <f>BP226*12</f>
        <v>13003200</v>
      </c>
      <c r="BP226" s="49">
        <f>SUM(BQ226:BS226)</f>
        <v>1083600</v>
      </c>
      <c r="BQ226" s="49">
        <v>883600</v>
      </c>
      <c r="BR226" s="49">
        <v>0</v>
      </c>
      <c r="BS226" s="49">
        <v>200000</v>
      </c>
      <c r="BT226" s="89">
        <v>105</v>
      </c>
      <c r="BU226" s="49">
        <f>IF($BN226="","",
IFERROR(
    IF($BN226&lt;'[1]시간외시간 기준표'!$B$2,0,
        IF($BN226&gt;LOOKUP(9.9E+307,'[1]시간외시간 기준표'!$B$2:$B$999),
            LOOKUP(9.9E+307,'[1]시간외시간 기준표'!$C$2:$C$999),
            LOOKUP($BN226,'[1]시간외시간 기준표'!$B$2:$B$999,'[1]시간외시간 기준표'!$C$2:$C$999)
        )
    ),0)
)</f>
        <v>0</v>
      </c>
      <c r="BV226" s="89">
        <f>(BQ226+BS226)/105</f>
        <v>10320</v>
      </c>
      <c r="BW226" s="71">
        <v>30</v>
      </c>
      <c r="BX226" s="71">
        <v>30</v>
      </c>
      <c r="BY226" s="90">
        <v>12840000</v>
      </c>
      <c r="BZ226" s="90">
        <f>CA226*12</f>
        <v>12840000</v>
      </c>
      <c r="CA226" s="88">
        <v>1070000</v>
      </c>
      <c r="CB226" s="88">
        <f>ROUNDUP(BY226/12*209/(209+CF226*1.5)/BW226*BX226,-1)-CD226</f>
        <v>1070000</v>
      </c>
      <c r="CC226" s="88">
        <f>ROUNDUP(BY226/12*(CF226*1.5)/(209+CF226*1.5)/BW226*BX226,1)</f>
        <v>0</v>
      </c>
      <c r="CD226" s="88">
        <v>0</v>
      </c>
      <c r="CE226" s="89">
        <v>105</v>
      </c>
      <c r="CF226" s="88">
        <f>IF(BY226&lt;26000000,0,IF(BY226&lt;26500000,4,IF(BY226&lt;27000000,7,IF(BY226&lt;27500000,9,IF(BY226&lt;28000000,11,IF(BY226&lt;28500000,15,IF(BY226&lt;29000000,17,IF(BY226&lt;29500000,20,IF(BY226&lt;30000000,23,IF(BY226&lt;30500000,25,IF(BY226&lt;31000000,27,IF(BY226&lt;31500000,29,IF(BY226&lt;32000000,33,IF(BY226&lt;32500000,37,IF(BY226&lt;33000000,39,IF(BY226&lt;33500000,42,IF(BY226&lt;34000000,45,IF(BY226&lt;34500000,48,IF(BY226&lt;35000000,52,52)))))))))))))))))))</f>
        <v>0</v>
      </c>
      <c r="CG226" s="89">
        <f>(CB226+CD226)/105</f>
        <v>10190.476190476191</v>
      </c>
      <c r="CH226" s="91"/>
      <c r="CI226" s="91"/>
      <c r="CJ226" s="92"/>
      <c r="CK226" s="92"/>
      <c r="CL226" s="88"/>
      <c r="CM226" s="88"/>
      <c r="CN226" s="88"/>
      <c r="CO226" s="89"/>
      <c r="CP226" s="89"/>
      <c r="CQ226" s="89"/>
      <c r="CR226" s="89"/>
      <c r="CS226" s="90"/>
      <c r="CT226" s="93"/>
      <c r="CU226" s="93"/>
      <c r="CV226" s="93"/>
      <c r="CW226" s="94"/>
      <c r="CX226" s="94"/>
      <c r="CY226" s="94"/>
      <c r="CZ226" s="95"/>
      <c r="DA226" s="95"/>
      <c r="DB226" s="96"/>
      <c r="DC226" s="97"/>
      <c r="DD226" s="98"/>
      <c r="DE226" s="98"/>
      <c r="DF226" s="97"/>
      <c r="DG226" s="99">
        <f>B226</f>
        <v>8250901</v>
      </c>
      <c r="DH226" s="98"/>
      <c r="DI226" s="98"/>
      <c r="DJ226" s="100"/>
      <c r="DK226" s="98"/>
      <c r="DL226" s="101"/>
      <c r="DM226" s="24"/>
    </row>
    <row r="227" spans="1:117" s="63" customFormat="1" ht="15" customHeight="1">
      <c r="A227" s="25">
        <f>ROW()-2</f>
        <v>225</v>
      </c>
      <c r="B227" s="26">
        <v>8251102</v>
      </c>
      <c r="C227" s="107" t="s">
        <v>2644</v>
      </c>
      <c r="D227" s="27" t="s">
        <v>2645</v>
      </c>
      <c r="E227" s="27" t="s">
        <v>195</v>
      </c>
      <c r="F227" s="27" t="s">
        <v>2611</v>
      </c>
      <c r="G227" s="27" t="s">
        <v>240</v>
      </c>
      <c r="H227" s="27" t="s">
        <v>1331</v>
      </c>
      <c r="I227" s="27" t="s">
        <v>1331</v>
      </c>
      <c r="J227" s="27" t="str">
        <f>+VLOOKUP($I227,[1]프로젝트현황!$I:$N,5,0)</f>
        <v>서울시</v>
      </c>
      <c r="K227" s="27" t="str">
        <f>+VLOOKUP($I227,[1]프로젝트현황!$I:$N,6,0)</f>
        <v>강남구</v>
      </c>
      <c r="L227" s="28">
        <v>45964</v>
      </c>
      <c r="M227" s="28"/>
      <c r="N227" s="28"/>
      <c r="O227" s="29">
        <v>46693</v>
      </c>
      <c r="P227" s="30" t="s">
        <v>2646</v>
      </c>
      <c r="Q227" s="27" t="s">
        <v>2647</v>
      </c>
      <c r="R227" s="31" t="str">
        <f>LEFT(Q227,6)</f>
        <v>680414</v>
      </c>
      <c r="S227" s="31" t="str">
        <f>MID($Q227,3,2)</f>
        <v>04</v>
      </c>
      <c r="T227" s="31" t="str">
        <f>IF(OR(MID($Q227,8,1)="1",MID($Q227,8,1)="3"),"남자",IF(OR(MID($Q227,8,1)="2",MID($Q227,8,1)="4"),"여자",""))</f>
        <v>남자</v>
      </c>
      <c r="U227" s="31">
        <f ca="1">YEAR(TODAY())-IF(OR(MID($Q227,8,1)="1",MID($Q227,8,1)="2"),19&amp;LEFT($Q227,2),IF(OR(MID($Q227,8,1)="3",MID($Q227,8,1)="4"),20&amp;LEFT($Q227,2),""))+1</f>
        <v>59</v>
      </c>
      <c r="V227" s="31" t="s">
        <v>200</v>
      </c>
      <c r="W227" s="31" t="s">
        <v>201</v>
      </c>
      <c r="X227" s="27" t="s">
        <v>2648</v>
      </c>
      <c r="Y227" s="27"/>
      <c r="Z227" s="27"/>
      <c r="AA227" s="32"/>
      <c r="AB227" s="31" t="s">
        <v>203</v>
      </c>
      <c r="AC227" s="27"/>
      <c r="AD227" s="33" t="e">
        <f>QUOTIENT(SUMPRODUCT(LEFT($AE227:$AF227,FIND("년",$AE227:$AF227)-1)*12+MID($AE227:$AF227,FIND("년",$AE227:$AF227)+1,FIND("개월",$AE227:$AF227)-FIND("년",$AE227:$AF227)-1)),12)&amp;"년"&amp;MOD(SUMPRODUCT(LEFT($AE227:$AF227,FIND("년",$AE227:$AF227)-1)*12+MID($AE227:$AF227,FIND("년",$AE227:$AF227)+1,FIND("개월",$AE227:$AF227)-FIND("년",$AE227:$AF227)-1)),12)&amp;"개월"</f>
        <v>#VALUE!</v>
      </c>
      <c r="AE227" s="33"/>
      <c r="AF227" s="34" t="str">
        <f ca="1">DATEDIF($L227,TODAY(),"y")&amp;"년"&amp;DATEDIF($L227,TODAY(),"ym")&amp;"개월"</f>
        <v>0년3개월</v>
      </c>
      <c r="AG227" s="35"/>
      <c r="AH227" s="35"/>
      <c r="AI227" s="30"/>
      <c r="AJ227" s="32"/>
      <c r="AK227" s="103" t="e">
        <f>VALUE(LEFT($AD227,FIND("년",$AD227)-1))</f>
        <v>#VALUE!</v>
      </c>
      <c r="AL227" s="77" t="b">
        <f>IF($AI227="전문학사",IF($AK227&lt;=8,"초급",IF($AK227&lt;12,"중급",IF($AK227&lt;15,"고급",IF($AK227&gt;=15,"특급")))))</f>
        <v>0</v>
      </c>
      <c r="AM227" s="77" t="str">
        <f>IF(ISNUMBER(SEARCH("산업기사",$AT227)),IF($AK227&gt;=13,"특급",IF($AK227&gt;=10,"고급",IF($AK227&gt;=7,"중급","초급"))),IF(ISNUMBER(SEARCH("기사",$AR227)),IF($AK227&gt;=10,"특급",IF($AK227&gt;=7,"고급",IF($AK227&gt;=4,"중급","초급"))),"미해당"))</f>
        <v>미해당</v>
      </c>
      <c r="AN227" s="27"/>
      <c r="AO227" s="32"/>
      <c r="AP227" s="27"/>
      <c r="AQ227" s="32"/>
      <c r="AR227" s="27"/>
      <c r="AS227" s="27"/>
      <c r="AT227" s="37"/>
      <c r="AU227" s="27"/>
      <c r="AV227" s="38"/>
      <c r="AW227" s="39"/>
      <c r="AX227" s="39"/>
      <c r="AY227" s="40" t="s">
        <v>2649</v>
      </c>
      <c r="AZ227" s="41" t="s">
        <v>2649</v>
      </c>
      <c r="BA227" s="30" t="s">
        <v>230</v>
      </c>
      <c r="BB227" s="30" t="s">
        <v>2650</v>
      </c>
      <c r="BC227" s="42"/>
      <c r="BD227" s="42"/>
      <c r="BE227" s="108" t="s">
        <v>2651</v>
      </c>
      <c r="BF227" s="42" t="s">
        <v>234</v>
      </c>
      <c r="BG227" s="42" t="s">
        <v>235</v>
      </c>
      <c r="BH227" s="35" t="s">
        <v>1655</v>
      </c>
      <c r="BI227" s="44" t="s">
        <v>2652</v>
      </c>
      <c r="BJ227" s="45" t="str">
        <f>IFERROR(VLOOKUP($BG227,[1]프로젝트현황!Y:Z,2,0),"기타")</f>
        <v>서북권</v>
      </c>
      <c r="BK227" s="46" t="str">
        <f>(IF(BF227="","",BF227&amp;" "))&amp;(IF(BG227="","",BG227&amp;" "))&amp;(IF(BH227="","",BH227&amp;" "))&amp;BI227</f>
        <v>경기도 고양시 일산서구 주엽로 98, 1707동 2001호</v>
      </c>
      <c r="BL227" s="47">
        <v>30</v>
      </c>
      <c r="BM227" s="47">
        <v>30</v>
      </c>
      <c r="BN227" s="48">
        <v>72000000</v>
      </c>
      <c r="BO227" s="87">
        <f>BP227*12</f>
        <v>72000000</v>
      </c>
      <c r="BP227" s="49">
        <v>6000000</v>
      </c>
      <c r="BQ227" s="49">
        <f>BP227-BS227</f>
        <v>5800000</v>
      </c>
      <c r="BR227" s="49">
        <f>BQ227*84.3%</f>
        <v>4889400</v>
      </c>
      <c r="BS227" s="49">
        <v>200000</v>
      </c>
      <c r="BT227" s="50">
        <v>209</v>
      </c>
      <c r="BU227" s="49">
        <f>IF($BN227="","",
IFERROR(
    IF($BN227&lt;'[1]시간외시간 기준표'!$B$2,0,
        IF($BN227&gt;LOOKUP(9.9E+307,'[1]시간외시간 기준표'!$B$2:$B$999),
            LOOKUP(9.9E+307,'[1]시간외시간 기준표'!$C$2:$C$999),
            LOOKUP($BN227,'[1]시간외시간 기준표'!$B$2:$B$999,'[1]시간외시간 기준표'!$C$2:$C$999)
        )
    ),0)
)</f>
        <v>52</v>
      </c>
      <c r="BV227" s="50">
        <f>(BQ227+BS227)/209</f>
        <v>28708.133971291867</v>
      </c>
      <c r="BW227" s="51">
        <v>30</v>
      </c>
      <c r="BX227" s="51">
        <v>30</v>
      </c>
      <c r="BY227" s="52">
        <v>72000000</v>
      </c>
      <c r="BZ227" s="90">
        <f>CA227*12</f>
        <v>72000000</v>
      </c>
      <c r="CA227" s="49">
        <v>6000000</v>
      </c>
      <c r="CB227" s="49">
        <f>CA227-CD227</f>
        <v>5800000</v>
      </c>
      <c r="CC227" s="49">
        <f>CB227*84.3%</f>
        <v>4889400</v>
      </c>
      <c r="CD227" s="49">
        <v>200000</v>
      </c>
      <c r="CE227" s="50">
        <v>209</v>
      </c>
      <c r="CF227" s="49">
        <f>IF(BY227&lt;26000000,0,IF(BY227&lt;26500000,4,IF(BY227&lt;27000000,7,IF(BY227&lt;27500000,9,IF(BY227&lt;28000000,11,IF(BY227&lt;28500000,15,IF(BY227&lt;29000000,17,IF(BY227&lt;29500000,20,IF(BY227&lt;30000000,23,IF(BY227&lt;30500000,25,IF(BY227&lt;31000000,27,IF(BY227&lt;31500000,29,IF(BY227&lt;32000000,33,IF(BY227&lt;32500000,37,IF(BY227&lt;33000000,39,IF(BY227&lt;33500000,42,IF(BY227&lt;34000000,45,IF(BY227&lt;34500000,48,IF(BY227&lt;35000000,52,52)))))))))))))))))))</f>
        <v>52</v>
      </c>
      <c r="CG227" s="50">
        <f>(CB227+CD227)/209</f>
        <v>28708.133971291867</v>
      </c>
      <c r="CH227" s="66"/>
      <c r="CI227" s="66"/>
      <c r="CJ227" s="67"/>
      <c r="CK227" s="67"/>
      <c r="CL227" s="49"/>
      <c r="CM227" s="49"/>
      <c r="CN227" s="49"/>
      <c r="CO227" s="50"/>
      <c r="CP227" s="50"/>
      <c r="CQ227" s="50"/>
      <c r="CR227" s="50"/>
      <c r="CS227" s="52"/>
      <c r="CT227" s="53"/>
      <c r="CU227" s="53"/>
      <c r="CV227" s="53"/>
      <c r="CW227" s="54"/>
      <c r="CX227" s="54"/>
      <c r="CY227" s="54"/>
      <c r="CZ227" s="55"/>
      <c r="DA227" s="55"/>
      <c r="DB227" s="56"/>
      <c r="DC227" s="57"/>
      <c r="DD227" s="58"/>
      <c r="DE227" s="58"/>
      <c r="DF227" s="57"/>
      <c r="DG227" s="59">
        <f>B227</f>
        <v>8251102</v>
      </c>
      <c r="DH227" s="58"/>
      <c r="DI227" s="58"/>
      <c r="DJ227" s="60"/>
      <c r="DK227" s="58"/>
      <c r="DL227" s="61"/>
      <c r="DM227" s="24"/>
    </row>
    <row r="228" spans="1:117" s="63" customFormat="1" ht="15" customHeight="1">
      <c r="A228" s="74">
        <f>ROW()-2</f>
        <v>226</v>
      </c>
      <c r="B228" s="26">
        <v>8260117</v>
      </c>
      <c r="C228" s="26" t="s">
        <v>2653</v>
      </c>
      <c r="D228" s="27"/>
      <c r="E228" s="27" t="s">
        <v>613</v>
      </c>
      <c r="F228" s="27" t="s">
        <v>2611</v>
      </c>
      <c r="G228" s="27" t="s">
        <v>240</v>
      </c>
      <c r="H228" s="27" t="s">
        <v>260</v>
      </c>
      <c r="I228" s="27" t="s">
        <v>902</v>
      </c>
      <c r="J228" s="27" t="str">
        <f>+VLOOKUP($I228,[1]프로젝트현황!$I:$N,5,0)</f>
        <v>서울시</v>
      </c>
      <c r="K228" s="27" t="str">
        <f>+VLOOKUP($I228,[1]프로젝트현황!$I:$N,6,0)</f>
        <v>종로구</v>
      </c>
      <c r="L228" s="68">
        <v>46036</v>
      </c>
      <c r="M228" s="28">
        <f>+L228</f>
        <v>46036</v>
      </c>
      <c r="N228" s="68"/>
      <c r="O228" s="75">
        <v>46066</v>
      </c>
      <c r="P228" s="76" t="s">
        <v>2654</v>
      </c>
      <c r="Q228" s="26" t="s">
        <v>2655</v>
      </c>
      <c r="R228" s="77" t="str">
        <f>LEFT(Q228,6)</f>
        <v>801215</v>
      </c>
      <c r="S228" s="77" t="str">
        <f>MID($Q228,3,2)</f>
        <v>12</v>
      </c>
      <c r="T228" s="77" t="str">
        <f>IF(OR(MID($Q228,8,1)="1",MID($Q228,8,1)="3"),"남자",IF(OR(MID($Q228,8,1)="2",MID($Q228,8,1)="4"),"여자",""))</f>
        <v>여자</v>
      </c>
      <c r="U228" s="77">
        <f ca="1">YEAR(TODAY())-IF(OR(MID($Q228,8,1)="1",MID($Q228,8,1)="2"),19&amp;LEFT($Q228,2),IF(OR(MID($Q228,8,1)="3",MID($Q228,8,1)="4"),20&amp;LEFT($Q228,2),""))+1</f>
        <v>47</v>
      </c>
      <c r="V228" s="77" t="s">
        <v>200</v>
      </c>
      <c r="W228" s="77" t="s">
        <v>201</v>
      </c>
      <c r="X228" s="26" t="s">
        <v>2656</v>
      </c>
      <c r="Y228" s="26"/>
      <c r="Z228" s="26"/>
      <c r="AA228" s="78"/>
      <c r="AB228" s="31" t="s">
        <v>2386</v>
      </c>
      <c r="AC228" s="26"/>
      <c r="AD228" s="33" t="e">
        <f>QUOTIENT(SUMPRODUCT(LEFT($AE228:$AF228,FIND("년",$AE228:$AF228)-1)*12+MID($AE228:$AF228,FIND("년",$AE228:$AF228)+1,FIND("개월",$AE228:$AF228)-FIND("년",$AE228:$AF228)-1)),12)&amp;"년"&amp;MOD(SUMPRODUCT(LEFT($AE228:$AF228,FIND("년",$AE228:$AF228)-1)*12+MID($AE228:$AF228,FIND("년",$AE228:$AF228)+1,FIND("개월",$AE228:$AF228)-FIND("년",$AE228:$AF228)-1)),12)&amp;"개월"</f>
        <v>#VALUE!</v>
      </c>
      <c r="AE228" s="79"/>
      <c r="AF228" s="80" t="str">
        <f ca="1">DATEDIF($L228,TODAY(),"y")&amp;"년"&amp;DATEDIF($L228,TODAY(),"ym")&amp;"개월"</f>
        <v>0년0개월</v>
      </c>
      <c r="AG228" s="81" t="s">
        <v>2657</v>
      </c>
      <c r="AH228" s="81" t="s">
        <v>2658</v>
      </c>
      <c r="AI228" s="76" t="s">
        <v>2267</v>
      </c>
      <c r="AJ228" s="78">
        <v>38636</v>
      </c>
      <c r="AK228" s="103" t="e">
        <f>VALUE(LEFT($AD228,FIND("년",$AD228)-1))</f>
        <v>#VALUE!</v>
      </c>
      <c r="AL228" s="77" t="e">
        <f>IF($AI228="학사",IF($AK228&lt;=5,"초급",IF($AK228&lt;9,"중급",IF($AK228&lt;12,"고급",IF($AK228&gt;=12,"특급")))))</f>
        <v>#VALUE!</v>
      </c>
      <c r="AM228" s="77" t="str">
        <f>IF(ISNUMBER(SEARCH("산업기사",$AT228)),IF($AK228&gt;=13,"특급",IF($AK228&gt;=10,"고급",IF($AK228&gt;=7,"중급","초급"))),IF(ISNUMBER(SEARCH("기사",$AR228)),IF($AK228&gt;=10,"특급",IF($AK228&gt;=7,"고급",IF($AK228&gt;=4,"중급","초급"))),"미해당"))</f>
        <v>미해당</v>
      </c>
      <c r="AN228" s="26"/>
      <c r="AO228" s="78"/>
      <c r="AP228" s="26"/>
      <c r="AQ228" s="78"/>
      <c r="AR228" s="26"/>
      <c r="AS228" s="26"/>
      <c r="AT228" s="82"/>
      <c r="AU228" s="26"/>
      <c r="AV228" s="83"/>
      <c r="AW228" s="84"/>
      <c r="AX228" s="84"/>
      <c r="AY228" s="40" t="s">
        <v>2374</v>
      </c>
      <c r="AZ228" s="41" t="s">
        <v>2375</v>
      </c>
      <c r="BA228" s="76" t="s">
        <v>2218</v>
      </c>
      <c r="BB228" s="76" t="s">
        <v>2659</v>
      </c>
      <c r="BC228" s="85"/>
      <c r="BD228" s="85"/>
      <c r="BE228" s="64" t="s">
        <v>2660</v>
      </c>
      <c r="BF228" s="85" t="s">
        <v>2578</v>
      </c>
      <c r="BG228" s="85" t="s">
        <v>2661</v>
      </c>
      <c r="BH228" s="81" t="s">
        <v>2662</v>
      </c>
      <c r="BI228" s="86" t="s">
        <v>2663</v>
      </c>
      <c r="BJ228" s="45" t="str">
        <f>IFERROR(VLOOKUP($BG228,[1]프로젝트현황!Y:Z,2,0),"기타")</f>
        <v>동남권</v>
      </c>
      <c r="BK228" s="46" t="str">
        <f>(IF(BF228="","",BF228&amp;" "))&amp;(IF(BG228="","",BG228&amp;" "))&amp;(IF(BH228="","",BH228&amp;" "))&amp;BI228</f>
        <v>서울시 서초구 효령로72길 57 A-2003호</v>
      </c>
      <c r="BL228" s="70">
        <v>30</v>
      </c>
      <c r="BM228" s="70">
        <v>30</v>
      </c>
      <c r="BN228" s="87">
        <v>30000000</v>
      </c>
      <c r="BO228" s="87">
        <f>BP228*12</f>
        <v>30000109.200000003</v>
      </c>
      <c r="BP228" s="88">
        <f>SUM(BQ228:BS228)</f>
        <v>2500009.1</v>
      </c>
      <c r="BQ228" s="88">
        <f>ROUNDUP(BN228/12*209/(209+BU228*1.5)/BL228*BM228,-1)-BS228</f>
        <v>1959100</v>
      </c>
      <c r="BR228" s="88">
        <f>ROUNDUP(BN228/12*(BU228*1.5)/(209+BU228*1.5)/BL228*BM228,1)</f>
        <v>340909.1</v>
      </c>
      <c r="BS228" s="88">
        <v>200000</v>
      </c>
      <c r="BT228" s="89">
        <v>209</v>
      </c>
      <c r="BU228" s="49">
        <f>IF($BN228="","",
IFERROR(
    IF($BN228&lt;'[1]시간외시간 기준표'!$B$2,0,
        IF($BN228&gt;LOOKUP(9.9E+307,'[1]시간외시간 기준표'!$B$2:$B$999),
            LOOKUP(9.9E+307,'[1]시간외시간 기준표'!$C$2:$C$999),
            LOOKUP($BN228,'[1]시간외시간 기준표'!$B$2:$B$999,'[1]시간외시간 기준표'!$C$2:$C$999)
        )
    ),0)
)</f>
        <v>22</v>
      </c>
      <c r="BV228" s="89">
        <f>(BQ228+BS228)/209</f>
        <v>10330.622009569379</v>
      </c>
      <c r="BW228" s="71"/>
      <c r="BX228" s="71"/>
      <c r="BY228" s="90"/>
      <c r="BZ228" s="90"/>
      <c r="CA228" s="88"/>
      <c r="CB228" s="88"/>
      <c r="CC228" s="88"/>
      <c r="CD228" s="88"/>
      <c r="CE228" s="89"/>
      <c r="CF228" s="88"/>
      <c r="CG228" s="89"/>
      <c r="CH228" s="91"/>
      <c r="CI228" s="91"/>
      <c r="CJ228" s="92"/>
      <c r="CK228" s="92"/>
      <c r="CL228" s="88"/>
      <c r="CM228" s="88"/>
      <c r="CN228" s="88"/>
      <c r="CO228" s="89"/>
      <c r="CP228" s="89"/>
      <c r="CQ228" s="89"/>
      <c r="CR228" s="89"/>
      <c r="CS228" s="90"/>
      <c r="CT228" s="93"/>
      <c r="CU228" s="93"/>
      <c r="CV228" s="93"/>
      <c r="CW228" s="94"/>
      <c r="CX228" s="94"/>
      <c r="CY228" s="94"/>
      <c r="CZ228" s="95"/>
      <c r="DA228" s="95"/>
      <c r="DB228" s="96"/>
      <c r="DC228" s="97"/>
      <c r="DD228" s="98"/>
      <c r="DE228" s="98"/>
      <c r="DF228" s="97"/>
      <c r="DG228" s="99"/>
      <c r="DH228" s="98"/>
      <c r="DI228" s="98"/>
      <c r="DJ228" s="100"/>
      <c r="DK228" s="98"/>
      <c r="DL228" s="101"/>
      <c r="DM228" s="24"/>
    </row>
    <row r="229" spans="1:117" ht="15" customHeight="1">
      <c r="A229" s="74">
        <f>ROW()-2</f>
        <v>227</v>
      </c>
      <c r="B229" s="26">
        <v>8260118</v>
      </c>
      <c r="C229" s="26" t="s">
        <v>2664</v>
      </c>
      <c r="D229" s="27"/>
      <c r="E229" s="27" t="s">
        <v>283</v>
      </c>
      <c r="F229" s="27" t="s">
        <v>2611</v>
      </c>
      <c r="G229" s="27" t="s">
        <v>240</v>
      </c>
      <c r="H229" s="27" t="s">
        <v>241</v>
      </c>
      <c r="I229" s="27" t="s">
        <v>1936</v>
      </c>
      <c r="J229" s="27" t="str">
        <f>+VLOOKUP($I229,[1]프로젝트현황!$I:$N,5,0)</f>
        <v>서울시</v>
      </c>
      <c r="K229" s="27" t="str">
        <f>+VLOOKUP($I229,[1]프로젝트현황!$I:$N,6,0)</f>
        <v>마포구</v>
      </c>
      <c r="L229" s="68">
        <v>46041</v>
      </c>
      <c r="M229" s="28">
        <f>+L229</f>
        <v>46041</v>
      </c>
      <c r="N229" s="68"/>
      <c r="O229" s="75">
        <v>46173</v>
      </c>
      <c r="P229" s="76" t="s">
        <v>2665</v>
      </c>
      <c r="Q229" s="26" t="s">
        <v>2666</v>
      </c>
      <c r="R229" s="77" t="str">
        <f>LEFT(Q229,6)</f>
        <v>730620</v>
      </c>
      <c r="S229" s="77" t="str">
        <f>MID($Q229,3,2)</f>
        <v>06</v>
      </c>
      <c r="T229" s="77" t="str">
        <f>IF(OR(MID($Q229,8,1)="1",MID($Q229,8,1)="3"),"남자",IF(OR(MID($Q229,8,1)="2",MID($Q229,8,1)="4"),"여자",""))</f>
        <v>여자</v>
      </c>
      <c r="U229" s="77">
        <f ca="1">YEAR(TODAY())-IF(OR(MID($Q229,8,1)="1",MID($Q229,8,1)="2"),19&amp;LEFT($Q229,2),IF(OR(MID($Q229,8,1)="3",MID($Q229,8,1)="4"),20&amp;LEFT($Q229,2),""))+1</f>
        <v>54</v>
      </c>
      <c r="V229" s="77" t="s">
        <v>200</v>
      </c>
      <c r="W229" s="77" t="s">
        <v>201</v>
      </c>
      <c r="X229" s="26" t="s">
        <v>2667</v>
      </c>
      <c r="Y229" s="26"/>
      <c r="Z229" s="26"/>
      <c r="AA229" s="78"/>
      <c r="AB229" s="77" t="s">
        <v>203</v>
      </c>
      <c r="AC229" s="26"/>
      <c r="AD229" s="33" t="e">
        <f>QUOTIENT(SUMPRODUCT(LEFT($AE229:$AF229,FIND("년",$AE229:$AF229)-1)*12+MID($AE229:$AF229,FIND("년",$AE229:$AF229)+1,FIND("개월",$AE229:$AF229)-FIND("년",$AE229:$AF229)-1)),12)&amp;"년"&amp;MOD(SUMPRODUCT(LEFT($AE229:$AF229,FIND("년",$AE229:$AF229)-1)*12+MID($AE229:$AF229,FIND("년",$AE229:$AF229)+1,FIND("개월",$AE229:$AF229)-FIND("년",$AE229:$AF229)-1)),12)&amp;"개월"</f>
        <v>#VALUE!</v>
      </c>
      <c r="AE229" s="79"/>
      <c r="AF229" s="80" t="str">
        <f ca="1">DATEDIF($L229,TODAY(),"y")&amp;"년"&amp;DATEDIF($L229,TODAY(),"ym")&amp;"개월"</f>
        <v>0년0개월</v>
      </c>
      <c r="AG229" s="81" t="s">
        <v>2668</v>
      </c>
      <c r="AH229" s="81" t="s">
        <v>2669</v>
      </c>
      <c r="AI229" s="76" t="s">
        <v>2267</v>
      </c>
      <c r="AJ229" s="78">
        <v>35483</v>
      </c>
      <c r="AK229" s="103" t="e">
        <f>VALUE(LEFT($AD229,FIND("년",$AD229)-1))</f>
        <v>#VALUE!</v>
      </c>
      <c r="AL229" s="77" t="e">
        <f>IF($AI229="학사",IF($AK229&lt;=5,"초급",IF($AK229&lt;9,"중급",IF($AK229&lt;12,"고급",IF($AK229&gt;=12,"특급")))))</f>
        <v>#VALUE!</v>
      </c>
      <c r="AM229" s="77" t="str">
        <f>IF(ISNUMBER(SEARCH("산업기사",$AT229)),IF($AK229&gt;=13,"특급",IF($AK229&gt;=10,"고급",IF($AK229&gt;=7,"중급","초급"))),IF(ISNUMBER(SEARCH("기사",$AR229)),IF($AK229&gt;=10,"특급",IF($AK229&gt;=7,"고급",IF($AK229&gt;=4,"중급","초급"))),"미해당"))</f>
        <v>미해당</v>
      </c>
      <c r="AN229" s="26"/>
      <c r="AO229" s="78"/>
      <c r="AP229" s="26"/>
      <c r="AQ229" s="78"/>
      <c r="AR229" s="26"/>
      <c r="AS229" s="26"/>
      <c r="AT229" s="82"/>
      <c r="AU229" s="26"/>
      <c r="AV229" s="83"/>
      <c r="AW229" s="84"/>
      <c r="AX229" s="84"/>
      <c r="AY229" s="40" t="s">
        <v>2374</v>
      </c>
      <c r="AZ229" s="41" t="s">
        <v>2375</v>
      </c>
      <c r="BA229" s="76" t="s">
        <v>2218</v>
      </c>
      <c r="BB229" s="76" t="s">
        <v>2670</v>
      </c>
      <c r="BC229" s="85"/>
      <c r="BD229" s="85"/>
      <c r="BE229" s="69" t="s">
        <v>2671</v>
      </c>
      <c r="BF229" s="85" t="s">
        <v>1688</v>
      </c>
      <c r="BG229" s="85" t="s">
        <v>775</v>
      </c>
      <c r="BH229" s="81" t="s">
        <v>2672</v>
      </c>
      <c r="BI229" s="86" t="s">
        <v>2673</v>
      </c>
      <c r="BJ229" s="45" t="s">
        <v>2674</v>
      </c>
      <c r="BK229" s="46" t="str">
        <f>(IF(BF229="","",BF229&amp;" "))&amp;(IF(BG229="","",BG229&amp;" "))&amp;(IF(BH229="","",BH229&amp;" "))&amp;BI229</f>
        <v>서울특별시 마포구 서강로 95 101동 903호</v>
      </c>
      <c r="BL229" s="70">
        <v>30</v>
      </c>
      <c r="BM229" s="70">
        <v>30</v>
      </c>
      <c r="BN229" s="87">
        <f>4800000*12</f>
        <v>57600000</v>
      </c>
      <c r="BO229" s="87">
        <f>BP229*12</f>
        <v>57600116.400000006</v>
      </c>
      <c r="BP229" s="88">
        <f>SUM(BQ229:BS229)</f>
        <v>4800009.7</v>
      </c>
      <c r="BQ229" s="88">
        <f>ROUNDUP(BN229/12*209/(209+BU229*1.5)/BL229*BM229,-1)-BS229</f>
        <v>3295480</v>
      </c>
      <c r="BR229" s="88">
        <f>ROUNDUP(BN229/12*(BU229*1.5)/(209+BU229*1.5)/BL229*BM229,1)</f>
        <v>1304529.7000000002</v>
      </c>
      <c r="BS229" s="88">
        <v>200000</v>
      </c>
      <c r="BT229" s="89">
        <v>209</v>
      </c>
      <c r="BU229" s="49">
        <f>IF($BN229="","",
IFERROR(
    IF($BN229&lt;'[1]시간외시간 기준표'!$B$2,0,
        IF($BN229&gt;LOOKUP(9.9E+307,'[1]시간외시간 기준표'!$B$2:$B$999),
            LOOKUP(9.9E+307,'[1]시간외시간 기준표'!$C$2:$C$999),
            LOOKUP($BN229,'[1]시간외시간 기준표'!$B$2:$B$999,'[1]시간외시간 기준표'!$C$2:$C$999)
        )
    ),0)
)</f>
        <v>52</v>
      </c>
      <c r="BV229" s="89">
        <f>(BQ229+BS229)/209</f>
        <v>16724.784688995216</v>
      </c>
      <c r="BW229" s="71"/>
      <c r="BX229" s="71"/>
      <c r="BY229" s="90"/>
      <c r="BZ229" s="90"/>
      <c r="CA229" s="88"/>
      <c r="CB229" s="88"/>
      <c r="CC229" s="88"/>
      <c r="CD229" s="88"/>
      <c r="CE229" s="89"/>
      <c r="CF229" s="88"/>
      <c r="CG229" s="89"/>
      <c r="CH229" s="91"/>
      <c r="CI229" s="91"/>
      <c r="CJ229" s="92"/>
      <c r="CK229" s="92"/>
      <c r="CL229" s="88"/>
      <c r="CM229" s="88"/>
      <c r="CN229" s="88"/>
      <c r="CO229" s="89"/>
      <c r="CP229" s="89"/>
      <c r="CQ229" s="89"/>
      <c r="CR229" s="89"/>
      <c r="CS229" s="90"/>
      <c r="CT229" s="93"/>
      <c r="CU229" s="93"/>
      <c r="CV229" s="93"/>
      <c r="CW229" s="94"/>
      <c r="CX229" s="94"/>
      <c r="CY229" s="94"/>
      <c r="CZ229" s="95"/>
      <c r="DA229" s="95"/>
      <c r="DB229" s="96"/>
      <c r="DC229" s="97"/>
      <c r="DD229" s="98"/>
      <c r="DE229" s="98"/>
      <c r="DF229" s="97"/>
      <c r="DG229" s="99"/>
      <c r="DH229" s="98"/>
      <c r="DI229" s="98"/>
      <c r="DJ229" s="100"/>
      <c r="DK229" s="98"/>
      <c r="DL229" s="101"/>
      <c r="DM229" s="24"/>
    </row>
    <row r="230" spans="1:117" ht="15" customHeight="1">
      <c r="A230" s="74">
        <f>ROW()-2</f>
        <v>228</v>
      </c>
      <c r="B230" s="26">
        <v>8260119</v>
      </c>
      <c r="C230" s="26" t="s">
        <v>2675</v>
      </c>
      <c r="D230" s="27"/>
      <c r="E230" s="27" t="s">
        <v>283</v>
      </c>
      <c r="F230" s="27" t="s">
        <v>2611</v>
      </c>
      <c r="G230" s="27" t="s">
        <v>240</v>
      </c>
      <c r="H230" s="27" t="s">
        <v>241</v>
      </c>
      <c r="I230" s="27" t="s">
        <v>1936</v>
      </c>
      <c r="J230" s="27" t="str">
        <f>+VLOOKUP($I230,[1]프로젝트현황!$I:$N,5,0)</f>
        <v>서울시</v>
      </c>
      <c r="K230" s="27" t="str">
        <f>+VLOOKUP($I230,[1]프로젝트현황!$I:$N,6,0)</f>
        <v>마포구</v>
      </c>
      <c r="L230" s="68">
        <v>46041</v>
      </c>
      <c r="M230" s="28">
        <f>+L230</f>
        <v>46041</v>
      </c>
      <c r="N230" s="68"/>
      <c r="O230" s="75">
        <v>46173</v>
      </c>
      <c r="P230" s="76" t="s">
        <v>2676</v>
      </c>
      <c r="Q230" s="26" t="s">
        <v>2677</v>
      </c>
      <c r="R230" s="77" t="str">
        <f>LEFT(Q230,6)</f>
        <v>701210</v>
      </c>
      <c r="S230" s="77" t="str">
        <f>MID($Q230,3,2)</f>
        <v>12</v>
      </c>
      <c r="T230" s="77" t="str">
        <f>IF(OR(MID($Q230,8,1)="1",MID($Q230,8,1)="3"),"남자",IF(OR(MID($Q230,8,1)="2",MID($Q230,8,1)="4"),"여자",""))</f>
        <v>여자</v>
      </c>
      <c r="U230" s="77">
        <f ca="1">YEAR(TODAY())-IF(OR(MID($Q230,8,1)="1",MID($Q230,8,1)="2"),19&amp;LEFT($Q230,2),IF(OR(MID($Q230,8,1)="3",MID($Q230,8,1)="4"),20&amp;LEFT($Q230,2),""))+1</f>
        <v>57</v>
      </c>
      <c r="V230" s="77" t="s">
        <v>200</v>
      </c>
      <c r="W230" s="77" t="s">
        <v>201</v>
      </c>
      <c r="X230" s="26" t="s">
        <v>2678</v>
      </c>
      <c r="Y230" s="26"/>
      <c r="Z230" s="26"/>
      <c r="AA230" s="78"/>
      <c r="AB230" s="77" t="s">
        <v>203</v>
      </c>
      <c r="AC230" s="26"/>
      <c r="AD230" s="33" t="e">
        <f>QUOTIENT(SUMPRODUCT(LEFT($AE230:$AF230,FIND("년",$AE230:$AF230)-1)*12+MID($AE230:$AF230,FIND("년",$AE230:$AF230)+1,FIND("개월",$AE230:$AF230)-FIND("년",$AE230:$AF230)-1)),12)&amp;"년"&amp;MOD(SUMPRODUCT(LEFT($AE230:$AF230,FIND("년",$AE230:$AF230)-1)*12+MID($AE230:$AF230,FIND("년",$AE230:$AF230)+1,FIND("개월",$AE230:$AF230)-FIND("년",$AE230:$AF230)-1)),12)&amp;"개월"</f>
        <v>#VALUE!</v>
      </c>
      <c r="AE230" s="79"/>
      <c r="AF230" s="80" t="str">
        <f ca="1">DATEDIF($L230,TODAY(),"y")&amp;"년"&amp;DATEDIF($L230,TODAY(),"ym")&amp;"개월"</f>
        <v>0년0개월</v>
      </c>
      <c r="AG230" s="81" t="s">
        <v>2679</v>
      </c>
      <c r="AH230" s="81"/>
      <c r="AI230" s="76" t="s">
        <v>2680</v>
      </c>
      <c r="AJ230" s="78">
        <v>32567</v>
      </c>
      <c r="AK230" s="103" t="e">
        <f>VALUE(LEFT($AD230,FIND("년",$AD230)-1))</f>
        <v>#VALUE!</v>
      </c>
      <c r="AL230" s="77" t="b">
        <f>IF($AI230="학사",IF($AK230&lt;=5,"초급",IF($AK230&lt;9,"중급",IF($AK230&lt;12,"고급",IF($AK230&gt;=12,"특급")))))</f>
        <v>0</v>
      </c>
      <c r="AM230" s="77" t="str">
        <f>IF(ISNUMBER(SEARCH("산업기사",$AT230)),IF($AK230&gt;=13,"특급",IF($AK230&gt;=10,"고급",IF($AK230&gt;=7,"중급","초급"))),IF(ISNUMBER(SEARCH("기사",$AR230)),IF($AK230&gt;=10,"특급",IF($AK230&gt;=7,"고급",IF($AK230&gt;=4,"중급","초급"))),"미해당"))</f>
        <v>미해당</v>
      </c>
      <c r="AN230" s="26"/>
      <c r="AO230" s="78"/>
      <c r="AP230" s="26"/>
      <c r="AQ230" s="78"/>
      <c r="AR230" s="26"/>
      <c r="AS230" s="26"/>
      <c r="AT230" s="82"/>
      <c r="AU230" s="26"/>
      <c r="AV230" s="83"/>
      <c r="AW230" s="84"/>
      <c r="AX230" s="84"/>
      <c r="AY230" s="40" t="s">
        <v>2374</v>
      </c>
      <c r="AZ230" s="41" t="s">
        <v>2375</v>
      </c>
      <c r="BA230" s="76" t="s">
        <v>230</v>
      </c>
      <c r="BB230" s="76" t="s">
        <v>2681</v>
      </c>
      <c r="BC230" s="85"/>
      <c r="BD230" s="85"/>
      <c r="BE230" s="69" t="s">
        <v>2682</v>
      </c>
      <c r="BF230" s="85" t="s">
        <v>1688</v>
      </c>
      <c r="BG230" s="85" t="s">
        <v>2683</v>
      </c>
      <c r="BH230" s="81" t="s">
        <v>2684</v>
      </c>
      <c r="BI230" s="81" t="s">
        <v>2685</v>
      </c>
      <c r="BJ230" s="45" t="s">
        <v>2686</v>
      </c>
      <c r="BK230" s="46" t="str">
        <f>(IF(BF230="","",BF230&amp;" "))&amp;(IF(BG230="","",BG230&amp;" "))&amp;(IF(BH230="","",BH230&amp;" "))&amp;BI230</f>
        <v>서울특별시 중랑구 겸재로49길 58 102호</v>
      </c>
      <c r="BL230" s="70">
        <v>30</v>
      </c>
      <c r="BM230" s="70">
        <v>30</v>
      </c>
      <c r="BN230" s="87">
        <f>4800000*12</f>
        <v>57600000</v>
      </c>
      <c r="BO230" s="87">
        <f>BP230*12</f>
        <v>57600116.400000006</v>
      </c>
      <c r="BP230" s="88">
        <f>SUM(BQ230:BS230)</f>
        <v>4800009.7</v>
      </c>
      <c r="BQ230" s="88">
        <f>ROUNDUP(BN230/12*209/(209+BU230*1.5)/BL230*BM230,-1)-BS230</f>
        <v>3295480</v>
      </c>
      <c r="BR230" s="88">
        <f>ROUNDUP(BN230/12*(BU230*1.5)/(209+BU230*1.5)/BL230*BM230,1)</f>
        <v>1304529.7000000002</v>
      </c>
      <c r="BS230" s="88">
        <v>200000</v>
      </c>
      <c r="BT230" s="89">
        <v>209</v>
      </c>
      <c r="BU230" s="49">
        <f>IF($BN230="","",
IFERROR(
    IF($BN230&lt;'[1]시간외시간 기준표'!$B$2,0,
        IF($BN230&gt;LOOKUP(9.9E+307,'[1]시간외시간 기준표'!$B$2:$B$999),
            LOOKUP(9.9E+307,'[1]시간외시간 기준표'!$C$2:$C$999),
            LOOKUP($BN230,'[1]시간외시간 기준표'!$B$2:$B$999,'[1]시간외시간 기준표'!$C$2:$C$999)
        )
    ),0)
)</f>
        <v>52</v>
      </c>
      <c r="BV230" s="89">
        <f>(BQ230+BS230)/209</f>
        <v>16724.784688995216</v>
      </c>
      <c r="BW230" s="71"/>
      <c r="BX230" s="71"/>
      <c r="BY230" s="90"/>
      <c r="BZ230" s="90"/>
      <c r="CA230" s="88"/>
      <c r="CB230" s="88"/>
      <c r="CC230" s="88"/>
      <c r="CD230" s="88"/>
      <c r="CE230" s="89"/>
      <c r="CF230" s="88"/>
      <c r="CG230" s="89"/>
      <c r="CH230" s="91"/>
      <c r="CI230" s="91"/>
      <c r="CJ230" s="92"/>
      <c r="CK230" s="92"/>
      <c r="CL230" s="88"/>
      <c r="CM230" s="88"/>
      <c r="CN230" s="88"/>
      <c r="CO230" s="89"/>
      <c r="CP230" s="89"/>
      <c r="CQ230" s="89"/>
      <c r="CR230" s="89"/>
      <c r="CS230" s="90"/>
      <c r="CT230" s="93"/>
      <c r="CU230" s="93"/>
      <c r="CV230" s="93"/>
      <c r="CW230" s="94"/>
      <c r="CX230" s="94"/>
      <c r="CY230" s="94"/>
      <c r="CZ230" s="95"/>
      <c r="DA230" s="95"/>
      <c r="DB230" s="96"/>
      <c r="DC230" s="97"/>
      <c r="DD230" s="98"/>
      <c r="DE230" s="98"/>
      <c r="DF230" s="97"/>
      <c r="DG230" s="99"/>
      <c r="DH230" s="98"/>
      <c r="DI230" s="98"/>
      <c r="DJ230" s="100"/>
      <c r="DK230" s="98"/>
      <c r="DL230" s="101"/>
      <c r="DM230" s="24"/>
    </row>
    <row r="231" spans="1:117" ht="15" customHeight="1">
      <c r="A231" s="74">
        <f>ROW()-2</f>
        <v>229</v>
      </c>
      <c r="B231" s="26">
        <v>8260204</v>
      </c>
      <c r="C231" s="26" t="s">
        <v>2687</v>
      </c>
      <c r="D231" s="27"/>
      <c r="E231" s="27"/>
      <c r="F231" s="27" t="s">
        <v>2611</v>
      </c>
      <c r="G231" s="27" t="s">
        <v>240</v>
      </c>
      <c r="H231" s="27"/>
      <c r="I231" s="27"/>
      <c r="J231" s="27"/>
      <c r="K231" s="27"/>
      <c r="L231" s="68">
        <v>46055</v>
      </c>
      <c r="M231" s="28">
        <f>+L231</f>
        <v>46055</v>
      </c>
      <c r="N231" s="68"/>
      <c r="O231" s="75">
        <v>46173</v>
      </c>
      <c r="P231" s="76" t="s">
        <v>2688</v>
      </c>
      <c r="Q231" s="26" t="s">
        <v>2689</v>
      </c>
      <c r="R231" s="77" t="str">
        <f>LEFT(Q231,6)</f>
        <v>801111</v>
      </c>
      <c r="S231" s="77" t="str">
        <f>MID($Q231,3,2)</f>
        <v>11</v>
      </c>
      <c r="T231" s="77" t="str">
        <f>IF(OR(MID($Q231,8,1)="1",MID($Q231,8,1)="3"),"남자",IF(OR(MID($Q231,8,1)="2",MID($Q231,8,1)="4"),"여자",""))</f>
        <v>여자</v>
      </c>
      <c r="U231" s="77">
        <f ca="1">YEAR(TODAY())-IF(OR(MID($Q231,8,1)="1",MID($Q231,8,1)="2"),19&amp;LEFT($Q231,2),IF(OR(MID($Q231,8,1)="3",MID($Q231,8,1)="4"),20&amp;LEFT($Q231,2),""))+1</f>
        <v>47</v>
      </c>
      <c r="V231" s="77" t="s">
        <v>2369</v>
      </c>
      <c r="W231" s="77" t="s">
        <v>2370</v>
      </c>
      <c r="X231" s="26" t="s">
        <v>2690</v>
      </c>
      <c r="Y231" s="26"/>
      <c r="Z231" s="26"/>
      <c r="AA231" s="78"/>
      <c r="AB231" s="77" t="s">
        <v>2386</v>
      </c>
      <c r="AC231" s="26"/>
      <c r="AD231" s="33" t="e">
        <f>QUOTIENT(SUMPRODUCT(LEFT($AE231:$AF231,FIND("년",$AE231:$AF231)-1)*12+MID($AE231:$AF231,FIND("년",$AE231:$AF231)+1,FIND("개월",$AE231:$AF231)-FIND("년",$AE231:$AF231)-1)),12)&amp;"년"&amp;MOD(SUMPRODUCT(LEFT($AE231:$AF231,FIND("년",$AE231:$AF231)-1)*12+MID($AE231:$AF231,FIND("년",$AE231:$AF231)+1,FIND("개월",$AE231:$AF231)-FIND("년",$AE231:$AF231)-1)),12)&amp;"개월"</f>
        <v>#VALUE!</v>
      </c>
      <c r="AE231" s="79"/>
      <c r="AF231" s="80" t="str">
        <f ca="1">DATEDIF($L231,TODAY(),"y")&amp;"년"&amp;DATEDIF($L231,TODAY(),"ym")&amp;"개월"</f>
        <v>0년0개월</v>
      </c>
      <c r="AG231" s="81" t="s">
        <v>2691</v>
      </c>
      <c r="AH231" s="81" t="s">
        <v>2692</v>
      </c>
      <c r="AI231" s="76" t="s">
        <v>2552</v>
      </c>
      <c r="AJ231" s="78">
        <v>36931</v>
      </c>
      <c r="AK231" s="103" t="e">
        <f>VALUE(LEFT($AD231,FIND("년",$AD231)-1))</f>
        <v>#VALUE!</v>
      </c>
      <c r="AL231" s="77" t="b">
        <f>IF($AI231="학사",IF($AK231&lt;=5,"초급",IF($AK231&lt;9,"중급",IF($AK231&lt;12,"고급",IF($AK231&gt;=12,"특급")))))</f>
        <v>0</v>
      </c>
      <c r="AM231" s="77" t="str">
        <f>IF(ISNUMBER(SEARCH("산업기사",$AT231)),IF($AK231&gt;=13,"특급",IF($AK231&gt;=10,"고급",IF($AK231&gt;=7,"중급","초급"))),IF(ISNUMBER(SEARCH("기사",$AR231)),IF($AK231&gt;=10,"특급",IF($AK231&gt;=7,"고급",IF($AK231&gt;=4,"중급","초급"))),"미해당"))</f>
        <v>미해당</v>
      </c>
      <c r="AN231" s="26"/>
      <c r="AO231" s="78"/>
      <c r="AP231" s="26"/>
      <c r="AQ231" s="78"/>
      <c r="AR231" s="26"/>
      <c r="AS231" s="26"/>
      <c r="AT231" s="82"/>
      <c r="AU231" s="26"/>
      <c r="AV231" s="83"/>
      <c r="AW231" s="84"/>
      <c r="AX231" s="84"/>
      <c r="AY231" s="40" t="s">
        <v>2374</v>
      </c>
      <c r="AZ231" s="41" t="s">
        <v>2375</v>
      </c>
      <c r="BA231" s="76" t="s">
        <v>2320</v>
      </c>
      <c r="BB231" s="76" t="s">
        <v>2693</v>
      </c>
      <c r="BC231" s="85"/>
      <c r="BD231" s="85"/>
      <c r="BE231" s="108" t="s">
        <v>2694</v>
      </c>
      <c r="BF231" s="85" t="s">
        <v>2417</v>
      </c>
      <c r="BG231" s="85" t="s">
        <v>2695</v>
      </c>
      <c r="BH231" s="81" t="s">
        <v>2696</v>
      </c>
      <c r="BI231" s="86" t="s">
        <v>2697</v>
      </c>
      <c r="BJ231" s="45" t="s">
        <v>2558</v>
      </c>
      <c r="BK231" s="46" t="s">
        <v>2698</v>
      </c>
      <c r="BL231" s="70">
        <v>30</v>
      </c>
      <c r="BM231" s="70">
        <v>30</v>
      </c>
      <c r="BN231" s="87">
        <f>4800000*12</f>
        <v>57600000</v>
      </c>
      <c r="BO231" s="87">
        <f>BP231*12</f>
        <v>57600116.400000006</v>
      </c>
      <c r="BP231" s="88">
        <f>SUM(BQ231:BS231)</f>
        <v>4800009.7</v>
      </c>
      <c r="BQ231" s="88">
        <f>ROUNDUP(BN231/12*209/(209+BU231*1.5)/BL231*BM231,-1)-BS231</f>
        <v>3295480</v>
      </c>
      <c r="BR231" s="88">
        <f>ROUNDUP(BN231/12*(BU231*1.5)/(209+BU231*1.5)/BL231*BM231,1)</f>
        <v>1304529.7000000002</v>
      </c>
      <c r="BS231" s="88">
        <v>200000</v>
      </c>
      <c r="BT231" s="89">
        <v>209</v>
      </c>
      <c r="BU231" s="49">
        <f>IF($BN231="","",
IFERROR(
    IF($BN231&lt;'[1]시간외시간 기준표'!$B$2,0,
        IF($BN231&gt;LOOKUP(9.9E+307,'[1]시간외시간 기준표'!$B$2:$B$999),
            LOOKUP(9.9E+307,'[1]시간외시간 기준표'!$C$2:$C$999),
            LOOKUP($BN231,'[1]시간외시간 기준표'!$B$2:$B$999,'[1]시간외시간 기준표'!$C$2:$C$999)
        )
    ),0)
)</f>
        <v>52</v>
      </c>
      <c r="BV231" s="89">
        <f>(BQ231+BS231)/209</f>
        <v>16724.784688995216</v>
      </c>
      <c r="BW231" s="71"/>
      <c r="BX231" s="71"/>
      <c r="BY231" s="90"/>
      <c r="BZ231" s="90"/>
      <c r="CA231" s="88"/>
      <c r="CB231" s="88"/>
      <c r="CC231" s="88"/>
      <c r="CD231" s="88"/>
      <c r="CE231" s="89"/>
      <c r="CF231" s="88"/>
      <c r="CG231" s="89"/>
      <c r="CH231" s="91"/>
      <c r="CI231" s="91"/>
      <c r="CJ231" s="92"/>
      <c r="CK231" s="92"/>
      <c r="CL231" s="88"/>
      <c r="CM231" s="88"/>
      <c r="CN231" s="88"/>
      <c r="CO231" s="89"/>
      <c r="CP231" s="89"/>
      <c r="CQ231" s="89"/>
      <c r="CR231" s="89"/>
      <c r="CS231" s="90"/>
      <c r="CT231" s="93"/>
      <c r="CU231" s="93"/>
      <c r="CV231" s="93"/>
      <c r="CW231" s="94"/>
      <c r="CX231" s="94"/>
      <c r="CY231" s="94"/>
      <c r="CZ231" s="95"/>
      <c r="DA231" s="95"/>
      <c r="DB231" s="96"/>
      <c r="DC231" s="97"/>
      <c r="DD231" s="98"/>
      <c r="DE231" s="98"/>
      <c r="DF231" s="97"/>
      <c r="DG231" s="99"/>
      <c r="DH231" s="98"/>
      <c r="DI231" s="98"/>
      <c r="DJ231" s="100"/>
      <c r="DK231" s="98"/>
      <c r="DL231" s="101"/>
      <c r="DM231" s="24"/>
    </row>
    <row r="232" spans="1:117" ht="15" customHeight="1">
      <c r="A232" s="74">
        <f>ROW()-2</f>
        <v>230</v>
      </c>
      <c r="B232" s="26">
        <v>9240904</v>
      </c>
      <c r="C232" s="26" t="s">
        <v>2699</v>
      </c>
      <c r="D232" s="27"/>
      <c r="E232" s="27" t="s">
        <v>195</v>
      </c>
      <c r="F232" s="27" t="s">
        <v>2700</v>
      </c>
      <c r="G232" s="27" t="s">
        <v>2701</v>
      </c>
      <c r="H232" s="27" t="s">
        <v>198</v>
      </c>
      <c r="I232" s="27" t="s">
        <v>389</v>
      </c>
      <c r="J232" s="27" t="str">
        <f>+VLOOKUP($I232,[1]프로젝트현황!$I:$N,5,0)</f>
        <v>서울시</v>
      </c>
      <c r="K232" s="27" t="str">
        <f>+VLOOKUP($I232,[1]프로젝트현황!$I:$N,6,0)</f>
        <v>강남구</v>
      </c>
      <c r="L232" s="68">
        <v>45901</v>
      </c>
      <c r="M232" s="68"/>
      <c r="N232" s="68"/>
      <c r="O232" s="75"/>
      <c r="P232" s="76" t="s">
        <v>2702</v>
      </c>
      <c r="Q232" s="26" t="s">
        <v>2703</v>
      </c>
      <c r="R232" s="77" t="str">
        <f>LEFT(Q232,6)</f>
        <v>670324</v>
      </c>
      <c r="S232" s="77" t="str">
        <f>MID($Q232,3,2)</f>
        <v>03</v>
      </c>
      <c r="T232" s="77" t="str">
        <f>IF(OR(MID($Q232,8,1)="1",MID($Q232,8,1)="3"),"남자",IF(OR(MID($Q232,8,1)="2",MID($Q232,8,1)="4"),"여자",""))</f>
        <v>남자</v>
      </c>
      <c r="U232" s="77">
        <f ca="1">YEAR(TODAY())-IF(OR(MID($Q232,8,1)="1",MID($Q232,8,1)="2"),19&amp;LEFT($Q232,2),IF(OR(MID($Q232,8,1)="3",MID($Q232,8,1)="4"),20&amp;LEFT($Q232,2),""))+1</f>
        <v>60</v>
      </c>
      <c r="V232" s="77" t="s">
        <v>200</v>
      </c>
      <c r="W232" s="77" t="s">
        <v>201</v>
      </c>
      <c r="X232" s="26" t="s">
        <v>2704</v>
      </c>
      <c r="Y232" s="26"/>
      <c r="Z232" s="26" t="s">
        <v>222</v>
      </c>
      <c r="AA232" s="78"/>
      <c r="AB232" s="77" t="s">
        <v>203</v>
      </c>
      <c r="AC232" s="26"/>
      <c r="AD232" s="79" t="str">
        <f ca="1">QUOTIENT(SUMPRODUCT(LEFT($AE232:$AF232,FIND("년",$AE232:$AF232)-1)*12+MID($AE232:$AF232,FIND("년",$AE232:$AF232)+1,FIND("개월",$AE232:$AF232)-FIND("년",$AE232:$AF232)-1)),12)&amp;"년"&amp;MOD(SUMPRODUCT(LEFT($AE232:$AF232,FIND("년",$AE232:$AF232)-1)*12+MID($AE232:$AF232,FIND("년",$AE232:$AF232)+1,FIND("개월",$AE232:$AF232)-FIND("년",$AE232:$AF232)-1)),12)&amp;"개월"</f>
        <v>19년5개월</v>
      </c>
      <c r="AE232" s="79" t="s">
        <v>2351</v>
      </c>
      <c r="AF232" s="80" t="str">
        <f ca="1">DATEDIF($L232,TODAY(),"y")&amp;"년"&amp;DATEDIF($L232,TODAY(),"ym")&amp;"개월"</f>
        <v>0년5개월</v>
      </c>
      <c r="AG232" s="81" t="s">
        <v>2705</v>
      </c>
      <c r="AH232" s="81" t="s">
        <v>2706</v>
      </c>
      <c r="AI232" s="76" t="s">
        <v>270</v>
      </c>
      <c r="AJ232" s="78">
        <v>34026</v>
      </c>
      <c r="AK232" s="103">
        <f ca="1">VALUE(LEFT($AD232,FIND("년",$AD232)-1))</f>
        <v>19</v>
      </c>
      <c r="AL232" s="77" t="str">
        <f ca="1">IF($AI232="학사",IF($AK232&lt;=5,"초급",IF($AK232&lt;9,"중급",IF($AK232&lt;12,"고급",IF($AK232&gt;=12,"특급")))))</f>
        <v>특급</v>
      </c>
      <c r="AM232" s="77" t="str">
        <f>IF(ISNUMBER(SEARCH("산업기사",$AT232)),IF($AK232&gt;=13,"특급",IF($AK232&gt;=10,"고급",IF($AK232&gt;=7,"중급","초급"))),IF(ISNUMBER(SEARCH("기사",$AR232)),IF($AK232&gt;=10,"특급",IF($AK232&gt;=7,"고급",IF($AK232&gt;=4,"중급","초급"))),"미해당"))</f>
        <v>미해당</v>
      </c>
      <c r="AN232" s="26"/>
      <c r="AO232" s="78"/>
      <c r="AP232" s="26"/>
      <c r="AQ232" s="78"/>
      <c r="AR232" s="26"/>
      <c r="AS232" s="26"/>
      <c r="AT232" s="82"/>
      <c r="AU232" s="26"/>
      <c r="AV232" s="83"/>
      <c r="AW232" s="84"/>
      <c r="AX232" s="84"/>
      <c r="AY232" s="104" t="s">
        <v>229</v>
      </c>
      <c r="AZ232" s="105" t="s">
        <v>229</v>
      </c>
      <c r="BA232" s="76" t="s">
        <v>1164</v>
      </c>
      <c r="BB232" s="76" t="s">
        <v>2707</v>
      </c>
      <c r="BC232" s="85"/>
      <c r="BD232" s="85"/>
      <c r="BE232" s="69" t="s">
        <v>2708</v>
      </c>
      <c r="BF232" s="85" t="s">
        <v>211</v>
      </c>
      <c r="BG232" s="85" t="s">
        <v>1200</v>
      </c>
      <c r="BH232" s="81"/>
      <c r="BI232" s="86" t="s">
        <v>2709</v>
      </c>
      <c r="BJ232" s="45" t="str">
        <f>IFERROR(VLOOKUP($BG232,[1]프로젝트현황!Y:Z,2,0),"기타")</f>
        <v>동북권</v>
      </c>
      <c r="BK232" s="106" t="str">
        <f>(IF(BF232="","",BF232&amp;" "))&amp;(IF(BG232="","",BG232&amp;" "))&amp;(IF(BH232="","",BH232&amp;" "))&amp;BI232</f>
        <v>서울시 노원구 화랑로47길 38, 105동 1104호</v>
      </c>
      <c r="BL232" s="70">
        <v>30</v>
      </c>
      <c r="BM232" s="70">
        <v>30</v>
      </c>
      <c r="BN232" s="87">
        <v>80000000</v>
      </c>
      <c r="BO232" s="87">
        <f>BP232*12</f>
        <v>80000000.400000006</v>
      </c>
      <c r="BP232" s="88">
        <f>SUM(BQ232:BS232)</f>
        <v>6666666.7000000002</v>
      </c>
      <c r="BQ232" s="88">
        <f>ROUNDUP(BN232/12*209/(209+BU232*1.5)/BL232*BM232,-1)-BS232</f>
        <v>4654820</v>
      </c>
      <c r="BR232" s="88">
        <f>ROUNDUP(BN232/12*(BU232*1.5)/(209+BU232*1.5)/BL232*BM232,1)</f>
        <v>1811846.7000000002</v>
      </c>
      <c r="BS232" s="88">
        <v>200000</v>
      </c>
      <c r="BT232" s="89">
        <v>209</v>
      </c>
      <c r="BU232" s="49">
        <f>IF($BN232="","",
IFERROR(
    IF($BN232&lt;'[1]시간외시간 기준표'!$B$2,0,
        IF($BN232&gt;LOOKUP(9.9E+307,'[1]시간외시간 기준표'!$B$2:$B$999),
            LOOKUP(9.9E+307,'[1]시간외시간 기준표'!$C$2:$C$999),
            LOOKUP($BN232,'[1]시간외시간 기준표'!$B$2:$B$999,'[1]시간외시간 기준표'!$C$2:$C$999)
        )
    ),0)
)</f>
        <v>52</v>
      </c>
      <c r="BV232" s="89">
        <f>(BQ232+BS232)/209</f>
        <v>23228.803827751195</v>
      </c>
      <c r="BW232" s="71">
        <v>30</v>
      </c>
      <c r="BX232" s="71">
        <v>30</v>
      </c>
      <c r="BY232" s="90">
        <v>80000000</v>
      </c>
      <c r="BZ232" s="90">
        <f>CA232*12</f>
        <v>80000000.400000006</v>
      </c>
      <c r="CA232" s="88">
        <f>SUM(CB232:CD232)</f>
        <v>6666666.7000000002</v>
      </c>
      <c r="CB232" s="88">
        <f>ROUNDUP(BY232/12*209/(209+CF232*1.5)/BW232*BX232,-1)-CD232</f>
        <v>4654820</v>
      </c>
      <c r="CC232" s="88">
        <f>ROUNDUP(BY232/12*(CF232*1.5)/(209+CF232*1.5)/BW232*BX232,1)</f>
        <v>1811846.7000000002</v>
      </c>
      <c r="CD232" s="88">
        <v>200000</v>
      </c>
      <c r="CE232" s="89">
        <v>209</v>
      </c>
      <c r="CF232" s="88">
        <f>IF(BY232&lt;26000000,0,IF(BY232&lt;26500000,4,IF(BY232&lt;27000000,7,IF(BY232&lt;27500000,9,IF(BY232&lt;28000000,11,IF(BY232&lt;28500000,15,IF(BY232&lt;29000000,17,IF(BY232&lt;29500000,20,IF(BY232&lt;30000000,23,IF(BY232&lt;30500000,25,IF(BY232&lt;31000000,27,IF(BY232&lt;31500000,29,IF(BY232&lt;32000000,33,IF(BY232&lt;32500000,37,IF(BY232&lt;33000000,39,IF(BY232&lt;33500000,42,IF(BY232&lt;34000000,45,IF(BY232&lt;34500000,48,IF(BY232&lt;35000000,52,52)))))))))))))))))))</f>
        <v>52</v>
      </c>
      <c r="CG232" s="89">
        <f>(CB232+CD232)/209</f>
        <v>23228.803827751195</v>
      </c>
      <c r="CH232" s="91">
        <v>30</v>
      </c>
      <c r="CI232" s="91">
        <v>30</v>
      </c>
      <c r="CJ232" s="92">
        <v>50000000</v>
      </c>
      <c r="CK232" s="92">
        <v>50000000</v>
      </c>
      <c r="CL232" s="88">
        <f>CK232/12</f>
        <v>4166666.6666666665</v>
      </c>
      <c r="CM232" s="88">
        <f>CL232</f>
        <v>4166666.6666666665</v>
      </c>
      <c r="CN232" s="88"/>
      <c r="CO232" s="89"/>
      <c r="CP232" s="89">
        <v>209</v>
      </c>
      <c r="CQ232" s="89">
        <f>IF(CJ232&lt;26000000,0,IF(CJ232&lt;26500000,7,IF(CJ232&lt;27000000,9,IF(CJ232&lt;27500000,12,IF(CJ232&lt;28000000,15,IF(CJ232&lt;28500000,18,IF(CJ232&lt;29000000,20,IF(CJ232&lt;29500000,24,IF(CJ232&lt;30000000,26,IF(CJ232&lt;30500000,29,IF(CJ232&lt;31000000,32,IF(CJ232&lt;31500000,35,IF(CJ232&lt;32000000,38,IF(CJ232&lt;32500000,40,IF(CJ232&lt;33000000,43,IF(CJ232&lt;33500000,45,IF(CJ232&lt;34000000,48,IF(CJ232&lt;34500000,52,52))))))))))))))))))</f>
        <v>52</v>
      </c>
      <c r="CR232" s="89">
        <f>(인사기본정보!$CM171+인사기본정보!$CO171)/209</f>
        <v>0</v>
      </c>
      <c r="CS232" s="90"/>
      <c r="CT232" s="93"/>
      <c r="CU232" s="93"/>
      <c r="CV232" s="93"/>
      <c r="CW232" s="94"/>
      <c r="CX232" s="94"/>
      <c r="CY232" s="94"/>
      <c r="CZ232" s="95"/>
      <c r="DA232" s="95"/>
      <c r="DB232" s="96"/>
      <c r="DC232" s="97"/>
      <c r="DD232" s="98"/>
      <c r="DE232" s="98"/>
      <c r="DF232" s="97"/>
      <c r="DG232" s="99">
        <f>B232</f>
        <v>9240904</v>
      </c>
      <c r="DH232" s="98"/>
      <c r="DI232" s="98"/>
      <c r="DJ232" s="100"/>
      <c r="DK232" s="98"/>
      <c r="DL232" s="101"/>
      <c r="DM232" s="24"/>
    </row>
    <row r="233" spans="1:117" ht="15" customHeight="1">
      <c r="A233" s="74">
        <f>ROW()-2</f>
        <v>231</v>
      </c>
      <c r="B233" s="26">
        <v>9250101</v>
      </c>
      <c r="C233" s="26" t="s">
        <v>2710</v>
      </c>
      <c r="D233" s="27"/>
      <c r="E233" s="27" t="s">
        <v>283</v>
      </c>
      <c r="F233" s="27" t="s">
        <v>2700</v>
      </c>
      <c r="G233" s="27" t="s">
        <v>240</v>
      </c>
      <c r="H233" s="27" t="s">
        <v>241</v>
      </c>
      <c r="I233" s="27" t="s">
        <v>1192</v>
      </c>
      <c r="J233" s="27" t="str">
        <f>+VLOOKUP($I233,[1]프로젝트현황!$I:$N,5,0)</f>
        <v>서울시</v>
      </c>
      <c r="K233" s="27" t="str">
        <f>+VLOOKUP($I233,[1]프로젝트현황!$I:$N,6,0)</f>
        <v>중구</v>
      </c>
      <c r="L233" s="68">
        <v>45659</v>
      </c>
      <c r="M233" s="68"/>
      <c r="N233" s="68"/>
      <c r="O233" s="75"/>
      <c r="P233" s="76" t="s">
        <v>2711</v>
      </c>
      <c r="Q233" s="26" t="s">
        <v>2712</v>
      </c>
      <c r="R233" s="77" t="str">
        <f>LEFT(Q233,6)</f>
        <v>750125</v>
      </c>
      <c r="S233" s="77" t="str">
        <f>MID($Q233,3,2)</f>
        <v>01</v>
      </c>
      <c r="T233" s="77" t="str">
        <f>IF(OR(MID($Q233,8,1)="1",MID($Q233,8,1)="3"),"남자",IF(OR(MID($Q233,8,1)="2",MID($Q233,8,1)="4"),"여자",""))</f>
        <v>여자</v>
      </c>
      <c r="U233" s="77">
        <f ca="1">YEAR(TODAY())-IF(OR(MID($Q233,8,1)="1",MID($Q233,8,1)="2"),19&amp;LEFT($Q233,2),IF(OR(MID($Q233,8,1)="3",MID($Q233,8,1)="4"),20&amp;LEFT($Q233,2),""))+1</f>
        <v>52</v>
      </c>
      <c r="V233" s="77" t="s">
        <v>200</v>
      </c>
      <c r="W233" s="77" t="s">
        <v>201</v>
      </c>
      <c r="X233" s="26" t="s">
        <v>2713</v>
      </c>
      <c r="Y233" s="26"/>
      <c r="Z233" s="26"/>
      <c r="AA233" s="78"/>
      <c r="AB233" s="77" t="s">
        <v>203</v>
      </c>
      <c r="AC233" s="26"/>
      <c r="AD233" s="79" t="str">
        <f ca="1">QUOTIENT(SUMPRODUCT(LEFT($AE233:$AF233,FIND("년",$AE233:$AF233)-1)*12+MID($AE233:$AF233,FIND("년",$AE233:$AF233)+1,FIND("개월",$AE233:$AF233)-FIND("년",$AE233:$AF233)-1)),12)&amp;"년"&amp;MOD(SUMPRODUCT(LEFT($AE233:$AF233,FIND("년",$AE233:$AF233)-1)*12+MID($AE233:$AF233,FIND("년",$AE233:$AF233)+1,FIND("개월",$AE233:$AF233)-FIND("년",$AE233:$AF233)-1)),12)&amp;"개월"</f>
        <v>14년11개월</v>
      </c>
      <c r="AE233" s="79" t="s">
        <v>2714</v>
      </c>
      <c r="AF233" s="80" t="str">
        <f ca="1">DATEDIF($L233,TODAY(),"y")&amp;"년"&amp;DATEDIF($L233,TODAY(),"ym")&amp;"개월"</f>
        <v>1년1개월</v>
      </c>
      <c r="AG233" s="81" t="s">
        <v>2715</v>
      </c>
      <c r="AH233" s="81" t="s">
        <v>2716</v>
      </c>
      <c r="AI233" s="76" t="s">
        <v>365</v>
      </c>
      <c r="AJ233" s="78">
        <v>34013</v>
      </c>
      <c r="AK233" s="103">
        <f ca="1">VALUE(LEFT($AD233,FIND("년",$AD233)-1))</f>
        <v>14</v>
      </c>
      <c r="AL233" s="77" t="str">
        <f ca="1">IF($AI233="고졸",IF($AK233&lt;=11,"초급",IF($AK233&lt;=14,"중급",IF($AK233&lt;=17,"고급",IF($AK233&gt;=18,"특급")))))</f>
        <v>중급</v>
      </c>
      <c r="AM233" s="77" t="str">
        <f>IF(ISNUMBER(SEARCH("산업기사",$AT233)),IF($AK233&gt;=13,"특급",IF($AK233&gt;=10,"고급",IF($AK233&gt;=7,"중급","초급"))),IF(ISNUMBER(SEARCH("기사",$AR233)),IF($AK233&gt;=10,"특급",IF($AK233&gt;=7,"고급",IF($AK233&gt;=4,"중급","초급"))),"미해당"))</f>
        <v>미해당</v>
      </c>
      <c r="AN233" s="26"/>
      <c r="AO233" s="78"/>
      <c r="AP233" s="26"/>
      <c r="AQ233" s="78"/>
      <c r="AR233" s="26"/>
      <c r="AS233" s="26"/>
      <c r="AT233" s="82"/>
      <c r="AU233" s="26"/>
      <c r="AV233" s="83"/>
      <c r="AW233" s="84"/>
      <c r="AX233" s="84"/>
      <c r="AY233" s="104" t="s">
        <v>251</v>
      </c>
      <c r="AZ233" s="105" t="s">
        <v>252</v>
      </c>
      <c r="BA233" s="76" t="s">
        <v>2717</v>
      </c>
      <c r="BB233" s="76" t="s">
        <v>2718</v>
      </c>
      <c r="BC233" s="85"/>
      <c r="BD233" s="85"/>
      <c r="BE233" s="69" t="s">
        <v>2719</v>
      </c>
      <c r="BF233" s="85" t="s">
        <v>1688</v>
      </c>
      <c r="BG233" s="85" t="s">
        <v>341</v>
      </c>
      <c r="BH233" s="81" t="s">
        <v>2720</v>
      </c>
      <c r="BI233" s="86"/>
      <c r="BJ233" s="45" t="str">
        <f>IFERROR(VLOOKUP($BG233,[1]프로젝트현황!Y:Z,2,0),"기타")</f>
        <v>서남권</v>
      </c>
      <c r="BK233" s="106" t="str">
        <f>(IF(BF233="","",BF233&amp;" "))&amp;(IF(BG233="","",BG233&amp;" "))&amp;(IF(BH233="","",BH233&amp;" "))&amp;BI233</f>
        <v xml:space="preserve">서울특별시 구로구 도림로3길 40, 302호 (구로동) </v>
      </c>
      <c r="BL233" s="70">
        <v>30</v>
      </c>
      <c r="BM233" s="70">
        <v>30</v>
      </c>
      <c r="BN233" s="87">
        <v>57600000</v>
      </c>
      <c r="BO233" s="87">
        <f>BP233*12</f>
        <v>57600000</v>
      </c>
      <c r="BP233" s="88">
        <f>BN233/12</f>
        <v>4800000</v>
      </c>
      <c r="BQ233" s="88">
        <f>BP233-BS233</f>
        <v>4600000</v>
      </c>
      <c r="BR233" s="88">
        <f>BQ233*84.3%</f>
        <v>3877800</v>
      </c>
      <c r="BS233" s="88">
        <v>200000</v>
      </c>
      <c r="BT233" s="89">
        <v>209</v>
      </c>
      <c r="BU233" s="49">
        <f>IF($BN233="","",
IFERROR(
    IF($BN233&lt;'[1]시간외시간 기준표'!$B$2,0,
        IF($BN233&gt;LOOKUP(9.9E+307,'[1]시간외시간 기준표'!$B$2:$B$999),
            LOOKUP(9.9E+307,'[1]시간외시간 기준표'!$C$2:$C$999),
            LOOKUP($BN233,'[1]시간외시간 기준표'!$B$2:$B$999,'[1]시간외시간 기준표'!$C$2:$C$999)
        )
    ),0)
)</f>
        <v>52</v>
      </c>
      <c r="BV233" s="89">
        <f>(BQ233+BS233)/209</f>
        <v>22966.507177033494</v>
      </c>
      <c r="BW233" s="71">
        <v>30</v>
      </c>
      <c r="BX233" s="71">
        <v>30</v>
      </c>
      <c r="BY233" s="90">
        <v>57600000</v>
      </c>
      <c r="BZ233" s="90">
        <f>CA233*12</f>
        <v>57600000</v>
      </c>
      <c r="CA233" s="88">
        <f>BY233/12</f>
        <v>4800000</v>
      </c>
      <c r="CB233" s="88">
        <f>CA233-CD233</f>
        <v>4600000</v>
      </c>
      <c r="CC233" s="88">
        <f>CB233*84.3%</f>
        <v>3877800</v>
      </c>
      <c r="CD233" s="88">
        <v>200000</v>
      </c>
      <c r="CE233" s="89">
        <v>209</v>
      </c>
      <c r="CF233" s="88">
        <f>IF(BY233&lt;26000000,0,IF(BY233&lt;26500000,4,IF(BY233&lt;27000000,7,IF(BY233&lt;27500000,9,IF(BY233&lt;28000000,11,IF(BY233&lt;28500000,15,IF(BY233&lt;29000000,17,IF(BY233&lt;29500000,20,IF(BY233&lt;30000000,23,IF(BY233&lt;30500000,25,IF(BY233&lt;31000000,27,IF(BY233&lt;31500000,29,IF(BY233&lt;32000000,33,IF(BY233&lt;32500000,37,IF(BY233&lt;33000000,39,IF(BY233&lt;33500000,42,IF(BY233&lt;34000000,45,IF(BY233&lt;34500000,48,IF(BY233&lt;35000000,52,52)))))))))))))))))))</f>
        <v>52</v>
      </c>
      <c r="CG233" s="89">
        <f>(CB233+CD233)/209</f>
        <v>22966.507177033494</v>
      </c>
      <c r="CH233" s="91">
        <v>30</v>
      </c>
      <c r="CI233" s="91">
        <v>30</v>
      </c>
      <c r="CJ233" s="92">
        <v>57600000</v>
      </c>
      <c r="CK233" s="92">
        <v>57600000</v>
      </c>
      <c r="CL233" s="88">
        <f>CK233/12</f>
        <v>4800000</v>
      </c>
      <c r="CM233" s="88">
        <f>CL233</f>
        <v>4800000</v>
      </c>
      <c r="CN233" s="88"/>
      <c r="CO233" s="89"/>
      <c r="CP233" s="89">
        <v>209</v>
      </c>
      <c r="CQ233" s="89">
        <f>IF(CJ233&lt;26000000,0,IF(CJ233&lt;26500000,7,IF(CJ233&lt;27000000,9,IF(CJ233&lt;27500000,12,IF(CJ233&lt;28000000,15,IF(CJ233&lt;28500000,18,IF(CJ233&lt;29000000,20,IF(CJ233&lt;29500000,24,IF(CJ233&lt;30000000,26,IF(CJ233&lt;30500000,29,IF(CJ233&lt;31000000,32,IF(CJ233&lt;31500000,35,IF(CJ233&lt;32000000,38,IF(CJ233&lt;32500000,40,IF(CJ233&lt;33000000,43,IF(CJ233&lt;33500000,45,IF(CJ233&lt;34000000,48,IF(CJ233&lt;34500000,52,52))))))))))))))))))</f>
        <v>52</v>
      </c>
      <c r="CR233" s="89">
        <f>(인사기본정보!$CM173+인사기본정보!$CO173)/209</f>
        <v>0</v>
      </c>
      <c r="CS233" s="90"/>
      <c r="CT233" s="93"/>
      <c r="CU233" s="93"/>
      <c r="CV233" s="93"/>
      <c r="CW233" s="94"/>
      <c r="CX233" s="94"/>
      <c r="CY233" s="94"/>
      <c r="CZ233" s="95"/>
      <c r="DA233" s="95"/>
      <c r="DB233" s="96"/>
      <c r="DC233" s="97"/>
      <c r="DD233" s="98"/>
      <c r="DE233" s="98"/>
      <c r="DF233" s="97"/>
      <c r="DG233" s="99">
        <f>B233</f>
        <v>9250101</v>
      </c>
      <c r="DH233" s="98"/>
      <c r="DI233" s="98"/>
      <c r="DJ233" s="100"/>
      <c r="DK233" s="98"/>
      <c r="DL233" s="101"/>
      <c r="DM233" s="24"/>
    </row>
    <row r="234" spans="1:117" ht="15" customHeight="1">
      <c r="A234" s="74">
        <f>ROW()-2</f>
        <v>232</v>
      </c>
      <c r="B234" s="26">
        <v>9250102</v>
      </c>
      <c r="C234" s="26" t="s">
        <v>2721</v>
      </c>
      <c r="D234" s="27"/>
      <c r="E234" s="27" t="s">
        <v>283</v>
      </c>
      <c r="F234" s="27" t="s">
        <v>2700</v>
      </c>
      <c r="G234" s="27" t="s">
        <v>240</v>
      </c>
      <c r="H234" s="27" t="s">
        <v>241</v>
      </c>
      <c r="I234" s="27" t="s">
        <v>1192</v>
      </c>
      <c r="J234" s="27" t="str">
        <f>+VLOOKUP($I234,[1]프로젝트현황!$I:$N,5,0)</f>
        <v>서울시</v>
      </c>
      <c r="K234" s="27" t="str">
        <f>+VLOOKUP($I234,[1]프로젝트현황!$I:$N,6,0)</f>
        <v>중구</v>
      </c>
      <c r="L234" s="68">
        <v>45659</v>
      </c>
      <c r="M234" s="68"/>
      <c r="N234" s="68"/>
      <c r="O234" s="75"/>
      <c r="P234" s="76" t="s">
        <v>2722</v>
      </c>
      <c r="Q234" s="26" t="s">
        <v>2723</v>
      </c>
      <c r="R234" s="77" t="str">
        <f>LEFT(Q234,6)</f>
        <v>760825</v>
      </c>
      <c r="S234" s="77" t="str">
        <f>MID($Q234,3,2)</f>
        <v>08</v>
      </c>
      <c r="T234" s="77" t="str">
        <f>IF(OR(MID($Q234,8,1)="1",MID($Q234,8,1)="3"),"남자",IF(OR(MID($Q234,8,1)="2",MID($Q234,8,1)="4"),"여자",""))</f>
        <v>여자</v>
      </c>
      <c r="U234" s="77">
        <f ca="1">YEAR(TODAY())-IF(OR(MID($Q234,8,1)="1",MID($Q234,8,1)="2"),19&amp;LEFT($Q234,2),IF(OR(MID($Q234,8,1)="3",MID($Q234,8,1)="4"),20&amp;LEFT($Q234,2),""))+1</f>
        <v>51</v>
      </c>
      <c r="V234" s="77" t="s">
        <v>200</v>
      </c>
      <c r="W234" s="77" t="s">
        <v>201</v>
      </c>
      <c r="X234" s="26" t="s">
        <v>2724</v>
      </c>
      <c r="Y234" s="26"/>
      <c r="Z234" s="26"/>
      <c r="AA234" s="78"/>
      <c r="AB234" s="77" t="s">
        <v>203</v>
      </c>
      <c r="AC234" s="26"/>
      <c r="AD234" s="79" t="str">
        <f ca="1">QUOTIENT(SUMPRODUCT(LEFT($AE234:$AF234,FIND("년",$AE234:$AF234)-1)*12+MID($AE234:$AF234,FIND("년",$AE234:$AF234)+1,FIND("개월",$AE234:$AF234)-FIND("년",$AE234:$AF234)-1)),12)&amp;"년"&amp;MOD(SUMPRODUCT(LEFT($AE234:$AF234,FIND("년",$AE234:$AF234)-1)*12+MID($AE234:$AF234,FIND("년",$AE234:$AF234)+1,FIND("개월",$AE234:$AF234)-FIND("년",$AE234:$AF234)-1)),12)&amp;"개월"</f>
        <v>10년1개월</v>
      </c>
      <c r="AE234" s="79" t="s">
        <v>2725</v>
      </c>
      <c r="AF234" s="80" t="str">
        <f ca="1">DATEDIF($L234,TODAY(),"y")&amp;"년"&amp;DATEDIF($L234,TODAY(),"ym")&amp;"개월"</f>
        <v>1년1개월</v>
      </c>
      <c r="AG234" s="81" t="s">
        <v>2726</v>
      </c>
      <c r="AH234" s="81" t="s">
        <v>2727</v>
      </c>
      <c r="AI234" s="76" t="s">
        <v>365</v>
      </c>
      <c r="AJ234" s="78">
        <v>34740</v>
      </c>
      <c r="AK234" s="103">
        <f ca="1">VALUE(LEFT($AD234,FIND("년",$AD234)-1))</f>
        <v>10</v>
      </c>
      <c r="AL234" s="77" t="str">
        <f ca="1">IF($AI234="고졸",IF($AK234&lt;=11,"초급",IF($AK234&lt;=14,"중급",IF($AK234&lt;=17,"고급",IF($AK234&gt;=18,"특급")))))</f>
        <v>초급</v>
      </c>
      <c r="AM234" s="77" t="str">
        <f>IF(ISNUMBER(SEARCH("산업기사",$AT234)),IF($AK234&gt;=13,"특급",IF($AK234&gt;=10,"고급",IF($AK234&gt;=7,"중급","초급"))),IF(ISNUMBER(SEARCH("기사",$AR234)),IF($AK234&gt;=10,"특급",IF($AK234&gt;=7,"고급",IF($AK234&gt;=4,"중급","초급"))),"미해당"))</f>
        <v>미해당</v>
      </c>
      <c r="AN234" s="26"/>
      <c r="AO234" s="78"/>
      <c r="AP234" s="26"/>
      <c r="AQ234" s="78"/>
      <c r="AR234" s="26"/>
      <c r="AS234" s="26"/>
      <c r="AT234" s="82"/>
      <c r="AU234" s="26"/>
      <c r="AV234" s="83"/>
      <c r="AW234" s="84"/>
      <c r="AX234" s="84"/>
      <c r="AY234" s="104" t="s">
        <v>251</v>
      </c>
      <c r="AZ234" s="105" t="s">
        <v>252</v>
      </c>
      <c r="BA234" s="76" t="s">
        <v>230</v>
      </c>
      <c r="BB234" s="76" t="s">
        <v>2728</v>
      </c>
      <c r="BC234" s="85"/>
      <c r="BD234" s="85"/>
      <c r="BE234" s="69" t="s">
        <v>2729</v>
      </c>
      <c r="BF234" s="85" t="s">
        <v>234</v>
      </c>
      <c r="BG234" s="85" t="s">
        <v>235</v>
      </c>
      <c r="BH234" s="81" t="s">
        <v>1655</v>
      </c>
      <c r="BI234" s="86" t="s">
        <v>2730</v>
      </c>
      <c r="BJ234" s="45" t="str">
        <f>IFERROR(VLOOKUP($BG234,[1]프로젝트현황!Y:Z,2,0),"기타")</f>
        <v>서북권</v>
      </c>
      <c r="BK234" s="106" t="str">
        <f>(IF(BF234="","",BF234&amp;" "))&amp;(IF(BG234="","",BG234&amp;" "))&amp;(IF(BH234="","",BH234&amp;" "))&amp;BI234</f>
        <v>경기도 고양시 일산서구 후곡로 35, 501동 1201호</v>
      </c>
      <c r="BL234" s="70">
        <v>30</v>
      </c>
      <c r="BM234" s="70">
        <v>30</v>
      </c>
      <c r="BN234" s="87">
        <v>57600000</v>
      </c>
      <c r="BO234" s="87">
        <f>BP234*12</f>
        <v>57600000</v>
      </c>
      <c r="BP234" s="88">
        <f>BN234/12</f>
        <v>4800000</v>
      </c>
      <c r="BQ234" s="88">
        <f>BP234-BS234</f>
        <v>4600000</v>
      </c>
      <c r="BR234" s="88">
        <f>BQ234*84.3%</f>
        <v>3877800</v>
      </c>
      <c r="BS234" s="88">
        <v>200000</v>
      </c>
      <c r="BT234" s="89">
        <v>209</v>
      </c>
      <c r="BU234" s="49">
        <f>IF($BN234="","",
IFERROR(
    IF($BN234&lt;'[1]시간외시간 기준표'!$B$2,0,
        IF($BN234&gt;LOOKUP(9.9E+307,'[1]시간외시간 기준표'!$B$2:$B$999),
            LOOKUP(9.9E+307,'[1]시간외시간 기준표'!$C$2:$C$999),
            LOOKUP($BN234,'[1]시간외시간 기준표'!$B$2:$B$999,'[1]시간외시간 기준표'!$C$2:$C$999)
        )
    ),0)
)</f>
        <v>52</v>
      </c>
      <c r="BV234" s="89">
        <f>(BQ234+BS234)/209</f>
        <v>22966.507177033494</v>
      </c>
      <c r="BW234" s="71">
        <v>30</v>
      </c>
      <c r="BX234" s="71">
        <v>30</v>
      </c>
      <c r="BY234" s="90">
        <v>57600000</v>
      </c>
      <c r="BZ234" s="90">
        <f>CA234*12</f>
        <v>57600000</v>
      </c>
      <c r="CA234" s="88">
        <f>BY234/12</f>
        <v>4800000</v>
      </c>
      <c r="CB234" s="88">
        <f>CA234-CD234</f>
        <v>4600000</v>
      </c>
      <c r="CC234" s="88">
        <f>CB234*84.3%</f>
        <v>3877800</v>
      </c>
      <c r="CD234" s="88">
        <v>200000</v>
      </c>
      <c r="CE234" s="89">
        <v>209</v>
      </c>
      <c r="CF234" s="88">
        <f>IF(BY234&lt;26000000,0,IF(BY234&lt;26500000,4,IF(BY234&lt;27000000,7,IF(BY234&lt;27500000,9,IF(BY234&lt;28000000,11,IF(BY234&lt;28500000,15,IF(BY234&lt;29000000,17,IF(BY234&lt;29500000,20,IF(BY234&lt;30000000,23,IF(BY234&lt;30500000,25,IF(BY234&lt;31000000,27,IF(BY234&lt;31500000,29,IF(BY234&lt;32000000,33,IF(BY234&lt;32500000,37,IF(BY234&lt;33000000,39,IF(BY234&lt;33500000,42,IF(BY234&lt;34000000,45,IF(BY234&lt;34500000,48,IF(BY234&lt;35000000,52,52)))))))))))))))))))</f>
        <v>52</v>
      </c>
      <c r="CG234" s="89">
        <f>(CB234+CD234)/209</f>
        <v>22966.507177033494</v>
      </c>
      <c r="CH234" s="91">
        <v>30</v>
      </c>
      <c r="CI234" s="91">
        <v>30</v>
      </c>
      <c r="CJ234" s="92">
        <v>57600000</v>
      </c>
      <c r="CK234" s="92">
        <v>57600000</v>
      </c>
      <c r="CL234" s="88">
        <f>CK234/12</f>
        <v>4800000</v>
      </c>
      <c r="CM234" s="88">
        <f>CL234</f>
        <v>4800000</v>
      </c>
      <c r="CN234" s="88"/>
      <c r="CO234" s="89"/>
      <c r="CP234" s="89">
        <v>209</v>
      </c>
      <c r="CQ234" s="89">
        <f>IF(CJ234&lt;26000000,0,IF(CJ234&lt;26500000,7,IF(CJ234&lt;27000000,9,IF(CJ234&lt;27500000,12,IF(CJ234&lt;28000000,15,IF(CJ234&lt;28500000,18,IF(CJ234&lt;29000000,20,IF(CJ234&lt;29500000,24,IF(CJ234&lt;30000000,26,IF(CJ234&lt;30500000,29,IF(CJ234&lt;31000000,32,IF(CJ234&lt;31500000,35,IF(CJ234&lt;32000000,38,IF(CJ234&lt;32500000,40,IF(CJ234&lt;33000000,43,IF(CJ234&lt;33500000,45,IF(CJ234&lt;34000000,48,IF(CJ234&lt;34500000,52,52))))))))))))))))))</f>
        <v>52</v>
      </c>
      <c r="CR234" s="89">
        <f>(인사기본정보!$CM131+인사기본정보!$CO131)/209</f>
        <v>10110.334928229666</v>
      </c>
      <c r="CS234" s="90"/>
      <c r="CT234" s="93"/>
      <c r="CU234" s="93"/>
      <c r="CV234" s="93"/>
      <c r="CW234" s="94"/>
      <c r="CX234" s="94"/>
      <c r="CY234" s="94"/>
      <c r="CZ234" s="95"/>
      <c r="DA234" s="95"/>
      <c r="DB234" s="96"/>
      <c r="DC234" s="97"/>
      <c r="DD234" s="98"/>
      <c r="DE234" s="98"/>
      <c r="DF234" s="97"/>
      <c r="DG234" s="99">
        <f>B234</f>
        <v>9250102</v>
      </c>
      <c r="DH234" s="98"/>
      <c r="DI234" s="98"/>
      <c r="DJ234" s="100"/>
      <c r="DK234" s="98"/>
      <c r="DL234" s="101"/>
      <c r="DM234" s="24"/>
    </row>
    <row r="235" spans="1:117" ht="15" customHeight="1">
      <c r="A235" s="74">
        <f>ROW()-2</f>
        <v>233</v>
      </c>
      <c r="B235" s="26">
        <v>9250103</v>
      </c>
      <c r="C235" s="26" t="s">
        <v>2731</v>
      </c>
      <c r="D235" s="27"/>
      <c r="E235" s="27" t="s">
        <v>613</v>
      </c>
      <c r="F235" s="27" t="s">
        <v>2700</v>
      </c>
      <c r="G235" s="27" t="s">
        <v>240</v>
      </c>
      <c r="H235" s="27" t="s">
        <v>241</v>
      </c>
      <c r="I235" s="27" t="s">
        <v>1192</v>
      </c>
      <c r="J235" s="27" t="str">
        <f>+VLOOKUP($I235,[1]프로젝트현황!$I:$N,5,0)</f>
        <v>서울시</v>
      </c>
      <c r="K235" s="27" t="str">
        <f>+VLOOKUP($I235,[1]프로젝트현황!$I:$N,6,0)</f>
        <v>중구</v>
      </c>
      <c r="L235" s="68">
        <v>45659</v>
      </c>
      <c r="M235" s="68"/>
      <c r="N235" s="68"/>
      <c r="O235" s="75"/>
      <c r="P235" s="76" t="s">
        <v>2732</v>
      </c>
      <c r="Q235" s="26" t="s">
        <v>2733</v>
      </c>
      <c r="R235" s="77" t="str">
        <f>LEFT(Q235,6)</f>
        <v>950409</v>
      </c>
      <c r="S235" s="77" t="str">
        <f>MID($Q235,3,2)</f>
        <v>04</v>
      </c>
      <c r="T235" s="77" t="str">
        <f>IF(OR(MID($Q235,8,1)="1",MID($Q235,8,1)="3"),"남자",IF(OR(MID($Q235,8,1)="2",MID($Q235,8,1)="4"),"여자",""))</f>
        <v>남자</v>
      </c>
      <c r="U235" s="77">
        <f ca="1">YEAR(TODAY())-IF(OR(MID($Q235,8,1)="1",MID($Q235,8,1)="2"),19&amp;LEFT($Q235,2),IF(OR(MID($Q235,8,1)="3",MID($Q235,8,1)="4"),20&amp;LEFT($Q235,2),""))+1</f>
        <v>32</v>
      </c>
      <c r="V235" s="77" t="s">
        <v>200</v>
      </c>
      <c r="W235" s="77" t="s">
        <v>201</v>
      </c>
      <c r="X235" s="26" t="s">
        <v>2734</v>
      </c>
      <c r="Y235" s="26"/>
      <c r="Z235" s="26"/>
      <c r="AA235" s="78"/>
      <c r="AB235" s="77" t="s">
        <v>203</v>
      </c>
      <c r="AC235" s="26"/>
      <c r="AD235" s="79" t="str">
        <f ca="1">QUOTIENT(SUMPRODUCT(LEFT($AE235:$AF235,FIND("년",$AE235:$AF235)-1)*12+MID($AE235:$AF235,FIND("년",$AE235:$AF235)+1,FIND("개월",$AE235:$AF235)-FIND("년",$AE235:$AF235)-1)),12)&amp;"년"&amp;MOD(SUMPRODUCT(LEFT($AE235:$AF235,FIND("년",$AE235:$AF235)-1)*12+MID($AE235:$AF235,FIND("년",$AE235:$AF235)+1,FIND("개월",$AE235:$AF235)-FIND("년",$AE235:$AF235)-1)),12)&amp;"개월"</f>
        <v>2년2개월</v>
      </c>
      <c r="AE235" s="79" t="s">
        <v>1504</v>
      </c>
      <c r="AF235" s="80" t="str">
        <f ca="1">DATEDIF($L235,TODAY(),"y")&amp;"년"&amp;DATEDIF($L235,TODAY(),"ym")&amp;"개월"</f>
        <v>1년1개월</v>
      </c>
      <c r="AG235" s="81" t="s">
        <v>2735</v>
      </c>
      <c r="AH235" s="81" t="s">
        <v>2006</v>
      </c>
      <c r="AI235" s="76" t="s">
        <v>365</v>
      </c>
      <c r="AJ235" s="78">
        <v>41676</v>
      </c>
      <c r="AK235" s="103">
        <f ca="1">VALUE(LEFT($AD235,FIND("년",$AD235)-1))</f>
        <v>2</v>
      </c>
      <c r="AL235" s="77" t="str">
        <f ca="1">IF($AI235="고졸",IF($AK235&lt;=11,"초급",IF($AK235&lt;=14,"중급",IF($AK235&lt;=17,"고급",IF($AK235&gt;=18,"특급")))))</f>
        <v>초급</v>
      </c>
      <c r="AM235" s="77" t="str">
        <f>IF(ISNUMBER(SEARCH("산업기사",$AT235)),IF($AK235&gt;=13,"특급",IF($AK235&gt;=10,"고급",IF($AK235&gt;=7,"중급","초급"))),IF(ISNUMBER(SEARCH("기사",$AR235)),IF($AK235&gt;=10,"특급",IF($AK235&gt;=7,"고급",IF($AK235&gt;=4,"중급","초급"))),"미해당"))</f>
        <v>미해당</v>
      </c>
      <c r="AN235" s="26"/>
      <c r="AO235" s="78"/>
      <c r="AP235" s="26"/>
      <c r="AQ235" s="78"/>
      <c r="AR235" s="26"/>
      <c r="AS235" s="26"/>
      <c r="AT235" s="82"/>
      <c r="AU235" s="26"/>
      <c r="AV235" s="83"/>
      <c r="AW235" s="84"/>
      <c r="AX235" s="84"/>
      <c r="AY235" s="104" t="s">
        <v>251</v>
      </c>
      <c r="AZ235" s="105" t="s">
        <v>252</v>
      </c>
      <c r="BA235" s="76" t="s">
        <v>230</v>
      </c>
      <c r="BB235" s="76" t="s">
        <v>2736</v>
      </c>
      <c r="BC235" s="85"/>
      <c r="BD235" s="85"/>
      <c r="BE235" s="69" t="s">
        <v>2737</v>
      </c>
      <c r="BF235" s="85" t="s">
        <v>1688</v>
      </c>
      <c r="BG235" s="85" t="s">
        <v>623</v>
      </c>
      <c r="BH235" s="81"/>
      <c r="BI235" s="86" t="s">
        <v>2738</v>
      </c>
      <c r="BJ235" s="45" t="str">
        <f>IFERROR(VLOOKUP($BG235,[1]프로젝트현황!Y:Z,2,0),"기타")</f>
        <v>동북권</v>
      </c>
      <c r="BK235" s="106" t="str">
        <f>(IF(BF235="","",BF235&amp;" "))&amp;(IF(BG235="","",BG235&amp;" "))&amp;(IF(BH235="","",BH235&amp;" "))&amp;BI235</f>
        <v>서울특별시 강북구 삼양로80가길 35 (수유동)</v>
      </c>
      <c r="BL235" s="70">
        <v>30</v>
      </c>
      <c r="BM235" s="70">
        <v>30</v>
      </c>
      <c r="BN235" s="87">
        <v>36000000</v>
      </c>
      <c r="BO235" s="87">
        <f>BP235*12</f>
        <v>36000000</v>
      </c>
      <c r="BP235" s="88">
        <f>BN235/12</f>
        <v>3000000</v>
      </c>
      <c r="BQ235" s="88">
        <f>BP235-BS235</f>
        <v>2800000</v>
      </c>
      <c r="BR235" s="88">
        <f>BQ235*84.3%</f>
        <v>2360400</v>
      </c>
      <c r="BS235" s="88">
        <v>200000</v>
      </c>
      <c r="BT235" s="89">
        <v>209</v>
      </c>
      <c r="BU235" s="49">
        <f>IF($BN235="","",
IFERROR(
    IF($BN235&lt;'[1]시간외시간 기준표'!$B$2,0,
        IF($BN235&gt;LOOKUP(9.9E+307,'[1]시간외시간 기준표'!$B$2:$B$999),
            LOOKUP(9.9E+307,'[1]시간외시간 기준표'!$C$2:$C$999),
            LOOKUP($BN235,'[1]시간외시간 기준표'!$B$2:$B$999,'[1]시간외시간 기준표'!$C$2:$C$999)
        )
    ),0)
)</f>
        <v>52</v>
      </c>
      <c r="BV235" s="89">
        <f>(BQ235+BS235)/209</f>
        <v>14354.066985645934</v>
      </c>
      <c r="BW235" s="71">
        <v>30</v>
      </c>
      <c r="BX235" s="71">
        <v>30</v>
      </c>
      <c r="BY235" s="90">
        <v>36000000</v>
      </c>
      <c r="BZ235" s="90">
        <f>CA235*12</f>
        <v>36000000</v>
      </c>
      <c r="CA235" s="88">
        <f>BY235/12</f>
        <v>3000000</v>
      </c>
      <c r="CB235" s="88">
        <f>CA235-CD235</f>
        <v>2800000</v>
      </c>
      <c r="CC235" s="88">
        <f>CB235*84.3%</f>
        <v>2360400</v>
      </c>
      <c r="CD235" s="88">
        <v>200000</v>
      </c>
      <c r="CE235" s="89">
        <v>209</v>
      </c>
      <c r="CF235" s="88">
        <f>IF(BY235&lt;26000000,0,IF(BY235&lt;26500000,4,IF(BY235&lt;27000000,7,IF(BY235&lt;27500000,9,IF(BY235&lt;28000000,11,IF(BY235&lt;28500000,15,IF(BY235&lt;29000000,17,IF(BY235&lt;29500000,20,IF(BY235&lt;30000000,23,IF(BY235&lt;30500000,25,IF(BY235&lt;31000000,27,IF(BY235&lt;31500000,29,IF(BY235&lt;32000000,33,IF(BY235&lt;32500000,37,IF(BY235&lt;33000000,39,IF(BY235&lt;33500000,42,IF(BY235&lt;34000000,45,IF(BY235&lt;34500000,48,IF(BY235&lt;35000000,52,52)))))))))))))))))))</f>
        <v>52</v>
      </c>
      <c r="CG235" s="89">
        <f>(CB235+CD235)/209</f>
        <v>14354.066985645934</v>
      </c>
      <c r="CH235" s="91">
        <v>30</v>
      </c>
      <c r="CI235" s="91">
        <v>30</v>
      </c>
      <c r="CJ235" s="92">
        <v>36000000</v>
      </c>
      <c r="CK235" s="92">
        <v>36000000</v>
      </c>
      <c r="CL235" s="88">
        <f>CK235/12</f>
        <v>3000000</v>
      </c>
      <c r="CM235" s="88">
        <f>CL235</f>
        <v>3000000</v>
      </c>
      <c r="CN235" s="88"/>
      <c r="CO235" s="89"/>
      <c r="CP235" s="89">
        <v>209</v>
      </c>
      <c r="CQ235" s="89">
        <f>IF(CJ235&lt;26000000,0,IF(CJ235&lt;26500000,7,IF(CJ235&lt;27000000,9,IF(CJ235&lt;27500000,12,IF(CJ235&lt;28000000,15,IF(CJ235&lt;28500000,18,IF(CJ235&lt;29000000,20,IF(CJ235&lt;29500000,24,IF(CJ235&lt;30000000,26,IF(CJ235&lt;30500000,29,IF(CJ235&lt;31000000,32,IF(CJ235&lt;31500000,35,IF(CJ235&lt;32000000,38,IF(CJ235&lt;32500000,40,IF(CJ235&lt;33000000,43,IF(CJ235&lt;33500000,45,IF(CJ235&lt;34000000,48,IF(CJ235&lt;34500000,52,52))))))))))))))))))</f>
        <v>52</v>
      </c>
      <c r="CR235" s="89">
        <f>(인사기본정보!$CM137+인사기본정보!$CO137)/209</f>
        <v>10112.392344497608</v>
      </c>
      <c r="CS235" s="90"/>
      <c r="CT235" s="93"/>
      <c r="CU235" s="93"/>
      <c r="CV235" s="93"/>
      <c r="CW235" s="94"/>
      <c r="CX235" s="94"/>
      <c r="CY235" s="94"/>
      <c r="CZ235" s="95"/>
      <c r="DA235" s="95"/>
      <c r="DB235" s="96"/>
      <c r="DC235" s="97"/>
      <c r="DD235" s="98"/>
      <c r="DE235" s="98"/>
      <c r="DF235" s="97"/>
      <c r="DG235" s="99">
        <f>B235</f>
        <v>9250103</v>
      </c>
      <c r="DH235" s="98"/>
      <c r="DI235" s="98"/>
      <c r="DJ235" s="100"/>
      <c r="DK235" s="98"/>
      <c r="DL235" s="101"/>
      <c r="DM235" s="24"/>
    </row>
    <row r="236" spans="1:117" ht="15" customHeight="1">
      <c r="A236" s="74">
        <f>ROW()-2</f>
        <v>234</v>
      </c>
      <c r="B236" s="26">
        <v>9250803</v>
      </c>
      <c r="C236" s="26" t="s">
        <v>2739</v>
      </c>
      <c r="D236" s="27"/>
      <c r="E236" s="27" t="s">
        <v>283</v>
      </c>
      <c r="F236" s="27" t="s">
        <v>2700</v>
      </c>
      <c r="G236" s="27" t="s">
        <v>240</v>
      </c>
      <c r="H236" s="27" t="s">
        <v>260</v>
      </c>
      <c r="I236" s="27" t="s">
        <v>2159</v>
      </c>
      <c r="J236" s="27" t="str">
        <f>+VLOOKUP($I236,[1]프로젝트현황!$I:$N,5,0)</f>
        <v>서울시</v>
      </c>
      <c r="K236" s="27" t="str">
        <f>+VLOOKUP($I236,[1]프로젝트현황!$I:$N,6,0)</f>
        <v>마포구</v>
      </c>
      <c r="L236" s="68">
        <v>45874</v>
      </c>
      <c r="M236" s="68"/>
      <c r="N236" s="68"/>
      <c r="O236" s="75">
        <v>46057</v>
      </c>
      <c r="P236" s="76" t="s">
        <v>2740</v>
      </c>
      <c r="Q236" s="26" t="s">
        <v>2741</v>
      </c>
      <c r="R236" s="77" t="str">
        <f>LEFT(Q236,6)</f>
        <v>840326</v>
      </c>
      <c r="S236" s="77" t="str">
        <f>MID($Q236,3,2)</f>
        <v>03</v>
      </c>
      <c r="T236" s="77" t="str">
        <f>IF(OR(MID($Q236,8,1)="1",MID($Q236,8,1)="3"),"남자",IF(OR(MID($Q236,8,1)="2",MID($Q236,8,1)="4"),"여자",""))</f>
        <v>남자</v>
      </c>
      <c r="U236" s="77">
        <f ca="1">YEAR(TODAY())-IF(OR(MID($Q236,8,1)="1",MID($Q236,8,1)="2"),19&amp;LEFT($Q236,2),IF(OR(MID($Q236,8,1)="3",MID($Q236,8,1)="4"),20&amp;LEFT($Q236,2),""))+1</f>
        <v>43</v>
      </c>
      <c r="V236" s="77" t="s">
        <v>200</v>
      </c>
      <c r="W236" s="77" t="s">
        <v>201</v>
      </c>
      <c r="X236" s="26" t="s">
        <v>2742</v>
      </c>
      <c r="Y236" s="26"/>
      <c r="Z236" s="26"/>
      <c r="AA236" s="78"/>
      <c r="AB236" s="77" t="s">
        <v>203</v>
      </c>
      <c r="AC236" s="26"/>
      <c r="AD236" s="79" t="str">
        <f ca="1">QUOTIENT(SUMPRODUCT(LEFT($AE236:$AF236,FIND("년",$AE236:$AF236)-1)*12+MID($AE236:$AF236,FIND("년",$AE236:$AF236)+1,FIND("개월",$AE236:$AF236)-FIND("년",$AE236:$AF236)-1)),12)&amp;"년"&amp;MOD(SUMPRODUCT(LEFT($AE236:$AF236,FIND("년",$AE236:$AF236)-1)*12+MID($AE236:$AF236,FIND("년",$AE236:$AF236)+1,FIND("개월",$AE236:$AF236)-FIND("년",$AE236:$AF236)-1)),12)&amp;"개월"</f>
        <v>11년0개월</v>
      </c>
      <c r="AE236" s="79" t="s">
        <v>1264</v>
      </c>
      <c r="AF236" s="80" t="str">
        <f ca="1">DATEDIF($L236,TODAY(),"y")&amp;"년"&amp;DATEDIF($L236,TODAY(),"ym")&amp;"개월"</f>
        <v>0년6개월</v>
      </c>
      <c r="AG236" s="81" t="s">
        <v>2743</v>
      </c>
      <c r="AH236" s="81" t="s">
        <v>1496</v>
      </c>
      <c r="AI236" s="76" t="s">
        <v>205</v>
      </c>
      <c r="AJ236" s="78">
        <v>39493</v>
      </c>
      <c r="AK236" s="103">
        <f>VALUE(LEFT($AE236,FIND("년",$AE236)-1))</f>
        <v>10</v>
      </c>
      <c r="AL236" s="77" t="str">
        <f>IF($AI236="전문학사",IF($AK236&lt;=8,"초급",IF($AK236&lt;12,"중급",IF($AK236&lt;15,"고급",IF($AK236&gt;=15,"특급")))))</f>
        <v>중급</v>
      </c>
      <c r="AM236" s="77" t="str">
        <f>IF(ISNUMBER(SEARCH("산업기사",$AT236)),IF($AK236&gt;=13,"특급",IF($AK236&gt;=10,"고급",IF($AK236&gt;=7,"중급","초급"))),IF(ISNUMBER(SEARCH("기사",$AR236)),IF($AK236&gt;=10,"특급",IF($AK236&gt;=7,"고급",IF($AK236&gt;=4,"중급","초급"))),"미해당"))</f>
        <v>미해당</v>
      </c>
      <c r="AN236" s="26"/>
      <c r="AO236" s="78"/>
      <c r="AP236" s="26"/>
      <c r="AQ236" s="78"/>
      <c r="AR236" s="26"/>
      <c r="AS236" s="26"/>
      <c r="AT236" s="82"/>
      <c r="AU236" s="26"/>
      <c r="AV236" s="83"/>
      <c r="AW236" s="84"/>
      <c r="AX236" s="84"/>
      <c r="AY236" s="104" t="s">
        <v>251</v>
      </c>
      <c r="AZ236" s="105" t="s">
        <v>252</v>
      </c>
      <c r="BA236" s="76" t="s">
        <v>230</v>
      </c>
      <c r="BB236" s="76" t="s">
        <v>2744</v>
      </c>
      <c r="BC236" s="85"/>
      <c r="BD236" s="85"/>
      <c r="BE236" s="69" t="s">
        <v>2745</v>
      </c>
      <c r="BF236" s="85" t="s">
        <v>234</v>
      </c>
      <c r="BG236" s="85" t="s">
        <v>934</v>
      </c>
      <c r="BH236" s="81" t="s">
        <v>2746</v>
      </c>
      <c r="BI236" s="86" t="s">
        <v>2747</v>
      </c>
      <c r="BJ236" s="45" t="str">
        <f>IFERROR(VLOOKUP($BG236,[1]프로젝트현황!Y:Z,2,0),"기타")</f>
        <v>서남권</v>
      </c>
      <c r="BK236" s="106" t="str">
        <f>(IF(BF236="","",BF236&amp;" "))&amp;(IF(BG236="","",BG236&amp;" "))&amp;(IF(BH236="","",BH236&amp;" "))&amp;BI236</f>
        <v>경기도 군포시 번영로 403, 502동 1006호 (산본동, 가야아파트)</v>
      </c>
      <c r="BL236" s="70">
        <v>30</v>
      </c>
      <c r="BM236" s="70">
        <v>30</v>
      </c>
      <c r="BN236" s="87">
        <v>42000000</v>
      </c>
      <c r="BO236" s="87">
        <f>BP236*12</f>
        <v>42000000</v>
      </c>
      <c r="BP236" s="88">
        <f>BN236/12</f>
        <v>3500000</v>
      </c>
      <c r="BQ236" s="88">
        <f>BP236-BS236</f>
        <v>3300000</v>
      </c>
      <c r="BR236" s="88">
        <f>BQ236*84.3%</f>
        <v>2781900</v>
      </c>
      <c r="BS236" s="88">
        <v>200000</v>
      </c>
      <c r="BT236" s="89">
        <v>209</v>
      </c>
      <c r="BU236" s="49">
        <f>IF($BN236="","",
IFERROR(
    IF($BN236&lt;'[1]시간외시간 기준표'!$B$2,0,
        IF($BN236&gt;LOOKUP(9.9E+307,'[1]시간외시간 기준표'!$B$2:$B$999),
            LOOKUP(9.9E+307,'[1]시간외시간 기준표'!$C$2:$C$999),
            LOOKUP($BN236,'[1]시간외시간 기준표'!$B$2:$B$999,'[1]시간외시간 기준표'!$C$2:$C$999)
        )
    ),0)
)</f>
        <v>52</v>
      </c>
      <c r="BV236" s="89">
        <f>(BQ236+BS236)/209</f>
        <v>16746.411483253589</v>
      </c>
      <c r="BW236" s="71">
        <v>30</v>
      </c>
      <c r="BX236" s="71">
        <v>30</v>
      </c>
      <c r="BY236" s="90">
        <v>42000000</v>
      </c>
      <c r="BZ236" s="90">
        <f>CA236*12</f>
        <v>42000000</v>
      </c>
      <c r="CA236" s="88">
        <f>BY236/12</f>
        <v>3500000</v>
      </c>
      <c r="CB236" s="88">
        <f>CA236-CD236</f>
        <v>3300000</v>
      </c>
      <c r="CC236" s="88">
        <f>CB236*84.3%</f>
        <v>2781900</v>
      </c>
      <c r="CD236" s="88">
        <v>200000</v>
      </c>
      <c r="CE236" s="89">
        <v>209</v>
      </c>
      <c r="CF236" s="88">
        <f>IF(BY236&lt;26000000,0,IF(BY236&lt;26500000,4,IF(BY236&lt;27000000,7,IF(BY236&lt;27500000,9,IF(BY236&lt;28000000,11,IF(BY236&lt;28500000,15,IF(BY236&lt;29000000,17,IF(BY236&lt;29500000,20,IF(BY236&lt;30000000,23,IF(BY236&lt;30500000,25,IF(BY236&lt;31000000,27,IF(BY236&lt;31500000,29,IF(BY236&lt;32000000,33,IF(BY236&lt;32500000,37,IF(BY236&lt;33000000,39,IF(BY236&lt;33500000,42,IF(BY236&lt;34000000,45,IF(BY236&lt;34500000,48,IF(BY236&lt;35000000,52,52)))))))))))))))))))</f>
        <v>52</v>
      </c>
      <c r="CG236" s="89">
        <f>(CB236+CD236)/209</f>
        <v>16746.411483253589</v>
      </c>
      <c r="CH236" s="91"/>
      <c r="CI236" s="91"/>
      <c r="CJ236" s="92"/>
      <c r="CK236" s="92"/>
      <c r="CL236" s="88"/>
      <c r="CM236" s="88"/>
      <c r="CN236" s="88"/>
      <c r="CO236" s="89"/>
      <c r="CP236" s="89"/>
      <c r="CQ236" s="89"/>
      <c r="CR236" s="89"/>
      <c r="CS236" s="90"/>
      <c r="CT236" s="93"/>
      <c r="CU236" s="93"/>
      <c r="CV236" s="93"/>
      <c r="CW236" s="94"/>
      <c r="CX236" s="94"/>
      <c r="CY236" s="94"/>
      <c r="CZ236" s="95"/>
      <c r="DA236" s="95"/>
      <c r="DB236" s="96"/>
      <c r="DC236" s="97"/>
      <c r="DD236" s="98"/>
      <c r="DE236" s="98"/>
      <c r="DF236" s="97"/>
      <c r="DG236" s="99">
        <f>B236</f>
        <v>9250803</v>
      </c>
      <c r="DH236" s="98"/>
      <c r="DI236" s="98"/>
      <c r="DJ236" s="100"/>
      <c r="DK236" s="98"/>
      <c r="DL236" s="101"/>
      <c r="DM236" s="24"/>
    </row>
    <row r="237" spans="1:117" ht="15" customHeight="1">
      <c r="A237" s="74">
        <f>ROW()-2</f>
        <v>235</v>
      </c>
      <c r="B237" s="26">
        <v>9250901</v>
      </c>
      <c r="C237" s="26" t="s">
        <v>2748</v>
      </c>
      <c r="D237" s="27"/>
      <c r="E237" s="27" t="s">
        <v>283</v>
      </c>
      <c r="F237" s="27" t="s">
        <v>2700</v>
      </c>
      <c r="G237" s="27" t="s">
        <v>240</v>
      </c>
      <c r="H237" s="27" t="s">
        <v>241</v>
      </c>
      <c r="I237" s="27" t="s">
        <v>1774</v>
      </c>
      <c r="J237" s="27" t="str">
        <f>+VLOOKUP($I237,[1]프로젝트현황!$I:$N,5,0)</f>
        <v>서울시</v>
      </c>
      <c r="K237" s="27" t="str">
        <f>+VLOOKUP($I237,[1]프로젝트현황!$I:$N,6,0)</f>
        <v>서초구</v>
      </c>
      <c r="L237" s="68">
        <v>45901</v>
      </c>
      <c r="M237" s="68"/>
      <c r="N237" s="68"/>
      <c r="O237" s="75">
        <v>46142</v>
      </c>
      <c r="P237" s="76" t="s">
        <v>2749</v>
      </c>
      <c r="Q237" s="26" t="s">
        <v>2750</v>
      </c>
      <c r="R237" s="77" t="str">
        <f>LEFT(Q237,6)</f>
        <v>760122</v>
      </c>
      <c r="S237" s="77" t="str">
        <f>MID($Q237,3,2)</f>
        <v>01</v>
      </c>
      <c r="T237" s="77" t="str">
        <f>IF(OR(MID($Q237,8,1)="1",MID($Q237,8,1)="3"),"남자",IF(OR(MID($Q237,8,1)="2",MID($Q237,8,1)="4"),"여자",""))</f>
        <v>여자</v>
      </c>
      <c r="U237" s="77">
        <f ca="1">YEAR(TODAY())-IF(OR(MID($Q237,8,1)="1",MID($Q237,8,1)="2"),19&amp;LEFT($Q237,2),IF(OR(MID($Q237,8,1)="3",MID($Q237,8,1)="4"),20&amp;LEFT($Q237,2),""))+1</f>
        <v>51</v>
      </c>
      <c r="V237" s="77" t="s">
        <v>200</v>
      </c>
      <c r="W237" s="77" t="s">
        <v>201</v>
      </c>
      <c r="X237" s="26" t="s">
        <v>2751</v>
      </c>
      <c r="Y237" s="26"/>
      <c r="Z237" s="26"/>
      <c r="AA237" s="78"/>
      <c r="AB237" s="77" t="s">
        <v>203</v>
      </c>
      <c r="AC237" s="26"/>
      <c r="AD237" s="79" t="str">
        <f ca="1">QUOTIENT(SUMPRODUCT(LEFT($AE237:$AF237,FIND("년",$AE237:$AF237)-1)*12+MID($AE237:$AF237,FIND("년",$AE237:$AF237)+1,FIND("개월",$AE237:$AF237)-FIND("년",$AE237:$AF237)-1)),12)&amp;"년"&amp;MOD(SUMPRODUCT(LEFT($AE237:$AF237,FIND("년",$AE237:$AF237)-1)*12+MID($AE237:$AF237,FIND("년",$AE237:$AF237)+1,FIND("개월",$AE237:$AF237)-FIND("년",$AE237:$AF237)-1)),12)&amp;"개월"</f>
        <v>21년1개월</v>
      </c>
      <c r="AE237" s="79" t="s">
        <v>2752</v>
      </c>
      <c r="AF237" s="80" t="str">
        <f ca="1">DATEDIF($L237,TODAY(),"y")&amp;"년"&amp;DATEDIF($L237,TODAY(),"ym")&amp;"개월"</f>
        <v>0년5개월</v>
      </c>
      <c r="AG237" s="81" t="s">
        <v>2297</v>
      </c>
      <c r="AH237" s="81" t="s">
        <v>2753</v>
      </c>
      <c r="AI237" s="76" t="s">
        <v>270</v>
      </c>
      <c r="AJ237" s="78">
        <v>39492</v>
      </c>
      <c r="AK237" s="103">
        <v>18</v>
      </c>
      <c r="AL237" s="77" t="s">
        <v>2754</v>
      </c>
      <c r="AM237" s="77" t="s">
        <v>1547</v>
      </c>
      <c r="AN237" s="26"/>
      <c r="AO237" s="78"/>
      <c r="AP237" s="26"/>
      <c r="AQ237" s="78"/>
      <c r="AR237" s="26"/>
      <c r="AS237" s="26"/>
      <c r="AT237" s="82"/>
      <c r="AU237" s="26"/>
      <c r="AV237" s="83"/>
      <c r="AW237" s="84"/>
      <c r="AX237" s="84"/>
      <c r="AY237" s="104" t="s">
        <v>251</v>
      </c>
      <c r="AZ237" s="105" t="s">
        <v>252</v>
      </c>
      <c r="BA237" s="76" t="s">
        <v>2755</v>
      </c>
      <c r="BB237" s="76" t="s">
        <v>2756</v>
      </c>
      <c r="BC237" s="85"/>
      <c r="BD237" s="85"/>
      <c r="BE237" s="69" t="s">
        <v>2757</v>
      </c>
      <c r="BF237" s="85" t="s">
        <v>2417</v>
      </c>
      <c r="BG237" s="85" t="s">
        <v>2758</v>
      </c>
      <c r="BH237" s="81" t="s">
        <v>2759</v>
      </c>
      <c r="BI237" s="86" t="s">
        <v>2760</v>
      </c>
      <c r="BJ237" s="45" t="str">
        <f>IFERROR(VLOOKUP($BG237,[1]프로젝트현황!Y:Z,2,0),"기타")</f>
        <v>서남권</v>
      </c>
      <c r="BK237" s="106" t="str">
        <f>(IF(BF237="","",BF237&amp;" "))&amp;(IF(BG237="","",BG237&amp;" "))&amp;(IF(BH237="","",BH237&amp;" "))&amp;BI237</f>
        <v>경기도 광명시 안현로 34, 305동 102호 (하안동, 고층주공아파트)</v>
      </c>
      <c r="BL237" s="70">
        <v>30</v>
      </c>
      <c r="BM237" s="70">
        <v>30</v>
      </c>
      <c r="BN237" s="87">
        <f>BP237*12</f>
        <v>60000000</v>
      </c>
      <c r="BO237" s="87">
        <f>BP237*12</f>
        <v>60000000</v>
      </c>
      <c r="BP237" s="88">
        <v>5000000</v>
      </c>
      <c r="BQ237" s="88">
        <f>BP237-BS237</f>
        <v>4800000</v>
      </c>
      <c r="BR237" s="88">
        <f>BQ237*84.3%</f>
        <v>4046400</v>
      </c>
      <c r="BS237" s="88">
        <v>200000</v>
      </c>
      <c r="BT237" s="89">
        <v>209</v>
      </c>
      <c r="BU237" s="49">
        <f>IF($BN237="","",
IFERROR(
    IF($BN237&lt;'[1]시간외시간 기준표'!$B$2,0,
        IF($BN237&gt;LOOKUP(9.9E+307,'[1]시간외시간 기준표'!$B$2:$B$999),
            LOOKUP(9.9E+307,'[1]시간외시간 기준표'!$C$2:$C$999),
            LOOKUP($BN237,'[1]시간외시간 기준표'!$B$2:$B$999,'[1]시간외시간 기준표'!$C$2:$C$999)
        )
    ),0)
)</f>
        <v>52</v>
      </c>
      <c r="BV237" s="89">
        <f>(BQ237+BS237)/209</f>
        <v>23923.444976076556</v>
      </c>
      <c r="BW237" s="71">
        <v>30</v>
      </c>
      <c r="BX237" s="71">
        <v>30</v>
      </c>
      <c r="BY237" s="90">
        <f>CA237*12</f>
        <v>60000000</v>
      </c>
      <c r="BZ237" s="90">
        <f>CA237*12</f>
        <v>60000000</v>
      </c>
      <c r="CA237" s="88">
        <v>5000000</v>
      </c>
      <c r="CB237" s="88">
        <f>CA237-CD237</f>
        <v>4800000</v>
      </c>
      <c r="CC237" s="88">
        <f>CB237*84.3%</f>
        <v>4046400</v>
      </c>
      <c r="CD237" s="88">
        <v>200000</v>
      </c>
      <c r="CE237" s="89">
        <v>209</v>
      </c>
      <c r="CF237" s="88">
        <f>IF(BY237&lt;26000000,0,IF(BY237&lt;26500000,4,IF(BY237&lt;27000000,7,IF(BY237&lt;27500000,9,IF(BY237&lt;28000000,11,IF(BY237&lt;28500000,15,IF(BY237&lt;29000000,17,IF(BY237&lt;29500000,20,IF(BY237&lt;30000000,23,IF(BY237&lt;30500000,25,IF(BY237&lt;31000000,27,IF(BY237&lt;31500000,29,IF(BY237&lt;32000000,33,IF(BY237&lt;32500000,37,IF(BY237&lt;33000000,39,IF(BY237&lt;33500000,42,IF(BY237&lt;34000000,45,IF(BY237&lt;34500000,48,IF(BY237&lt;35000000,52,52)))))))))))))))))))</f>
        <v>52</v>
      </c>
      <c r="CG237" s="89">
        <f>(CB237+CD237)/209</f>
        <v>23923.444976076556</v>
      </c>
      <c r="CH237" s="91"/>
      <c r="CI237" s="91"/>
      <c r="CJ237" s="92"/>
      <c r="CK237" s="92"/>
      <c r="CL237" s="88"/>
      <c r="CM237" s="88"/>
      <c r="CN237" s="88"/>
      <c r="CO237" s="89"/>
      <c r="CP237" s="89"/>
      <c r="CQ237" s="89"/>
      <c r="CR237" s="89"/>
      <c r="CS237" s="90"/>
      <c r="CT237" s="93"/>
      <c r="CU237" s="93"/>
      <c r="CV237" s="93"/>
      <c r="CW237" s="94"/>
      <c r="CX237" s="94"/>
      <c r="CY237" s="94"/>
      <c r="CZ237" s="95"/>
      <c r="DA237" s="95"/>
      <c r="DB237" s="96"/>
      <c r="DC237" s="97"/>
      <c r="DD237" s="98"/>
      <c r="DE237" s="98"/>
      <c r="DF237" s="97"/>
      <c r="DG237" s="99">
        <f>B237</f>
        <v>9250901</v>
      </c>
      <c r="DH237" s="98"/>
      <c r="DI237" s="98"/>
      <c r="DJ237" s="100"/>
      <c r="DK237" s="98"/>
      <c r="DL237" s="101"/>
      <c r="DM237" s="24"/>
    </row>
    <row r="238" spans="1:117" ht="15" customHeight="1">
      <c r="A238" s="74">
        <f>ROW()-2</f>
        <v>236</v>
      </c>
      <c r="B238" s="26">
        <v>9250902</v>
      </c>
      <c r="C238" s="26" t="s">
        <v>2761</v>
      </c>
      <c r="D238" s="27"/>
      <c r="E238" s="27" t="s">
        <v>283</v>
      </c>
      <c r="F238" s="27" t="s">
        <v>2700</v>
      </c>
      <c r="G238" s="27" t="s">
        <v>240</v>
      </c>
      <c r="H238" s="27" t="s">
        <v>241</v>
      </c>
      <c r="I238" s="27" t="s">
        <v>1774</v>
      </c>
      <c r="J238" s="27" t="str">
        <f>+VLOOKUP($I238,[1]프로젝트현황!$I:$N,5,0)</f>
        <v>서울시</v>
      </c>
      <c r="K238" s="27" t="str">
        <f>+VLOOKUP($I238,[1]프로젝트현황!$I:$N,6,0)</f>
        <v>서초구</v>
      </c>
      <c r="L238" s="68">
        <v>45901</v>
      </c>
      <c r="M238" s="68"/>
      <c r="N238" s="68"/>
      <c r="O238" s="75">
        <v>46142</v>
      </c>
      <c r="P238" s="76" t="s">
        <v>2762</v>
      </c>
      <c r="Q238" s="26" t="s">
        <v>2763</v>
      </c>
      <c r="R238" s="77" t="str">
        <f>LEFT(Q238,6)</f>
        <v>630319</v>
      </c>
      <c r="S238" s="77" t="str">
        <f>MID($Q238,3,2)</f>
        <v>03</v>
      </c>
      <c r="T238" s="77" t="str">
        <f>IF(OR(MID($Q238,8,1)="1",MID($Q238,8,1)="3"),"남자",IF(OR(MID($Q238,8,1)="2",MID($Q238,8,1)="4"),"여자",""))</f>
        <v>여자</v>
      </c>
      <c r="U238" s="77">
        <f ca="1">YEAR(TODAY())-IF(OR(MID($Q238,8,1)="1",MID($Q238,8,1)="2"),19&amp;LEFT($Q238,2),IF(OR(MID($Q238,8,1)="3",MID($Q238,8,1)="4"),20&amp;LEFT($Q238,2),""))+1</f>
        <v>64</v>
      </c>
      <c r="V238" s="77" t="s">
        <v>200</v>
      </c>
      <c r="W238" s="77" t="s">
        <v>201</v>
      </c>
      <c r="X238" s="26" t="s">
        <v>2764</v>
      </c>
      <c r="Y238" s="26"/>
      <c r="Z238" s="26"/>
      <c r="AA238" s="78"/>
      <c r="AB238" s="77" t="s">
        <v>203</v>
      </c>
      <c r="AC238" s="26"/>
      <c r="AD238" s="79" t="str">
        <f ca="1">QUOTIENT(SUMPRODUCT(LEFT($AE238:$AF238,FIND("년",$AE238:$AF238)-1)*12+MID($AE238:$AF238,FIND("년",$AE238:$AF238)+1,FIND("개월",$AE238:$AF238)-FIND("년",$AE238:$AF238)-1)),12)&amp;"년"&amp;MOD(SUMPRODUCT(LEFT($AE238:$AF238,FIND("년",$AE238:$AF238)-1)*12+MID($AE238:$AF238,FIND("년",$AE238:$AF238)+1,FIND("개월",$AE238:$AF238)-FIND("년",$AE238:$AF238)-1)),12)&amp;"개월"</f>
        <v>16년8개월</v>
      </c>
      <c r="AE238" s="79" t="s">
        <v>2765</v>
      </c>
      <c r="AF238" s="80" t="str">
        <f ca="1">DATEDIF($L238,TODAY(),"y")&amp;"년"&amp;DATEDIF($L238,TODAY(),"ym")&amp;"개월"</f>
        <v>0년5개월</v>
      </c>
      <c r="AG238" s="81" t="s">
        <v>1347</v>
      </c>
      <c r="AH238" s="81" t="s">
        <v>2766</v>
      </c>
      <c r="AI238" s="76" t="s">
        <v>270</v>
      </c>
      <c r="AJ238" s="78">
        <v>39492</v>
      </c>
      <c r="AK238" s="103">
        <v>18</v>
      </c>
      <c r="AL238" s="77" t="s">
        <v>2754</v>
      </c>
      <c r="AM238" s="77" t="s">
        <v>1547</v>
      </c>
      <c r="AN238" s="26"/>
      <c r="AO238" s="78"/>
      <c r="AP238" s="26"/>
      <c r="AQ238" s="78"/>
      <c r="AR238" s="26"/>
      <c r="AS238" s="26"/>
      <c r="AT238" s="82"/>
      <c r="AU238" s="26"/>
      <c r="AV238" s="83"/>
      <c r="AW238" s="84"/>
      <c r="AX238" s="84"/>
      <c r="AY238" s="104" t="s">
        <v>251</v>
      </c>
      <c r="AZ238" s="105" t="s">
        <v>252</v>
      </c>
      <c r="BA238" s="76" t="s">
        <v>2767</v>
      </c>
      <c r="BB238" s="76" t="s">
        <v>2768</v>
      </c>
      <c r="BC238" s="85"/>
      <c r="BD238" s="85"/>
      <c r="BE238" s="69" t="s">
        <v>2769</v>
      </c>
      <c r="BF238" s="85" t="s">
        <v>1688</v>
      </c>
      <c r="BG238" s="85" t="s">
        <v>1550</v>
      </c>
      <c r="BH238" s="81"/>
      <c r="BI238" s="86" t="s">
        <v>2770</v>
      </c>
      <c r="BJ238" s="45" t="str">
        <f>IFERROR(VLOOKUP($BG238,[1]프로젝트현황!Y:Z,2,0),"기타")</f>
        <v>동남권</v>
      </c>
      <c r="BK238" s="106" t="str">
        <f>(IF(BF238="","",BF238&amp;" "))&amp;(IF(BG238="","",BG238&amp;" "))&amp;(IF(BH238="","",BH238&amp;" "))&amp;BI238</f>
        <v xml:space="preserve">서울특별시 강동구 상일로 74, 339동 1103호 </v>
      </c>
      <c r="BL238" s="70">
        <v>30</v>
      </c>
      <c r="BM238" s="70">
        <v>30</v>
      </c>
      <c r="BN238" s="87">
        <f>BP238*12</f>
        <v>57600000</v>
      </c>
      <c r="BO238" s="87">
        <f>BP238*12</f>
        <v>57600000</v>
      </c>
      <c r="BP238" s="88">
        <v>4800000</v>
      </c>
      <c r="BQ238" s="88">
        <f>BP238-BS238</f>
        <v>4600000</v>
      </c>
      <c r="BR238" s="88">
        <f>BQ238*84.3%</f>
        <v>3877800</v>
      </c>
      <c r="BS238" s="88">
        <v>200000</v>
      </c>
      <c r="BT238" s="89">
        <v>209</v>
      </c>
      <c r="BU238" s="49">
        <f>IF($BN238="","",
IFERROR(
    IF($BN238&lt;'[1]시간외시간 기준표'!$B$2,0,
        IF($BN238&gt;LOOKUP(9.9E+307,'[1]시간외시간 기준표'!$B$2:$B$999),
            LOOKUP(9.9E+307,'[1]시간외시간 기준표'!$C$2:$C$999),
            LOOKUP($BN238,'[1]시간외시간 기준표'!$B$2:$B$999,'[1]시간외시간 기준표'!$C$2:$C$999)
        )
    ),0)
)</f>
        <v>52</v>
      </c>
      <c r="BV238" s="89">
        <f>(BQ238+BS238)/209</f>
        <v>22966.507177033494</v>
      </c>
      <c r="BW238" s="71">
        <v>30</v>
      </c>
      <c r="BX238" s="71">
        <v>30</v>
      </c>
      <c r="BY238" s="90">
        <f>CA238*12</f>
        <v>57600000</v>
      </c>
      <c r="BZ238" s="90">
        <f>CA238*12</f>
        <v>57600000</v>
      </c>
      <c r="CA238" s="88">
        <v>4800000</v>
      </c>
      <c r="CB238" s="88">
        <f>CA238-CD238</f>
        <v>4600000</v>
      </c>
      <c r="CC238" s="88">
        <f>CB238*84.3%</f>
        <v>3877800</v>
      </c>
      <c r="CD238" s="88">
        <v>200000</v>
      </c>
      <c r="CE238" s="89">
        <v>209</v>
      </c>
      <c r="CF238" s="88">
        <f>IF(BY238&lt;26000000,0,IF(BY238&lt;26500000,4,IF(BY238&lt;27000000,7,IF(BY238&lt;27500000,9,IF(BY238&lt;28000000,11,IF(BY238&lt;28500000,15,IF(BY238&lt;29000000,17,IF(BY238&lt;29500000,20,IF(BY238&lt;30000000,23,IF(BY238&lt;30500000,25,IF(BY238&lt;31000000,27,IF(BY238&lt;31500000,29,IF(BY238&lt;32000000,33,IF(BY238&lt;32500000,37,IF(BY238&lt;33000000,39,IF(BY238&lt;33500000,42,IF(BY238&lt;34000000,45,IF(BY238&lt;34500000,48,IF(BY238&lt;35000000,52,52)))))))))))))))))))</f>
        <v>52</v>
      </c>
      <c r="CG238" s="89">
        <f>(CB238+CD238)/209</f>
        <v>22966.507177033494</v>
      </c>
      <c r="CH238" s="91"/>
      <c r="CI238" s="91"/>
      <c r="CJ238" s="92"/>
      <c r="CK238" s="92"/>
      <c r="CL238" s="88"/>
      <c r="CM238" s="88"/>
      <c r="CN238" s="88"/>
      <c r="CO238" s="89"/>
      <c r="CP238" s="89"/>
      <c r="CQ238" s="89"/>
      <c r="CR238" s="89"/>
      <c r="CS238" s="90"/>
      <c r="CT238" s="93"/>
      <c r="CU238" s="93"/>
      <c r="CV238" s="93"/>
      <c r="CW238" s="94"/>
      <c r="CX238" s="94"/>
      <c r="CY238" s="94"/>
      <c r="CZ238" s="95"/>
      <c r="DA238" s="95"/>
      <c r="DB238" s="96"/>
      <c r="DC238" s="97"/>
      <c r="DD238" s="98"/>
      <c r="DE238" s="98"/>
      <c r="DF238" s="97"/>
      <c r="DG238" s="99">
        <f>B238</f>
        <v>9250902</v>
      </c>
      <c r="DH238" s="98"/>
      <c r="DI238" s="98"/>
      <c r="DJ238" s="100"/>
      <c r="DK238" s="98"/>
      <c r="DL238" s="101"/>
      <c r="DM238" s="24"/>
    </row>
    <row r="239" spans="1:117" ht="15" customHeight="1">
      <c r="A239" s="74">
        <f>ROW()-2</f>
        <v>237</v>
      </c>
      <c r="B239" s="26">
        <v>9250903</v>
      </c>
      <c r="C239" s="26" t="s">
        <v>2771</v>
      </c>
      <c r="D239" s="27"/>
      <c r="E239" s="27" t="s">
        <v>283</v>
      </c>
      <c r="F239" s="27" t="s">
        <v>2700</v>
      </c>
      <c r="G239" s="27" t="s">
        <v>240</v>
      </c>
      <c r="H239" s="27" t="s">
        <v>241</v>
      </c>
      <c r="I239" s="27" t="s">
        <v>1774</v>
      </c>
      <c r="J239" s="27" t="str">
        <f>+VLOOKUP($I239,[1]프로젝트현황!$I:$N,5,0)</f>
        <v>서울시</v>
      </c>
      <c r="K239" s="27" t="str">
        <f>+VLOOKUP($I239,[1]프로젝트현황!$I:$N,6,0)</f>
        <v>서초구</v>
      </c>
      <c r="L239" s="68">
        <v>45901</v>
      </c>
      <c r="M239" s="68"/>
      <c r="N239" s="68"/>
      <c r="O239" s="75">
        <v>46142</v>
      </c>
      <c r="P239" s="76" t="s">
        <v>2772</v>
      </c>
      <c r="Q239" s="26" t="s">
        <v>2773</v>
      </c>
      <c r="R239" s="77" t="str">
        <f>LEFT(Q239,6)</f>
        <v>720408</v>
      </c>
      <c r="S239" s="77" t="str">
        <f>MID($Q239,3,2)</f>
        <v>04</v>
      </c>
      <c r="T239" s="77" t="str">
        <f>IF(OR(MID($Q239,8,1)="1",MID($Q239,8,1)="3"),"남자",IF(OR(MID($Q239,8,1)="2",MID($Q239,8,1)="4"),"여자",""))</f>
        <v>여자</v>
      </c>
      <c r="U239" s="77">
        <f ca="1">YEAR(TODAY())-IF(OR(MID($Q239,8,1)="1",MID($Q239,8,1)="2"),19&amp;LEFT($Q239,2),IF(OR(MID($Q239,8,1)="3",MID($Q239,8,1)="4"),20&amp;LEFT($Q239,2),""))+1</f>
        <v>55</v>
      </c>
      <c r="V239" s="77" t="s">
        <v>200</v>
      </c>
      <c r="W239" s="77" t="s">
        <v>201</v>
      </c>
      <c r="X239" s="26" t="s">
        <v>2774</v>
      </c>
      <c r="Y239" s="26"/>
      <c r="Z239" s="26"/>
      <c r="AA239" s="78"/>
      <c r="AB239" s="77" t="s">
        <v>203</v>
      </c>
      <c r="AC239" s="26"/>
      <c r="AD239" s="79" t="str">
        <f ca="1">QUOTIENT(SUMPRODUCT(LEFT($AE239:$AF239,FIND("년",$AE239:$AF239)-1)*12+MID($AE239:$AF239,FIND("년",$AE239:$AF239)+1,FIND("개월",$AE239:$AF239)-FIND("년",$AE239:$AF239)-1)),12)&amp;"년"&amp;MOD(SUMPRODUCT(LEFT($AE239:$AF239,FIND("년",$AE239:$AF239)-1)*12+MID($AE239:$AF239,FIND("년",$AE239:$AF239)+1,FIND("개월",$AE239:$AF239)-FIND("년",$AE239:$AF239)-1)),12)&amp;"개월"</f>
        <v>10년11개월</v>
      </c>
      <c r="AE239" s="79" t="s">
        <v>1264</v>
      </c>
      <c r="AF239" s="80" t="str">
        <f ca="1">DATEDIF($L239,TODAY(),"y")&amp;"년"&amp;DATEDIF($L239,TODAY(),"ym")&amp;"개월"</f>
        <v>0년5개월</v>
      </c>
      <c r="AG239" s="81" t="s">
        <v>2373</v>
      </c>
      <c r="AH239" s="81" t="s">
        <v>2775</v>
      </c>
      <c r="AI239" s="76" t="s">
        <v>270</v>
      </c>
      <c r="AJ239" s="78">
        <v>34752</v>
      </c>
      <c r="AK239" s="103">
        <v>18</v>
      </c>
      <c r="AL239" s="77" t="s">
        <v>2754</v>
      </c>
      <c r="AM239" s="77" t="s">
        <v>1547</v>
      </c>
      <c r="AN239" s="26"/>
      <c r="AO239" s="78"/>
      <c r="AP239" s="26"/>
      <c r="AQ239" s="78"/>
      <c r="AR239" s="26"/>
      <c r="AS239" s="26"/>
      <c r="AT239" s="82"/>
      <c r="AU239" s="26"/>
      <c r="AV239" s="83"/>
      <c r="AW239" s="84"/>
      <c r="AX239" s="84"/>
      <c r="AY239" s="104" t="s">
        <v>251</v>
      </c>
      <c r="AZ239" s="105" t="s">
        <v>252</v>
      </c>
      <c r="BA239" s="76" t="s">
        <v>1164</v>
      </c>
      <c r="BB239" s="76" t="s">
        <v>2776</v>
      </c>
      <c r="BC239" s="85"/>
      <c r="BD239" s="85"/>
      <c r="BE239" s="69" t="s">
        <v>2777</v>
      </c>
      <c r="BF239" s="85" t="s">
        <v>1688</v>
      </c>
      <c r="BG239" s="85" t="s">
        <v>875</v>
      </c>
      <c r="BH239" s="81"/>
      <c r="BI239" s="86" t="s">
        <v>2778</v>
      </c>
      <c r="BJ239" s="45" t="str">
        <f>IFERROR(VLOOKUP($BG239,[1]프로젝트현황!Y:Z,2,0),"기타")</f>
        <v>서남권</v>
      </c>
      <c r="BK239" s="106" t="str">
        <f>(IF(BF239="","",BF239&amp;" "))&amp;(IF(BG239="","",BG239&amp;" "))&amp;(IF(BH239="","",BH239&amp;" "))&amp;BI239</f>
        <v>서울특별시 양천구 신정로 293, 107동 1203호</v>
      </c>
      <c r="BL239" s="70">
        <v>30</v>
      </c>
      <c r="BM239" s="70">
        <v>30</v>
      </c>
      <c r="BN239" s="87">
        <f>BP239*12</f>
        <v>54000000</v>
      </c>
      <c r="BO239" s="87">
        <f>BP239*12</f>
        <v>54000000</v>
      </c>
      <c r="BP239" s="88">
        <v>4500000</v>
      </c>
      <c r="BQ239" s="88">
        <f>BP239-BS239</f>
        <v>4300000</v>
      </c>
      <c r="BR239" s="88">
        <f>BQ239*84.3%</f>
        <v>3624900</v>
      </c>
      <c r="BS239" s="88">
        <v>200000</v>
      </c>
      <c r="BT239" s="89">
        <v>209</v>
      </c>
      <c r="BU239" s="49">
        <f>IF($BN239="","",
IFERROR(
    IF($BN239&lt;'[1]시간외시간 기준표'!$B$2,0,
        IF($BN239&gt;LOOKUP(9.9E+307,'[1]시간외시간 기준표'!$B$2:$B$999),
            LOOKUP(9.9E+307,'[1]시간외시간 기준표'!$C$2:$C$999),
            LOOKUP($BN239,'[1]시간외시간 기준표'!$B$2:$B$999,'[1]시간외시간 기준표'!$C$2:$C$999)
        )
    ),0)
)</f>
        <v>52</v>
      </c>
      <c r="BV239" s="89">
        <f>(BQ239+BS239)/209</f>
        <v>21531.100478468899</v>
      </c>
      <c r="BW239" s="71">
        <v>30</v>
      </c>
      <c r="BX239" s="71">
        <v>30</v>
      </c>
      <c r="BY239" s="90">
        <f>CA239*12</f>
        <v>54000000</v>
      </c>
      <c r="BZ239" s="90">
        <f>CA239*12</f>
        <v>54000000</v>
      </c>
      <c r="CA239" s="88">
        <v>4500000</v>
      </c>
      <c r="CB239" s="88">
        <f>CA239-CD239</f>
        <v>4300000</v>
      </c>
      <c r="CC239" s="88">
        <f>CB239*84.3%</f>
        <v>3624900</v>
      </c>
      <c r="CD239" s="88">
        <v>200000</v>
      </c>
      <c r="CE239" s="89">
        <v>209</v>
      </c>
      <c r="CF239" s="88">
        <f>IF(BY239&lt;26000000,0,IF(BY239&lt;26500000,4,IF(BY239&lt;27000000,7,IF(BY239&lt;27500000,9,IF(BY239&lt;28000000,11,IF(BY239&lt;28500000,15,IF(BY239&lt;29000000,17,IF(BY239&lt;29500000,20,IF(BY239&lt;30000000,23,IF(BY239&lt;30500000,25,IF(BY239&lt;31000000,27,IF(BY239&lt;31500000,29,IF(BY239&lt;32000000,33,IF(BY239&lt;32500000,37,IF(BY239&lt;33000000,39,IF(BY239&lt;33500000,42,IF(BY239&lt;34000000,45,IF(BY239&lt;34500000,48,IF(BY239&lt;35000000,52,52)))))))))))))))))))</f>
        <v>52</v>
      </c>
      <c r="CG239" s="89">
        <f>(CB239+CD239)/209</f>
        <v>21531.100478468899</v>
      </c>
      <c r="CH239" s="91"/>
      <c r="CI239" s="91"/>
      <c r="CJ239" s="92"/>
      <c r="CK239" s="92"/>
      <c r="CL239" s="88"/>
      <c r="CM239" s="88"/>
      <c r="CN239" s="88"/>
      <c r="CO239" s="89"/>
      <c r="CP239" s="89"/>
      <c r="CQ239" s="89"/>
      <c r="CR239" s="89"/>
      <c r="CS239" s="90"/>
      <c r="CT239" s="93"/>
      <c r="CU239" s="93"/>
      <c r="CV239" s="93"/>
      <c r="CW239" s="94"/>
      <c r="CX239" s="94"/>
      <c r="CY239" s="94"/>
      <c r="CZ239" s="95"/>
      <c r="DA239" s="95"/>
      <c r="DB239" s="96"/>
      <c r="DC239" s="97"/>
      <c r="DD239" s="98"/>
      <c r="DE239" s="98"/>
      <c r="DF239" s="97"/>
      <c r="DG239" s="99">
        <f>B239</f>
        <v>9250903</v>
      </c>
      <c r="DH239" s="98"/>
      <c r="DI239" s="98"/>
      <c r="DJ239" s="100"/>
      <c r="DK239" s="98"/>
      <c r="DL239" s="101"/>
      <c r="DM239" s="24"/>
    </row>
    <row r="240" spans="1:117" ht="15" customHeight="1">
      <c r="A240" s="74">
        <f>ROW()-2</f>
        <v>238</v>
      </c>
      <c r="B240" s="26">
        <v>9250904</v>
      </c>
      <c r="C240" s="26" t="s">
        <v>2779</v>
      </c>
      <c r="D240" s="27"/>
      <c r="E240" s="27" t="s">
        <v>283</v>
      </c>
      <c r="F240" s="27" t="s">
        <v>2700</v>
      </c>
      <c r="G240" s="27" t="s">
        <v>240</v>
      </c>
      <c r="H240" s="27" t="s">
        <v>241</v>
      </c>
      <c r="I240" s="27" t="s">
        <v>1774</v>
      </c>
      <c r="J240" s="27" t="str">
        <f>+VLOOKUP($I240,[1]프로젝트현황!$I:$N,5,0)</f>
        <v>서울시</v>
      </c>
      <c r="K240" s="27" t="str">
        <f>+VLOOKUP($I240,[1]프로젝트현황!$I:$N,6,0)</f>
        <v>서초구</v>
      </c>
      <c r="L240" s="68">
        <v>45901</v>
      </c>
      <c r="M240" s="68"/>
      <c r="N240" s="68"/>
      <c r="O240" s="75">
        <v>46142</v>
      </c>
      <c r="P240" s="76" t="s">
        <v>2780</v>
      </c>
      <c r="Q240" s="26" t="s">
        <v>2781</v>
      </c>
      <c r="R240" s="77" t="str">
        <f>LEFT(Q240,6)</f>
        <v>721101</v>
      </c>
      <c r="S240" s="77" t="str">
        <f>MID($Q240,3,2)</f>
        <v>11</v>
      </c>
      <c r="T240" s="77" t="str">
        <f>IF(OR(MID($Q240,8,1)="1",MID($Q240,8,1)="3"),"남자",IF(OR(MID($Q240,8,1)="2",MID($Q240,8,1)="4"),"여자",""))</f>
        <v>여자</v>
      </c>
      <c r="U240" s="77">
        <f ca="1">YEAR(TODAY())-IF(OR(MID($Q240,8,1)="1",MID($Q240,8,1)="2"),19&amp;LEFT($Q240,2),IF(OR(MID($Q240,8,1)="3",MID($Q240,8,1)="4"),20&amp;LEFT($Q240,2),""))+1</f>
        <v>55</v>
      </c>
      <c r="V240" s="77" t="s">
        <v>200</v>
      </c>
      <c r="W240" s="77" t="s">
        <v>201</v>
      </c>
      <c r="X240" s="26" t="s">
        <v>2782</v>
      </c>
      <c r="Y240" s="26"/>
      <c r="Z240" s="26"/>
      <c r="AA240" s="78"/>
      <c r="AB240" s="77" t="s">
        <v>203</v>
      </c>
      <c r="AC240" s="26"/>
      <c r="AD240" s="79" t="str">
        <f ca="1">QUOTIENT(SUMPRODUCT(LEFT($AE240:$AF240,FIND("년",$AE240:$AF240)-1)*12+MID($AE240:$AF240,FIND("년",$AE240:$AF240)+1,FIND("개월",$AE240:$AF240)-FIND("년",$AE240:$AF240)-1)),12)&amp;"년"&amp;MOD(SUMPRODUCT(LEFT($AE240:$AF240,FIND("년",$AE240:$AF240)-1)*12+MID($AE240:$AF240,FIND("년",$AE240:$AF240)+1,FIND("개월",$AE240:$AF240)-FIND("년",$AE240:$AF240)-1)),12)&amp;"개월"</f>
        <v>22년1개월</v>
      </c>
      <c r="AE240" s="79" t="s">
        <v>2783</v>
      </c>
      <c r="AF240" s="80" t="str">
        <f ca="1">DATEDIF($L240,TODAY(),"y")&amp;"년"&amp;DATEDIF($L240,TODAY(),"ym")&amp;"개월"</f>
        <v>0년5개월</v>
      </c>
      <c r="AG240" s="81" t="s">
        <v>972</v>
      </c>
      <c r="AH240" s="81" t="s">
        <v>2784</v>
      </c>
      <c r="AI240" s="76" t="s">
        <v>205</v>
      </c>
      <c r="AJ240" s="78">
        <v>37309</v>
      </c>
      <c r="AK240" s="103">
        <f>VALUE(LEFT($AE240,FIND("년",$AE240)-1))</f>
        <v>21</v>
      </c>
      <c r="AL240" s="77" t="str">
        <f>IF($AI240="전문학사",IF($AK240&lt;=8,"초급",IF($AK240&lt;12,"중급",IF($AK240&lt;15,"고급",IF($AK240&gt;=15,"특급")))))</f>
        <v>특급</v>
      </c>
      <c r="AM240" s="77" t="str">
        <f>IF(ISNUMBER(SEARCH("산업기사",$AT240)),IF($AK240&gt;=13,"특급",IF($AK240&gt;=10,"고급",IF($AK240&gt;=7,"중급","초급"))),IF(ISNUMBER(SEARCH("기사",$AR240)),IF($AK240&gt;=10,"특급",IF($AK240&gt;=7,"고급",IF($AK240&gt;=4,"중급","초급"))),"미해당"))</f>
        <v>미해당</v>
      </c>
      <c r="AN240" s="26"/>
      <c r="AO240" s="78"/>
      <c r="AP240" s="26"/>
      <c r="AQ240" s="78"/>
      <c r="AR240" s="26"/>
      <c r="AS240" s="26"/>
      <c r="AT240" s="82"/>
      <c r="AU240" s="26"/>
      <c r="AV240" s="83"/>
      <c r="AW240" s="84"/>
      <c r="AX240" s="84"/>
      <c r="AY240" s="104" t="s">
        <v>251</v>
      </c>
      <c r="AZ240" s="105" t="s">
        <v>252</v>
      </c>
      <c r="BA240" s="76" t="s">
        <v>230</v>
      </c>
      <c r="BB240" s="76" t="s">
        <v>2785</v>
      </c>
      <c r="BC240" s="85"/>
      <c r="BD240" s="85"/>
      <c r="BE240" s="69" t="s">
        <v>2786</v>
      </c>
      <c r="BF240" s="85" t="s">
        <v>234</v>
      </c>
      <c r="BG240" s="85" t="s">
        <v>863</v>
      </c>
      <c r="BH240" s="81"/>
      <c r="BI240" s="86" t="s">
        <v>2787</v>
      </c>
      <c r="BJ240" s="45" t="str">
        <f>IFERROR(VLOOKUP($BG240,[1]프로젝트현황!Y:Z,2,0),"기타")</f>
        <v>동북권</v>
      </c>
      <c r="BK240" s="106" t="str">
        <f>(IF(BF240="","",BF240&amp;" "))&amp;(IF(BG240="","",BG240&amp;" "))&amp;(IF(BH240="","",BH240&amp;" "))&amp;BI240</f>
        <v>경기도 남양주시 다산중앙로20번길 7, 5401동 902호 (다산동, 다산e편한세상 더퍼스트)</v>
      </c>
      <c r="BL240" s="70">
        <v>30</v>
      </c>
      <c r="BM240" s="70">
        <v>30</v>
      </c>
      <c r="BN240" s="87">
        <f>BP240*12</f>
        <v>54000000</v>
      </c>
      <c r="BO240" s="87">
        <f>BP240*12</f>
        <v>54000000</v>
      </c>
      <c r="BP240" s="88">
        <v>4500000</v>
      </c>
      <c r="BQ240" s="88">
        <f>BP240-BS240</f>
        <v>4300000</v>
      </c>
      <c r="BR240" s="88">
        <f>BQ240*84.3%</f>
        <v>3624900</v>
      </c>
      <c r="BS240" s="88">
        <v>200000</v>
      </c>
      <c r="BT240" s="89">
        <v>209</v>
      </c>
      <c r="BU240" s="49">
        <f>IF($BN240="","",
IFERROR(
    IF($BN240&lt;'[1]시간외시간 기준표'!$B$2,0,
        IF($BN240&gt;LOOKUP(9.9E+307,'[1]시간외시간 기준표'!$B$2:$B$999),
            LOOKUP(9.9E+307,'[1]시간외시간 기준표'!$C$2:$C$999),
            LOOKUP($BN240,'[1]시간외시간 기준표'!$B$2:$B$999,'[1]시간외시간 기준표'!$C$2:$C$999)
        )
    ),0)
)</f>
        <v>52</v>
      </c>
      <c r="BV240" s="89">
        <f>(BQ240+BS240)/209</f>
        <v>21531.100478468899</v>
      </c>
      <c r="BW240" s="71">
        <v>30</v>
      </c>
      <c r="BX240" s="71">
        <v>30</v>
      </c>
      <c r="BY240" s="90">
        <f>CA240*12</f>
        <v>54000000</v>
      </c>
      <c r="BZ240" s="90">
        <f>CA240*12</f>
        <v>54000000</v>
      </c>
      <c r="CA240" s="88">
        <v>4500000</v>
      </c>
      <c r="CB240" s="88">
        <f>CA240-CD240</f>
        <v>4300000</v>
      </c>
      <c r="CC240" s="88">
        <f>CB240*84.3%</f>
        <v>3624900</v>
      </c>
      <c r="CD240" s="88">
        <v>200000</v>
      </c>
      <c r="CE240" s="89">
        <v>209</v>
      </c>
      <c r="CF240" s="88">
        <f>IF(BY240&lt;26000000,0,IF(BY240&lt;26500000,4,IF(BY240&lt;27000000,7,IF(BY240&lt;27500000,9,IF(BY240&lt;28000000,11,IF(BY240&lt;28500000,15,IF(BY240&lt;29000000,17,IF(BY240&lt;29500000,20,IF(BY240&lt;30000000,23,IF(BY240&lt;30500000,25,IF(BY240&lt;31000000,27,IF(BY240&lt;31500000,29,IF(BY240&lt;32000000,33,IF(BY240&lt;32500000,37,IF(BY240&lt;33000000,39,IF(BY240&lt;33500000,42,IF(BY240&lt;34000000,45,IF(BY240&lt;34500000,48,IF(BY240&lt;35000000,52,52)))))))))))))))))))</f>
        <v>52</v>
      </c>
      <c r="CG240" s="89">
        <f>(CB240+CD240)/209</f>
        <v>21531.100478468899</v>
      </c>
      <c r="CH240" s="91"/>
      <c r="CI240" s="91"/>
      <c r="CJ240" s="92"/>
      <c r="CK240" s="92"/>
      <c r="CL240" s="88"/>
      <c r="CM240" s="88"/>
      <c r="CN240" s="88"/>
      <c r="CO240" s="89"/>
      <c r="CP240" s="89"/>
      <c r="CQ240" s="89"/>
      <c r="CR240" s="89"/>
      <c r="CS240" s="90"/>
      <c r="CT240" s="93"/>
      <c r="CU240" s="93"/>
      <c r="CV240" s="93"/>
      <c r="CW240" s="94"/>
      <c r="CX240" s="94"/>
      <c r="CY240" s="94"/>
      <c r="CZ240" s="95"/>
      <c r="DA240" s="95"/>
      <c r="DB240" s="96"/>
      <c r="DC240" s="97"/>
      <c r="DD240" s="98"/>
      <c r="DE240" s="98"/>
      <c r="DF240" s="97"/>
      <c r="DG240" s="99">
        <f>B240</f>
        <v>9250904</v>
      </c>
      <c r="DH240" s="98"/>
      <c r="DI240" s="98"/>
      <c r="DJ240" s="100"/>
      <c r="DK240" s="98"/>
      <c r="DL240" s="101"/>
      <c r="DM240" s="24"/>
    </row>
    <row r="241" spans="1:117" ht="15" customHeight="1">
      <c r="A241" s="74">
        <f>ROW()-2</f>
        <v>239</v>
      </c>
      <c r="B241" s="26">
        <v>9250905</v>
      </c>
      <c r="C241" s="26" t="s">
        <v>2788</v>
      </c>
      <c r="D241" s="27"/>
      <c r="E241" s="27" t="s">
        <v>283</v>
      </c>
      <c r="F241" s="27" t="s">
        <v>2700</v>
      </c>
      <c r="G241" s="27" t="s">
        <v>240</v>
      </c>
      <c r="H241" s="27" t="s">
        <v>241</v>
      </c>
      <c r="I241" s="27" t="s">
        <v>1936</v>
      </c>
      <c r="J241" s="27" t="str">
        <f>+VLOOKUP($I241,[1]프로젝트현황!$I:$N,5,0)</f>
        <v>서울시</v>
      </c>
      <c r="K241" s="27" t="str">
        <f>+VLOOKUP($I241,[1]프로젝트현황!$I:$N,6,0)</f>
        <v>마포구</v>
      </c>
      <c r="L241" s="68">
        <v>45901</v>
      </c>
      <c r="M241" s="68"/>
      <c r="N241" s="68"/>
      <c r="O241" s="75">
        <v>46173</v>
      </c>
      <c r="P241" s="76" t="s">
        <v>2789</v>
      </c>
      <c r="Q241" s="26" t="s">
        <v>2790</v>
      </c>
      <c r="R241" s="77" t="str">
        <f>LEFT(Q241,6)</f>
        <v>710625</v>
      </c>
      <c r="S241" s="77" t="str">
        <f>MID($Q241,3,2)</f>
        <v>06</v>
      </c>
      <c r="T241" s="77" t="str">
        <f>IF(OR(MID($Q241,8,1)="1",MID($Q241,8,1)="3"),"남자",IF(OR(MID($Q241,8,1)="2",MID($Q241,8,1)="4"),"여자",""))</f>
        <v>여자</v>
      </c>
      <c r="U241" s="77">
        <f ca="1">YEAR(TODAY())-IF(OR(MID($Q241,8,1)="1",MID($Q241,8,1)="2"),19&amp;LEFT($Q241,2),IF(OR(MID($Q241,8,1)="3",MID($Q241,8,1)="4"),20&amp;LEFT($Q241,2),""))+1</f>
        <v>56</v>
      </c>
      <c r="V241" s="77" t="s">
        <v>200</v>
      </c>
      <c r="W241" s="77" t="s">
        <v>201</v>
      </c>
      <c r="X241" s="26" t="s">
        <v>2791</v>
      </c>
      <c r="Y241" s="26"/>
      <c r="Z241" s="26"/>
      <c r="AA241" s="78"/>
      <c r="AB241" s="77" t="s">
        <v>203</v>
      </c>
      <c r="AC241" s="26"/>
      <c r="AD241" s="79" t="str">
        <f ca="1">QUOTIENT(SUMPRODUCT(LEFT($AE241:$AF241,FIND("년",$AE241:$AF241)-1)*12+MID($AE241:$AF241,FIND("년",$AE241:$AF241)+1,FIND("개월",$AE241:$AF241)-FIND("년",$AE241:$AF241)-1)),12)&amp;"년"&amp;MOD(SUMPRODUCT(LEFT($AE241:$AF241,FIND("년",$AE241:$AF241)-1)*12+MID($AE241:$AF241,FIND("년",$AE241:$AF241)+1,FIND("개월",$AE241:$AF241)-FIND("년",$AE241:$AF241)-1)),12)&amp;"개월"</f>
        <v>13년7개월</v>
      </c>
      <c r="AE241" s="79" t="s">
        <v>1297</v>
      </c>
      <c r="AF241" s="80" t="str">
        <f ca="1">DATEDIF($L241,TODAY(),"y")&amp;"년"&amp;DATEDIF($L241,TODAY(),"ym")&amp;"개월"</f>
        <v>0년5개월</v>
      </c>
      <c r="AG241" s="81" t="s">
        <v>2792</v>
      </c>
      <c r="AH241" s="81"/>
      <c r="AI241" s="76" t="s">
        <v>365</v>
      </c>
      <c r="AJ241" s="78">
        <v>32919</v>
      </c>
      <c r="AK241" s="103">
        <f ca="1">VALUE(LEFT($AD241,FIND("년",$AD241)-1))</f>
        <v>13</v>
      </c>
      <c r="AL241" s="77" t="str">
        <f ca="1">IF($AI241="고졸",IF($AK241&lt;=11,"초급",IF($AK241&lt;=14,"중급",IF($AK241&lt;=17,"고급",IF($AK241&gt;=18,"특급")))))</f>
        <v>중급</v>
      </c>
      <c r="AM241" s="77" t="str">
        <f>IF(ISNUMBER(SEARCH("산업기사",$AT241)),IF($AK241&gt;=13,"특급",IF($AK241&gt;=10,"고급",IF($AK241&gt;=7,"중급","초급"))),IF(ISNUMBER(SEARCH("기사",$AR241)),IF($AK241&gt;=10,"특급",IF($AK241&gt;=7,"고급",IF($AK241&gt;=4,"중급","초급"))),"미해당"))</f>
        <v>미해당</v>
      </c>
      <c r="AN241" s="26"/>
      <c r="AO241" s="78"/>
      <c r="AP241" s="26"/>
      <c r="AQ241" s="78"/>
      <c r="AR241" s="26"/>
      <c r="AS241" s="26"/>
      <c r="AT241" s="82"/>
      <c r="AU241" s="26"/>
      <c r="AV241" s="83"/>
      <c r="AW241" s="84"/>
      <c r="AX241" s="84"/>
      <c r="AY241" s="104" t="s">
        <v>251</v>
      </c>
      <c r="AZ241" s="105" t="s">
        <v>252</v>
      </c>
      <c r="BA241" s="76" t="s">
        <v>2218</v>
      </c>
      <c r="BB241" s="76" t="s">
        <v>2793</v>
      </c>
      <c r="BC241" s="85"/>
      <c r="BD241" s="85"/>
      <c r="BE241" s="69" t="s">
        <v>2794</v>
      </c>
      <c r="BF241" s="85" t="s">
        <v>1688</v>
      </c>
      <c r="BG241" s="85" t="s">
        <v>1604</v>
      </c>
      <c r="BH241" s="81"/>
      <c r="BI241" s="86" t="s">
        <v>2795</v>
      </c>
      <c r="BJ241" s="45" t="str">
        <f>IFERROR(VLOOKUP($BG241,[1]프로젝트현황!Y:Z,2,0),"기타")</f>
        <v>서북권</v>
      </c>
      <c r="BK241" s="106" t="str">
        <f>(IF(BF241="","",BF241&amp;" "))&amp;(IF(BG241="","",BG241&amp;" "))&amp;(IF(BH241="","",BH241&amp;" "))&amp;BI241</f>
        <v>서울특별시 은평구 은형터널로 60, 103동 1103호(수색동, DMC진흥)</v>
      </c>
      <c r="BL241" s="70">
        <v>30</v>
      </c>
      <c r="BM241" s="70">
        <v>30</v>
      </c>
      <c r="BN241" s="87">
        <f>BP241*12</f>
        <v>45600000</v>
      </c>
      <c r="BO241" s="87">
        <f>BP241*12</f>
        <v>45600000</v>
      </c>
      <c r="BP241" s="88">
        <v>3800000</v>
      </c>
      <c r="BQ241" s="88">
        <f>BP241-BS241</f>
        <v>3600000</v>
      </c>
      <c r="BR241" s="88">
        <f>BQ241*84.3%</f>
        <v>3034800</v>
      </c>
      <c r="BS241" s="88">
        <v>200000</v>
      </c>
      <c r="BT241" s="89">
        <v>209</v>
      </c>
      <c r="BU241" s="49">
        <f>IF($BN241="","",
IFERROR(
    IF($BN241&lt;'[1]시간외시간 기준표'!$B$2,0,
        IF($BN241&gt;LOOKUP(9.9E+307,'[1]시간외시간 기준표'!$B$2:$B$999),
            LOOKUP(9.9E+307,'[1]시간외시간 기준표'!$C$2:$C$999),
            LOOKUP($BN241,'[1]시간외시간 기준표'!$B$2:$B$999,'[1]시간외시간 기준표'!$C$2:$C$999)
        )
    ),0)
)</f>
        <v>52</v>
      </c>
      <c r="BV241" s="89">
        <f>(BQ241+BS241)/209</f>
        <v>18181.81818181818</v>
      </c>
      <c r="BW241" s="71">
        <v>30</v>
      </c>
      <c r="BX241" s="71">
        <v>30</v>
      </c>
      <c r="BY241" s="90">
        <f>CA241*12</f>
        <v>45600000</v>
      </c>
      <c r="BZ241" s="90">
        <f>CA241*12</f>
        <v>45600000</v>
      </c>
      <c r="CA241" s="88">
        <v>3800000</v>
      </c>
      <c r="CB241" s="88">
        <f>CA241-CD241</f>
        <v>3600000</v>
      </c>
      <c r="CC241" s="88">
        <f>CB241*84.3%</f>
        <v>3034800</v>
      </c>
      <c r="CD241" s="88">
        <v>200000</v>
      </c>
      <c r="CE241" s="89">
        <v>209</v>
      </c>
      <c r="CF241" s="88">
        <f>IF(BY241&lt;26000000,0,IF(BY241&lt;26500000,4,IF(BY241&lt;27000000,7,IF(BY241&lt;27500000,9,IF(BY241&lt;28000000,11,IF(BY241&lt;28500000,15,IF(BY241&lt;29000000,17,IF(BY241&lt;29500000,20,IF(BY241&lt;30000000,23,IF(BY241&lt;30500000,25,IF(BY241&lt;31000000,27,IF(BY241&lt;31500000,29,IF(BY241&lt;32000000,33,IF(BY241&lt;32500000,37,IF(BY241&lt;33000000,39,IF(BY241&lt;33500000,42,IF(BY241&lt;34000000,45,IF(BY241&lt;34500000,48,IF(BY241&lt;35000000,52,52)))))))))))))))))))</f>
        <v>52</v>
      </c>
      <c r="CG241" s="89">
        <f>(CB241+CD241)/209</f>
        <v>18181.81818181818</v>
      </c>
      <c r="CH241" s="91"/>
      <c r="CI241" s="91"/>
      <c r="CJ241" s="92"/>
      <c r="CK241" s="92"/>
      <c r="CL241" s="88"/>
      <c r="CM241" s="88"/>
      <c r="CN241" s="88"/>
      <c r="CO241" s="89"/>
      <c r="CP241" s="89"/>
      <c r="CQ241" s="89"/>
      <c r="CR241" s="89"/>
      <c r="CS241" s="90"/>
      <c r="CT241" s="93"/>
      <c r="CU241" s="93"/>
      <c r="CV241" s="93"/>
      <c r="CW241" s="94"/>
      <c r="CX241" s="94"/>
      <c r="CY241" s="94"/>
      <c r="CZ241" s="95"/>
      <c r="DA241" s="95"/>
      <c r="DB241" s="96"/>
      <c r="DC241" s="97"/>
      <c r="DD241" s="98"/>
      <c r="DE241" s="98"/>
      <c r="DF241" s="97"/>
      <c r="DG241" s="99">
        <f>B241</f>
        <v>9250905</v>
      </c>
      <c r="DH241" s="98"/>
      <c r="DI241" s="98"/>
      <c r="DJ241" s="100"/>
      <c r="DK241" s="98"/>
      <c r="DL241" s="101"/>
      <c r="DM241" s="24"/>
    </row>
    <row r="242" spans="1:117" ht="15" customHeight="1">
      <c r="A242" s="74">
        <f>ROW()-2</f>
        <v>240</v>
      </c>
      <c r="B242" s="26">
        <v>9250906</v>
      </c>
      <c r="C242" s="26" t="s">
        <v>2796</v>
      </c>
      <c r="D242" s="27"/>
      <c r="E242" s="27" t="s">
        <v>239</v>
      </c>
      <c r="F242" s="27" t="s">
        <v>2700</v>
      </c>
      <c r="G242" s="27" t="s">
        <v>240</v>
      </c>
      <c r="H242" s="27" t="s">
        <v>260</v>
      </c>
      <c r="I242" s="27" t="s">
        <v>1850</v>
      </c>
      <c r="J242" s="27" t="str">
        <f>+VLOOKUP($I242,[1]프로젝트현황!$I:$N,5,0)</f>
        <v>서울시</v>
      </c>
      <c r="K242" s="27" t="str">
        <f>+VLOOKUP($I242,[1]프로젝트현황!$I:$N,6,0)</f>
        <v>구로구</v>
      </c>
      <c r="L242" s="68">
        <v>46024</v>
      </c>
      <c r="M242" s="28">
        <f>+L242</f>
        <v>46024</v>
      </c>
      <c r="N242" s="68"/>
      <c r="O242" s="75"/>
      <c r="P242" s="109" t="s">
        <v>2797</v>
      </c>
      <c r="Q242" s="98" t="s">
        <v>2798</v>
      </c>
      <c r="R242" s="77" t="str">
        <f>LEFT(Q242,6)</f>
        <v>860119</v>
      </c>
      <c r="S242" s="77" t="str">
        <f>MID($Q242,3,2)</f>
        <v>01</v>
      </c>
      <c r="T242" s="77" t="str">
        <f>IF(OR(MID($Q242,8,1)="1",MID($Q242,8,1)="3"),"남자",IF(OR(MID($Q242,8,1)="2",MID($Q242,8,1)="4"),"여자",""))</f>
        <v>남자</v>
      </c>
      <c r="U242" s="77">
        <f ca="1">YEAR(TODAY())-IF(OR(MID($Q242,8,1)="1",MID($Q242,8,1)="2"),19&amp;LEFT($Q242,2),IF(OR(MID($Q242,8,1)="3",MID($Q242,8,1)="4"),20&amp;LEFT($Q242,2),""))+1</f>
        <v>41</v>
      </c>
      <c r="V242" s="77" t="s">
        <v>200</v>
      </c>
      <c r="W242" s="77" t="s">
        <v>201</v>
      </c>
      <c r="X242" s="26" t="s">
        <v>2799</v>
      </c>
      <c r="Y242" s="26"/>
      <c r="Z242" s="26"/>
      <c r="AA242" s="78"/>
      <c r="AB242" s="77" t="s">
        <v>203</v>
      </c>
      <c r="AC242" s="26"/>
      <c r="AD242" s="79" t="str">
        <f ca="1">QUOTIENT(SUMPRODUCT(LEFT($AE242:$AF242,FIND("년",$AE242:$AF242)-1)*12+MID($AE242:$AF242,FIND("년",$AE242:$AF242)+1,FIND("개월",$AE242:$AF242)-FIND("년",$AE242:$AF242)-1)),12)&amp;"년"&amp;MOD(SUMPRODUCT(LEFT($AE242:$AF242,FIND("년",$AE242:$AF242)-1)*12+MID($AE242:$AF242,FIND("년",$AE242:$AF242)+1,FIND("개월",$AE242:$AF242)-FIND("년",$AE242:$AF242)-1)),12)&amp;"개월"</f>
        <v>15년0개월</v>
      </c>
      <c r="AE242" s="79" t="s">
        <v>2800</v>
      </c>
      <c r="AF242" s="80" t="str">
        <f ca="1">DATEDIF($L242,TODAY(),"y")&amp;"년"&amp;DATEDIF($L242,TODAY(),"ym")&amp;"개월"</f>
        <v>0년1개월</v>
      </c>
      <c r="AG242" s="110" t="s">
        <v>2297</v>
      </c>
      <c r="AH242" s="110" t="s">
        <v>2801</v>
      </c>
      <c r="AI242" s="109" t="s">
        <v>270</v>
      </c>
      <c r="AJ242" s="111">
        <v>45528</v>
      </c>
      <c r="AK242" s="112">
        <f>VALUE(LEFT($AE242,FIND("년",$AE242)-1))</f>
        <v>14</v>
      </c>
      <c r="AL242" s="77" t="s">
        <v>2754</v>
      </c>
      <c r="AM242" s="77" t="str">
        <f>IF(ISNUMBER(SEARCH("산업기사",$AT242)),IF($AK242&gt;=13,"특급",IF($AK242&gt;=10,"고급",IF($AK242&gt;=7,"중급","초급"))),IF(ISNUMBER(SEARCH("기사",$AR242)),IF($AK242&gt;=10,"특급",IF($AK242&gt;=7,"고급",IF($AK242&gt;=4,"중급","초급"))),"미해당"))</f>
        <v>미해당</v>
      </c>
      <c r="AN242" s="26"/>
      <c r="AO242" s="78"/>
      <c r="AP242" s="26"/>
      <c r="AQ242" s="78"/>
      <c r="AR242" s="26"/>
      <c r="AS242" s="26"/>
      <c r="AT242" s="82"/>
      <c r="AU242" s="26"/>
      <c r="AV242" s="83"/>
      <c r="AW242" s="84"/>
      <c r="AX242" s="84"/>
      <c r="AY242" s="113" t="s">
        <v>251</v>
      </c>
      <c r="AZ242" s="109" t="s">
        <v>252</v>
      </c>
      <c r="BA242" s="109" t="s">
        <v>2802</v>
      </c>
      <c r="BB242" s="109" t="s">
        <v>2803</v>
      </c>
      <c r="BC242" s="113"/>
      <c r="BD242" s="113"/>
      <c r="BE242" s="110" t="s">
        <v>2804</v>
      </c>
      <c r="BF242" s="113" t="s">
        <v>1688</v>
      </c>
      <c r="BG242" s="113" t="s">
        <v>1604</v>
      </c>
      <c r="BH242" s="110"/>
      <c r="BI242" s="114" t="s">
        <v>2805</v>
      </c>
      <c r="BJ242" s="115" t="str">
        <f>IFERROR(VLOOKUP($BG242,[1]프로젝트현황!Y:Z,2,0),"기타")</f>
        <v>서북권</v>
      </c>
      <c r="BK242" s="116" t="str">
        <f>(IF(BF242="","",BF242&amp;" "))&amp;(IF(BG242="","",BG242&amp;" "))&amp;(IF(BH242="","",BH242&amp;" "))&amp;BI242</f>
        <v>서울특별시 은평구 중산로 5길 11-20, 3층 301호(증산동)</v>
      </c>
      <c r="BL242" s="70">
        <v>30</v>
      </c>
      <c r="BM242" s="70">
        <v>30</v>
      </c>
      <c r="BN242" s="87">
        <v>48000000</v>
      </c>
      <c r="BO242" s="87">
        <f>BP242*12</f>
        <v>48000000</v>
      </c>
      <c r="BP242" s="88">
        <v>4000000</v>
      </c>
      <c r="BQ242" s="88">
        <f>BP242-BS242</f>
        <v>3800000</v>
      </c>
      <c r="BR242" s="88">
        <f>BQ242*84.3%</f>
        <v>3203400</v>
      </c>
      <c r="BS242" s="88">
        <v>200000</v>
      </c>
      <c r="BT242" s="89">
        <v>209</v>
      </c>
      <c r="BU242" s="49">
        <f>IF($BN242="","",
IFERROR(
    IF($BN242&lt;'[1]시간외시간 기준표'!$B$2,0,
        IF($BN242&gt;LOOKUP(9.9E+307,'[1]시간외시간 기준표'!$B$2:$B$999),
            LOOKUP(9.9E+307,'[1]시간외시간 기준표'!$C$2:$C$999),
            LOOKUP($BN242,'[1]시간외시간 기준표'!$B$2:$B$999,'[1]시간외시간 기준표'!$C$2:$C$999)
        )
    ),0)
)</f>
        <v>52</v>
      </c>
      <c r="BV242" s="89">
        <f>(BQ242+BS242)/209</f>
        <v>19138.755980861242</v>
      </c>
      <c r="BW242" s="71">
        <v>30</v>
      </c>
      <c r="BX242" s="71">
        <v>30</v>
      </c>
      <c r="BY242" s="90">
        <v>48000000</v>
      </c>
      <c r="BZ242" s="90">
        <f>CA242*12</f>
        <v>48000000</v>
      </c>
      <c r="CA242" s="88">
        <v>4000000</v>
      </c>
      <c r="CB242" s="88">
        <f>CA242-CD242</f>
        <v>3800000</v>
      </c>
      <c r="CC242" s="88">
        <f>CB242*84.3%</f>
        <v>3203400</v>
      </c>
      <c r="CD242" s="88">
        <v>200000</v>
      </c>
      <c r="CE242" s="89">
        <v>209</v>
      </c>
      <c r="CF242" s="88">
        <f>IF(BY242&lt;26000000,0,IF(BY242&lt;26500000,4,IF(BY242&lt;27000000,7,IF(BY242&lt;27500000,9,IF(BY242&lt;28000000,11,IF(BY242&lt;28500000,15,IF(BY242&lt;29000000,17,IF(BY242&lt;29500000,20,IF(BY242&lt;30000000,23,IF(BY242&lt;30500000,25,IF(BY242&lt;31000000,27,IF(BY242&lt;31500000,29,IF(BY242&lt;32000000,33,IF(BY242&lt;32500000,37,IF(BY242&lt;33000000,39,IF(BY242&lt;33500000,42,IF(BY242&lt;34000000,45,IF(BY242&lt;34500000,48,IF(BY242&lt;35000000,52,52)))))))))))))))))))</f>
        <v>52</v>
      </c>
      <c r="CG242" s="89">
        <f>(CB242+CD242)/209</f>
        <v>19138.755980861242</v>
      </c>
      <c r="CH242" s="91"/>
      <c r="CI242" s="91"/>
      <c r="CJ242" s="92"/>
      <c r="CK242" s="92"/>
      <c r="CL242" s="88"/>
      <c r="CM242" s="88"/>
      <c r="CN242" s="88"/>
      <c r="CO242" s="89"/>
      <c r="CP242" s="89"/>
      <c r="CQ242" s="89"/>
      <c r="CR242" s="89"/>
      <c r="CS242" s="90"/>
      <c r="CT242" s="93"/>
      <c r="CU242" s="93"/>
      <c r="CV242" s="93"/>
      <c r="CW242" s="94"/>
      <c r="CX242" s="94"/>
      <c r="CY242" s="94"/>
      <c r="CZ242" s="95"/>
      <c r="DA242" s="95"/>
      <c r="DB242" s="96"/>
      <c r="DC242" s="97"/>
      <c r="DD242" s="98"/>
      <c r="DE242" s="98"/>
      <c r="DF242" s="97"/>
      <c r="DG242" s="99">
        <f>B242</f>
        <v>9250906</v>
      </c>
      <c r="DH242" s="98"/>
      <c r="DI242" s="98"/>
      <c r="DJ242" s="100"/>
      <c r="DK242" s="98"/>
      <c r="DL242" s="101"/>
      <c r="DM242" s="24"/>
    </row>
    <row r="243" spans="1:117" ht="15" customHeight="1">
      <c r="A243" s="74">
        <f>ROW()-2</f>
        <v>241</v>
      </c>
      <c r="B243" s="26">
        <v>9251002</v>
      </c>
      <c r="C243" s="26" t="s">
        <v>2806</v>
      </c>
      <c r="D243" s="27"/>
      <c r="E243" s="27" t="s">
        <v>283</v>
      </c>
      <c r="F243" s="27" t="s">
        <v>2700</v>
      </c>
      <c r="G243" s="27" t="s">
        <v>240</v>
      </c>
      <c r="H243" s="27" t="s">
        <v>241</v>
      </c>
      <c r="I243" s="27" t="s">
        <v>1936</v>
      </c>
      <c r="J243" s="27" t="str">
        <f>+VLOOKUP($I243,[1]프로젝트현황!$I:$N,5,0)</f>
        <v>서울시</v>
      </c>
      <c r="K243" s="27" t="str">
        <f>+VLOOKUP($I243,[1]프로젝트현황!$I:$N,6,0)</f>
        <v>마포구</v>
      </c>
      <c r="L243" s="68">
        <v>45931</v>
      </c>
      <c r="M243" s="68"/>
      <c r="N243" s="68"/>
      <c r="O243" s="75">
        <v>46173</v>
      </c>
      <c r="P243" s="117" t="s">
        <v>2807</v>
      </c>
      <c r="Q243" s="118" t="s">
        <v>2808</v>
      </c>
      <c r="R243" s="77" t="str">
        <f>LEFT(Q243,6)</f>
        <v>771203</v>
      </c>
      <c r="S243" s="77" t="str">
        <f>MID($Q243,3,2)</f>
        <v>12</v>
      </c>
      <c r="T243" s="77" t="str">
        <f>IF(OR(MID($Q243,8,1)="1",MID($Q243,8,1)="3"),"남자",IF(OR(MID($Q243,8,1)="2",MID($Q243,8,1)="4"),"여자",""))</f>
        <v>여자</v>
      </c>
      <c r="U243" s="77">
        <f ca="1">YEAR(TODAY())-IF(OR(MID($Q243,8,1)="1",MID($Q243,8,1)="2"),19&amp;LEFT($Q243,2),IF(OR(MID($Q243,8,1)="3",MID($Q243,8,1)="4"),20&amp;LEFT($Q243,2),""))+1</f>
        <v>50</v>
      </c>
      <c r="V243" s="77" t="s">
        <v>200</v>
      </c>
      <c r="W243" s="77" t="s">
        <v>201</v>
      </c>
      <c r="X243" s="26" t="s">
        <v>2809</v>
      </c>
      <c r="Y243" s="26"/>
      <c r="Z243" s="26"/>
      <c r="AA243" s="78"/>
      <c r="AB243" s="77" t="s">
        <v>203</v>
      </c>
      <c r="AC243" s="26"/>
      <c r="AD243" s="79" t="str">
        <f ca="1">QUOTIENT(SUMPRODUCT(LEFT($AE243:$AF243,FIND("년",$AE243:$AF243)-1)*12+MID($AE243:$AF243,FIND("년",$AE243:$AF243)+1,FIND("개월",$AE243:$AF243)-FIND("년",$AE243:$AF243)-1)),12)&amp;"년"&amp;MOD(SUMPRODUCT(LEFT($AE243:$AF243,FIND("년",$AE243:$AF243)-1)*12+MID($AE243:$AF243,FIND("년",$AE243:$AF243)+1,FIND("개월",$AE243:$AF243)-FIND("년",$AE243:$AF243)-1)),12)&amp;"개월"</f>
        <v>6년8개월</v>
      </c>
      <c r="AE243" s="79" t="s">
        <v>2810</v>
      </c>
      <c r="AF243" s="80" t="str">
        <f ca="1">DATEDIF($L243,TODAY(),"y")&amp;"년"&amp;DATEDIF($L243,TODAY(),"ym")&amp;"개월"</f>
        <v>0년4개월</v>
      </c>
      <c r="AG243" s="119" t="s">
        <v>2811</v>
      </c>
      <c r="AH243" s="119" t="s">
        <v>2006</v>
      </c>
      <c r="AI243" s="117" t="s">
        <v>365</v>
      </c>
      <c r="AJ243" s="120">
        <v>35108</v>
      </c>
      <c r="AK243" s="121">
        <f>VALUE(LEFT($AE243,FIND("년",$AE243)-1))</f>
        <v>6</v>
      </c>
      <c r="AL243" s="77"/>
      <c r="AM243" s="77" t="str">
        <f>IF(ISNUMBER(SEARCH("산업기사",$AT243)),IF($AK243&gt;=13,"특급",IF($AK243&gt;=10,"고급",IF($AK243&gt;=7,"중급","초급"))),IF(ISNUMBER(SEARCH("기사",$AR243)),IF($AK243&gt;=10,"특급",IF($AK243&gt;=7,"고급",IF($AK243&gt;=4,"중급","초급"))),"미해당"))</f>
        <v>미해당</v>
      </c>
      <c r="AN243" s="26"/>
      <c r="AO243" s="78"/>
      <c r="AP243" s="26"/>
      <c r="AQ243" s="78"/>
      <c r="AR243" s="26"/>
      <c r="AS243" s="26"/>
      <c r="AT243" s="82"/>
      <c r="AU243" s="26"/>
      <c r="AV243" s="83"/>
      <c r="AW243" s="84"/>
      <c r="AX243" s="84"/>
      <c r="AY243" s="122" t="s">
        <v>251</v>
      </c>
      <c r="AZ243" s="117" t="s">
        <v>252</v>
      </c>
      <c r="BA243" s="117" t="s">
        <v>2767</v>
      </c>
      <c r="BB243" s="117" t="s">
        <v>2812</v>
      </c>
      <c r="BC243" s="122"/>
      <c r="BD243" s="122"/>
      <c r="BE243" s="119" t="s">
        <v>2813</v>
      </c>
      <c r="BF243" s="122" t="s">
        <v>234</v>
      </c>
      <c r="BG243" s="122" t="s">
        <v>863</v>
      </c>
      <c r="BH243" s="119" t="s">
        <v>2814</v>
      </c>
      <c r="BI243" s="123" t="s">
        <v>2815</v>
      </c>
      <c r="BJ243" s="124" t="str">
        <f>IFERROR(VLOOKUP($BG243,[1]프로젝트현황!Y:Z,2,0),"기타")</f>
        <v>동북권</v>
      </c>
      <c r="BK243" s="125" t="str">
        <f>(IF(BF243="","",BF243&amp;" "))&amp;(IF(BG243="","",BG243&amp;" "))&amp;(IF(BH243="","",BH243&amp;" "))&amp;BI243</f>
        <v>경기도 남양주시 화도읍 경춘로 2102-16, 103동 1606호 (마석그랜드힐아파트)</v>
      </c>
      <c r="BL243" s="70">
        <v>30</v>
      </c>
      <c r="BM243" s="70">
        <v>30</v>
      </c>
      <c r="BN243" s="87">
        <f>3900000*12</f>
        <v>46800000</v>
      </c>
      <c r="BO243" s="87">
        <f>BP243*12</f>
        <v>46800000</v>
      </c>
      <c r="BP243" s="88">
        <v>3900000</v>
      </c>
      <c r="BQ243" s="88">
        <f>BP243-BS243</f>
        <v>3700000</v>
      </c>
      <c r="BR243" s="88">
        <f>BQ243*84.3%</f>
        <v>3119100</v>
      </c>
      <c r="BS243" s="88">
        <v>200000</v>
      </c>
      <c r="BT243" s="89">
        <v>209</v>
      </c>
      <c r="BU243" s="49">
        <f>IF($BN243="","",
IFERROR(
    IF($BN243&lt;'[1]시간외시간 기준표'!$B$2,0,
        IF($BN243&gt;LOOKUP(9.9E+307,'[1]시간외시간 기준표'!$B$2:$B$999),
            LOOKUP(9.9E+307,'[1]시간외시간 기준표'!$C$2:$C$999),
            LOOKUP($BN243,'[1]시간외시간 기준표'!$B$2:$B$999,'[1]시간외시간 기준표'!$C$2:$C$999)
        )
    ),0)
)</f>
        <v>52</v>
      </c>
      <c r="BV243" s="89">
        <f>(BQ243+BS243)/209</f>
        <v>18660.287081339713</v>
      </c>
      <c r="BW243" s="71">
        <v>30</v>
      </c>
      <c r="BX243" s="71">
        <v>30</v>
      </c>
      <c r="BY243" s="90">
        <f>3900000*12</f>
        <v>46800000</v>
      </c>
      <c r="BZ243" s="90">
        <f>CA243*12</f>
        <v>46800000</v>
      </c>
      <c r="CA243" s="88">
        <v>3900000</v>
      </c>
      <c r="CB243" s="88">
        <f>CA243-CD243</f>
        <v>3700000</v>
      </c>
      <c r="CC243" s="88">
        <f>CB243*84.3%</f>
        <v>3119100</v>
      </c>
      <c r="CD243" s="88">
        <v>200000</v>
      </c>
      <c r="CE243" s="89">
        <v>209</v>
      </c>
      <c r="CF243" s="88">
        <f>IF(BY243&lt;26000000,0,IF(BY243&lt;26500000,4,IF(BY243&lt;27000000,7,IF(BY243&lt;27500000,9,IF(BY243&lt;28000000,11,IF(BY243&lt;28500000,15,IF(BY243&lt;29000000,17,IF(BY243&lt;29500000,20,IF(BY243&lt;30000000,23,IF(BY243&lt;30500000,25,IF(BY243&lt;31000000,27,IF(BY243&lt;31500000,29,IF(BY243&lt;32000000,33,IF(BY243&lt;32500000,37,IF(BY243&lt;33000000,39,IF(BY243&lt;33500000,42,IF(BY243&lt;34000000,45,IF(BY243&lt;34500000,48,IF(BY243&lt;35000000,52,52)))))))))))))))))))</f>
        <v>52</v>
      </c>
      <c r="CG243" s="89">
        <f>(CB243+CD243)/209</f>
        <v>18660.287081339713</v>
      </c>
      <c r="CH243" s="91"/>
      <c r="CI243" s="91"/>
      <c r="CJ243" s="92"/>
      <c r="CK243" s="92"/>
      <c r="CL243" s="88"/>
      <c r="CM243" s="88"/>
      <c r="CN243" s="88"/>
      <c r="CO243" s="89"/>
      <c r="CP243" s="89"/>
      <c r="CQ243" s="89"/>
      <c r="CR243" s="89"/>
      <c r="CS243" s="90"/>
      <c r="CT243" s="93"/>
      <c r="CU243" s="93"/>
      <c r="CV243" s="93"/>
      <c r="CW243" s="94"/>
      <c r="CX243" s="94"/>
      <c r="CY243" s="94"/>
      <c r="CZ243" s="95"/>
      <c r="DA243" s="95"/>
      <c r="DB243" s="96"/>
      <c r="DC243" s="97"/>
      <c r="DD243" s="98"/>
      <c r="DE243" s="98"/>
      <c r="DF243" s="97"/>
      <c r="DG243" s="99"/>
      <c r="DH243" s="98"/>
      <c r="DI243" s="98"/>
      <c r="DJ243" s="100"/>
      <c r="DK243" s="98"/>
      <c r="DL243" s="101"/>
      <c r="DM243" s="24"/>
    </row>
    <row r="244" spans="1:117" ht="15" customHeight="1">
      <c r="A244" s="74">
        <f>ROW()-2</f>
        <v>242</v>
      </c>
      <c r="B244" s="26">
        <v>9251101</v>
      </c>
      <c r="C244" s="26" t="s">
        <v>2816</v>
      </c>
      <c r="D244" s="27"/>
      <c r="E244" s="27" t="s">
        <v>947</v>
      </c>
      <c r="F244" s="27" t="s">
        <v>2700</v>
      </c>
      <c r="G244" s="27" t="s">
        <v>240</v>
      </c>
      <c r="H244" s="27" t="s">
        <v>260</v>
      </c>
      <c r="I244" s="27" t="s">
        <v>2100</v>
      </c>
      <c r="J244" s="27" t="str">
        <f>+VLOOKUP($I244,[1]프로젝트현황!$I:$N,5,0)</f>
        <v>서울시</v>
      </c>
      <c r="K244" s="27" t="str">
        <f>+VLOOKUP($I244,[1]프로젝트현황!$I:$N,6,0)</f>
        <v>동작구</v>
      </c>
      <c r="L244" s="68">
        <v>45964</v>
      </c>
      <c r="M244" s="68"/>
      <c r="N244" s="68"/>
      <c r="O244" s="75">
        <v>46112</v>
      </c>
      <c r="P244" s="117" t="s">
        <v>2817</v>
      </c>
      <c r="Q244" s="26" t="s">
        <v>2818</v>
      </c>
      <c r="R244" s="77" t="s">
        <v>2819</v>
      </c>
      <c r="S244" s="77" t="s">
        <v>2820</v>
      </c>
      <c r="T244" s="77" t="s">
        <v>2589</v>
      </c>
      <c r="U244" s="77">
        <v>51</v>
      </c>
      <c r="V244" s="77" t="s">
        <v>2369</v>
      </c>
      <c r="W244" s="77" t="s">
        <v>2370</v>
      </c>
      <c r="X244" s="26" t="s">
        <v>2821</v>
      </c>
      <c r="Y244" s="26"/>
      <c r="Z244" s="26"/>
      <c r="AA244" s="78"/>
      <c r="AB244" s="77" t="s">
        <v>2386</v>
      </c>
      <c r="AC244" s="26"/>
      <c r="AD244" s="79" t="s">
        <v>2822</v>
      </c>
      <c r="AE244" s="79" t="s">
        <v>2823</v>
      </c>
      <c r="AF244" s="80" t="s">
        <v>2824</v>
      </c>
      <c r="AG244" s="81" t="s">
        <v>2825</v>
      </c>
      <c r="AH244" s="81" t="s">
        <v>2826</v>
      </c>
      <c r="AI244" s="76" t="s">
        <v>2267</v>
      </c>
      <c r="AJ244" s="78">
        <v>37853</v>
      </c>
      <c r="AK244" s="103">
        <v>18</v>
      </c>
      <c r="AL244" s="77" t="s">
        <v>2754</v>
      </c>
      <c r="AM244" s="77" t="s">
        <v>1547</v>
      </c>
      <c r="AN244" s="26"/>
      <c r="AO244" s="78"/>
      <c r="AP244" s="26"/>
      <c r="AQ244" s="78"/>
      <c r="AR244" s="26"/>
      <c r="AS244" s="26"/>
      <c r="AT244" s="82"/>
      <c r="AU244" s="26"/>
      <c r="AV244" s="83" t="s">
        <v>2827</v>
      </c>
      <c r="AW244" s="84" t="s">
        <v>2828</v>
      </c>
      <c r="AX244" s="84">
        <v>2000.01</v>
      </c>
      <c r="AY244" s="122" t="s">
        <v>2374</v>
      </c>
      <c r="AZ244" s="117" t="s">
        <v>2375</v>
      </c>
      <c r="BA244" s="76" t="s">
        <v>2829</v>
      </c>
      <c r="BB244" s="76" t="s">
        <v>2830</v>
      </c>
      <c r="BC244" s="85" t="s">
        <v>2831</v>
      </c>
      <c r="BD244" s="85" t="s">
        <v>2832</v>
      </c>
      <c r="BE244" s="69" t="s">
        <v>2833</v>
      </c>
      <c r="BF244" s="85" t="s">
        <v>2417</v>
      </c>
      <c r="BG244" s="85" t="s">
        <v>2834</v>
      </c>
      <c r="BH244" s="81" t="s">
        <v>236</v>
      </c>
      <c r="BI244" s="86" t="s">
        <v>2835</v>
      </c>
      <c r="BJ244" s="45" t="str">
        <f>IFERROR(VLOOKUP($BG244,[1]프로젝트현황!Y:Z,2,0),"기타")</f>
        <v>서북권</v>
      </c>
      <c r="BK244" s="106" t="s">
        <v>2836</v>
      </c>
      <c r="BL244" s="70">
        <v>30</v>
      </c>
      <c r="BM244" s="70">
        <v>30</v>
      </c>
      <c r="BN244" s="87">
        <v>62400000</v>
      </c>
      <c r="BO244" s="87">
        <v>62400000</v>
      </c>
      <c r="BP244" s="88">
        <v>5200000</v>
      </c>
      <c r="BQ244" s="88">
        <f>BP244-BS244</f>
        <v>5000000</v>
      </c>
      <c r="BR244" s="88">
        <f>BQ244*84.3%</f>
        <v>4215000</v>
      </c>
      <c r="BS244" s="88">
        <v>200000</v>
      </c>
      <c r="BT244" s="89">
        <v>209</v>
      </c>
      <c r="BU244" s="49">
        <f>IF($BN244="","",
IFERROR(
    IF($BN244&lt;'[1]시간외시간 기준표'!$B$2,0,
        IF($BN244&gt;LOOKUP(9.9E+307,'[1]시간외시간 기준표'!$B$2:$B$999),
            LOOKUP(9.9E+307,'[1]시간외시간 기준표'!$C$2:$C$999),
            LOOKUP($BN244,'[1]시간외시간 기준표'!$B$2:$B$999,'[1]시간외시간 기준표'!$C$2:$C$999)
        )
    ),0)
)</f>
        <v>52</v>
      </c>
      <c r="BV244" s="89">
        <f>(BQ244+BS244)/209</f>
        <v>24880.382775119619</v>
      </c>
      <c r="BW244" s="71">
        <v>30</v>
      </c>
      <c r="BX244" s="71">
        <v>30</v>
      </c>
      <c r="BY244" s="90">
        <v>62400000</v>
      </c>
      <c r="BZ244" s="90">
        <v>62400000</v>
      </c>
      <c r="CA244" s="88">
        <v>5200000</v>
      </c>
      <c r="CB244" s="88">
        <f>CA244-CD244</f>
        <v>5000000</v>
      </c>
      <c r="CC244" s="88">
        <f>CB244*84.3%</f>
        <v>4215000</v>
      </c>
      <c r="CD244" s="88">
        <v>200000</v>
      </c>
      <c r="CE244" s="89">
        <v>209</v>
      </c>
      <c r="CF244" s="88">
        <f>IF(BY244&lt;26000000,0,IF(BY244&lt;26500000,4,IF(BY244&lt;27000000,7,IF(BY244&lt;27500000,9,IF(BY244&lt;28000000,11,IF(BY244&lt;28500000,15,IF(BY244&lt;29000000,17,IF(BY244&lt;29500000,20,IF(BY244&lt;30000000,23,IF(BY244&lt;30500000,25,IF(BY244&lt;31000000,27,IF(BY244&lt;31500000,29,IF(BY244&lt;32000000,33,IF(BY244&lt;32500000,37,IF(BY244&lt;33000000,39,IF(BY244&lt;33500000,42,IF(BY244&lt;34000000,45,IF(BY244&lt;34500000,48,IF(BY244&lt;35000000,52,52)))))))))))))))))))</f>
        <v>52</v>
      </c>
      <c r="CG244" s="89">
        <f>(CB244+CD244)/209</f>
        <v>24880.382775119619</v>
      </c>
      <c r="CH244" s="91"/>
      <c r="CI244" s="91"/>
      <c r="CJ244" s="92"/>
      <c r="CK244" s="92"/>
      <c r="CL244" s="88"/>
      <c r="CM244" s="88"/>
      <c r="CN244" s="88"/>
      <c r="CO244" s="89"/>
      <c r="CP244" s="89"/>
      <c r="CQ244" s="89"/>
      <c r="CR244" s="89"/>
      <c r="CS244" s="90"/>
      <c r="CT244" s="93"/>
      <c r="CU244" s="93"/>
      <c r="CV244" s="93"/>
      <c r="CW244" s="94"/>
      <c r="CX244" s="94"/>
      <c r="CY244" s="94"/>
      <c r="CZ244" s="95"/>
      <c r="DA244" s="95"/>
      <c r="DB244" s="96"/>
      <c r="DC244" s="97"/>
      <c r="DD244" s="98"/>
      <c r="DE244" s="98"/>
      <c r="DF244" s="97"/>
      <c r="DG244" s="99">
        <f>B244</f>
        <v>9251101</v>
      </c>
      <c r="DH244" s="98"/>
      <c r="DI244" s="98"/>
      <c r="DJ244" s="100"/>
      <c r="DK244" s="98"/>
      <c r="DL244" s="101"/>
      <c r="DM244" s="24"/>
    </row>
    <row r="245" spans="1:117" ht="15" customHeight="1">
      <c r="A245" s="25">
        <f>ROW()-2</f>
        <v>243</v>
      </c>
      <c r="B245" s="26">
        <v>9251201</v>
      </c>
      <c r="C245" s="27" t="s">
        <v>2837</v>
      </c>
      <c r="D245" s="27"/>
      <c r="E245" s="27"/>
      <c r="F245" s="27" t="s">
        <v>2700</v>
      </c>
      <c r="G245" s="27" t="s">
        <v>240</v>
      </c>
      <c r="H245" s="27" t="s">
        <v>241</v>
      </c>
      <c r="I245" s="27" t="s">
        <v>1936</v>
      </c>
      <c r="J245" s="27" t="str">
        <f>+VLOOKUP($I245,[1]프로젝트현황!$I:$N,5,0)</f>
        <v>서울시</v>
      </c>
      <c r="K245" s="27" t="str">
        <f>+VLOOKUP($I245,[1]프로젝트현황!$I:$N,6,0)</f>
        <v>마포구</v>
      </c>
      <c r="L245" s="28">
        <v>46006</v>
      </c>
      <c r="M245" s="28">
        <f>+L245</f>
        <v>46006</v>
      </c>
      <c r="N245" s="28"/>
      <c r="O245" s="29">
        <v>46173</v>
      </c>
      <c r="P245" s="126" t="s">
        <v>2838</v>
      </c>
      <c r="Q245" s="127" t="s">
        <v>2839</v>
      </c>
      <c r="R245" s="31" t="str">
        <f>LEFT(Q245,6)</f>
        <v>721221</v>
      </c>
      <c r="S245" s="31" t="str">
        <f>MID($Q245,3,2)</f>
        <v>12</v>
      </c>
      <c r="T245" s="31" t="str">
        <f>IF(OR(MID($Q245,8,1)="1",MID($Q245,8,1)="3"),"남자",IF(OR(MID($Q245,8,1)="2",MID($Q245,8,1)="4"),"여자",""))</f>
        <v>여자</v>
      </c>
      <c r="U245" s="31">
        <f ca="1">YEAR(TODAY())-IF(OR(MID($Q245,8,1)="1",MID($Q245,8,1)="2"),19&amp;LEFT($Q245,2),IF(OR(MID($Q245,8,1)="3",MID($Q245,8,1)="4"),20&amp;LEFT($Q245,2),""))+1</f>
        <v>55</v>
      </c>
      <c r="V245" s="31" t="s">
        <v>2369</v>
      </c>
      <c r="W245" s="31" t="s">
        <v>2370</v>
      </c>
      <c r="X245" s="27" t="s">
        <v>2840</v>
      </c>
      <c r="Y245" s="27"/>
      <c r="Z245" s="27"/>
      <c r="AA245" s="32"/>
      <c r="AB245" s="31" t="s">
        <v>2386</v>
      </c>
      <c r="AC245" s="27"/>
      <c r="AD245" s="33" t="e">
        <f>QUOTIENT(SUMPRODUCT(LEFT($AE245:$AF245,FIND("년",$AE245:$AF245)-1)*12+MID($AE245:$AF245,FIND("년",$AE245:$AF245)+1,FIND("개월",$AE245:$AF245)-FIND("년",$AE245:$AF245)-1)),12)&amp;"년"&amp;MOD(SUMPRODUCT(LEFT($AE245:$AF245,FIND("년",$AE245:$AF245)-1)*12+MID($AE245:$AF245,FIND("년",$AE245:$AF245)+1,FIND("개월",$AE245:$AF245)-FIND("년",$AE245:$AF245)-1)),12)&amp;"개월"</f>
        <v>#VALUE!</v>
      </c>
      <c r="AE245" s="34"/>
      <c r="AF245" s="34" t="str">
        <f ca="1">DATEDIF($L245,TODAY(),"y")&amp;"년"&amp;DATEDIF($L245,TODAY(),"ym")&amp;"개월"</f>
        <v>0년1개월</v>
      </c>
      <c r="AG245" s="128" t="s">
        <v>2841</v>
      </c>
      <c r="AH245" s="128" t="s">
        <v>2842</v>
      </c>
      <c r="AI245" s="127" t="s">
        <v>2552</v>
      </c>
      <c r="AJ245" s="129">
        <v>38022</v>
      </c>
      <c r="AK245" s="130" t="e">
        <f>VALUE(LEFT($AD245,FIND("년",$AD245)-1))</f>
        <v>#VALUE!</v>
      </c>
      <c r="AL245" s="31" t="e">
        <f>IF($AI245="전문학사",IF($AK245&lt;=8,"초급",IF($AK245&lt;12,"중급",IF($AK245&lt;15,"고급",IF($AK245&gt;=15,"특급")))))</f>
        <v>#VALUE!</v>
      </c>
      <c r="AM245" s="31" t="str">
        <f>IF(ISNUMBER(SEARCH("산업기사",$AT245)),IF($AK245&gt;=13,"특급",IF($AK245&gt;=10,"고급",IF($AK245&gt;=7,"중급","초급"))),IF(ISNUMBER(SEARCH("기사",$AR245)),IF($AK245&gt;=10,"특급",IF($AK245&gt;=7,"고급",IF($AK245&gt;=4,"중급","초급"))),"미해당"))</f>
        <v>미해당</v>
      </c>
      <c r="AN245" s="27"/>
      <c r="AO245" s="32"/>
      <c r="AP245" s="27"/>
      <c r="AQ245" s="32"/>
      <c r="AR245" s="27"/>
      <c r="AS245" s="27"/>
      <c r="AT245" s="37"/>
      <c r="AU245" s="27"/>
      <c r="AV245" s="38"/>
      <c r="AW245" s="39"/>
      <c r="AX245" s="39"/>
      <c r="AY245" s="126" t="s">
        <v>2374</v>
      </c>
      <c r="AZ245" s="126" t="s">
        <v>2375</v>
      </c>
      <c r="BA245" s="127" t="s">
        <v>2843</v>
      </c>
      <c r="BB245" s="127" t="s">
        <v>2844</v>
      </c>
      <c r="BC245" s="127"/>
      <c r="BD245" s="127"/>
      <c r="BE245" s="130" t="s">
        <v>2845</v>
      </c>
      <c r="BF245" s="127" t="s">
        <v>2447</v>
      </c>
      <c r="BG245" s="127" t="s">
        <v>2846</v>
      </c>
      <c r="BH245" s="127"/>
      <c r="BI245" s="128" t="s">
        <v>2847</v>
      </c>
      <c r="BJ245" s="130" t="s">
        <v>2848</v>
      </c>
      <c r="BK245" s="131" t="s">
        <v>2849</v>
      </c>
      <c r="BL245" s="47">
        <v>30</v>
      </c>
      <c r="BM245" s="47">
        <v>30</v>
      </c>
      <c r="BN245" s="48">
        <f>4000000*12</f>
        <v>48000000</v>
      </c>
      <c r="BO245" s="48">
        <f>BP245*12</f>
        <v>48000000</v>
      </c>
      <c r="BP245" s="49">
        <v>4000000</v>
      </c>
      <c r="BQ245" s="88">
        <f>BP245-BS245</f>
        <v>3800000</v>
      </c>
      <c r="BR245" s="88">
        <f>BQ245*84.3%</f>
        <v>3203400</v>
      </c>
      <c r="BS245" s="88">
        <v>200000</v>
      </c>
      <c r="BT245" s="89">
        <v>209</v>
      </c>
      <c r="BU245" s="49">
        <f>IF($BN245="","",
IFERROR(
    IF($BN245&lt;'[1]시간외시간 기준표'!$B$2,0,
        IF($BN245&gt;LOOKUP(9.9E+307,'[1]시간외시간 기준표'!$B$2:$B$999),
            LOOKUP(9.9E+307,'[1]시간외시간 기준표'!$C$2:$C$999),
            LOOKUP($BN245,'[1]시간외시간 기준표'!$B$2:$B$999,'[1]시간외시간 기준표'!$C$2:$C$999)
        )
    ),0)
)</f>
        <v>52</v>
      </c>
      <c r="BV245" s="89">
        <f>(BQ245+BS245)/209</f>
        <v>19138.755980861242</v>
      </c>
      <c r="BW245" s="51">
        <v>30</v>
      </c>
      <c r="BX245" s="51">
        <v>30</v>
      </c>
      <c r="BY245" s="52">
        <f>4000000*12</f>
        <v>48000000</v>
      </c>
      <c r="BZ245" s="52">
        <f>CA245*12</f>
        <v>48000000</v>
      </c>
      <c r="CA245" s="49">
        <v>4000000</v>
      </c>
      <c r="CB245" s="88">
        <f>CA245-CD245</f>
        <v>3800000</v>
      </c>
      <c r="CC245" s="88">
        <f>CB245*84.3%</f>
        <v>3203400</v>
      </c>
      <c r="CD245" s="88">
        <v>200000</v>
      </c>
      <c r="CE245" s="89">
        <v>209</v>
      </c>
      <c r="CF245" s="88">
        <f>IF(BY245&lt;26000000,0,IF(BY245&lt;26500000,4,IF(BY245&lt;27000000,7,IF(BY245&lt;27500000,9,IF(BY245&lt;28000000,11,IF(BY245&lt;28500000,15,IF(BY245&lt;29000000,17,IF(BY245&lt;29500000,20,IF(BY245&lt;30000000,23,IF(BY245&lt;30500000,25,IF(BY245&lt;31000000,27,IF(BY245&lt;31500000,29,IF(BY245&lt;32000000,33,IF(BY245&lt;32500000,37,IF(BY245&lt;33000000,39,IF(BY245&lt;33500000,42,IF(BY245&lt;34000000,45,IF(BY245&lt;34500000,48,IF(BY245&lt;35000000,52,52)))))))))))))))))))</f>
        <v>52</v>
      </c>
      <c r="CG245" s="89">
        <f>(CB245+CD245)/209</f>
        <v>19138.755980861242</v>
      </c>
      <c r="CH245" s="66"/>
      <c r="CI245" s="66"/>
      <c r="CJ245" s="67"/>
      <c r="CK245" s="67"/>
      <c r="CL245" s="49"/>
      <c r="CM245" s="49"/>
      <c r="CN245" s="49"/>
      <c r="CO245" s="50"/>
      <c r="CP245" s="50"/>
      <c r="CQ245" s="50"/>
      <c r="CR245" s="50"/>
      <c r="CS245" s="52"/>
      <c r="CT245" s="53"/>
      <c r="CU245" s="53"/>
      <c r="CV245" s="53"/>
      <c r="CW245" s="54"/>
      <c r="CX245" s="54"/>
      <c r="CY245" s="54"/>
      <c r="CZ245" s="55"/>
      <c r="DA245" s="55"/>
      <c r="DB245" s="56"/>
      <c r="DC245" s="57"/>
      <c r="DD245" s="58"/>
      <c r="DE245" s="58"/>
      <c r="DF245" s="57"/>
      <c r="DG245" s="59"/>
      <c r="DH245" s="58"/>
      <c r="DI245" s="58"/>
      <c r="DJ245" s="60"/>
      <c r="DK245" s="58"/>
      <c r="DL245" s="61"/>
      <c r="DM245" s="24"/>
    </row>
    <row r="246" spans="1:117" ht="15" customHeight="1">
      <c r="A246" s="25">
        <f>ROW()-2</f>
        <v>244</v>
      </c>
      <c r="B246" s="26">
        <v>9251202</v>
      </c>
      <c r="C246" s="27" t="s">
        <v>2850</v>
      </c>
      <c r="D246" s="27"/>
      <c r="E246" s="27"/>
      <c r="F246" s="27" t="s">
        <v>2700</v>
      </c>
      <c r="G246" s="27" t="s">
        <v>240</v>
      </c>
      <c r="H246" s="27" t="s">
        <v>241</v>
      </c>
      <c r="I246" s="27" t="s">
        <v>1936</v>
      </c>
      <c r="J246" s="27" t="str">
        <f>+VLOOKUP($I246,[1]프로젝트현황!$I:$N,5,0)</f>
        <v>서울시</v>
      </c>
      <c r="K246" s="27" t="str">
        <f>+VLOOKUP($I246,[1]프로젝트현황!$I:$N,6,0)</f>
        <v>마포구</v>
      </c>
      <c r="L246" s="28">
        <v>46006</v>
      </c>
      <c r="M246" s="28">
        <f>+L246</f>
        <v>46006</v>
      </c>
      <c r="N246" s="28"/>
      <c r="O246" s="29">
        <v>46173</v>
      </c>
      <c r="P246" s="132" t="s">
        <v>2851</v>
      </c>
      <c r="Q246" s="27" t="s">
        <v>2852</v>
      </c>
      <c r="R246" s="31" t="str">
        <f>LEFT(Q246,6)</f>
        <v>691010</v>
      </c>
      <c r="S246" s="31" t="str">
        <f>MID($Q246,3,2)</f>
        <v>10</v>
      </c>
      <c r="T246" s="31" t="str">
        <f>IF(OR(MID($Q246,8,1)="1",MID($Q246,8,1)="3"),"남자",IF(OR(MID($Q246,8,1)="2",MID($Q246,8,1)="4"),"여자",""))</f>
        <v>여자</v>
      </c>
      <c r="U246" s="31">
        <f ca="1">YEAR(TODAY())-IF(OR(MID($Q246,8,1)="1",MID($Q246,8,1)="2"),19&amp;LEFT($Q246,2),IF(OR(MID($Q246,8,1)="3",MID($Q246,8,1)="4"),20&amp;LEFT($Q246,2),""))+1</f>
        <v>58</v>
      </c>
      <c r="V246" s="31" t="s">
        <v>2369</v>
      </c>
      <c r="W246" s="31" t="s">
        <v>2370</v>
      </c>
      <c r="X246" s="27" t="s">
        <v>2853</v>
      </c>
      <c r="Y246" s="27"/>
      <c r="Z246" s="27"/>
      <c r="AA246" s="32"/>
      <c r="AB246" s="31" t="s">
        <v>2386</v>
      </c>
      <c r="AC246" s="27"/>
      <c r="AD246" s="33" t="str">
        <f ca="1">QUOTIENT(SUMPRODUCT(LEFT($AE246:$AF246,FIND("년",$AE246:$AF246)-1)*12+MID($AE246:$AF246,FIND("년",$AE246:$AF246)+1,FIND("개월",$AE246:$AF246)-FIND("년",$AE246:$AF246)-1)),12)&amp;"년"&amp;MOD(SUMPRODUCT(LEFT($AE246:$AF246,FIND("년",$AE246:$AF246)-1)*12+MID($AE246:$AF246,FIND("년",$AE246:$AF246)+1,FIND("개월",$AE246:$AF246)-FIND("년",$AE246:$AF246)-1)),12)&amp;"개월"</f>
        <v>35년2개월</v>
      </c>
      <c r="AE246" s="34" t="s">
        <v>2854</v>
      </c>
      <c r="AF246" s="34" t="str">
        <f ca="1">DATEDIF($L246,TODAY(),"y")&amp;"년"&amp;DATEDIF($L246,TODAY(),"ym")&amp;"개월"</f>
        <v>0년1개월</v>
      </c>
      <c r="AG246" s="35" t="s">
        <v>2855</v>
      </c>
      <c r="AH246" s="35" t="s">
        <v>2856</v>
      </c>
      <c r="AI246" s="30" t="s">
        <v>270</v>
      </c>
      <c r="AJ246" s="32">
        <v>41689</v>
      </c>
      <c r="AK246" s="36">
        <v>19</v>
      </c>
      <c r="AL246" s="31" t="str">
        <f>IF($AI246="학사",IF($AK246&lt;=8,"초급",IF($AK246&lt;12,"중급",IF($AK246&lt;15,"고급",IF($AK246&gt;=15,"특급")))))</f>
        <v>특급</v>
      </c>
      <c r="AM246" s="31" t="str">
        <f>IF(ISNUMBER(SEARCH("산업기사",$AT246)),IF($AK246&gt;=13,"특급",IF($AK246&gt;=10,"고급",IF($AK246&gt;=7,"중급","초급"))),IF(ISNUMBER(SEARCH("기사",$AR246)),IF($AK246&gt;=10,"특급",IF($AK246&gt;=7,"고급",IF($AK246&gt;=4,"중급","초급"))),"미해당"))</f>
        <v>미해당</v>
      </c>
      <c r="AN246" s="27"/>
      <c r="AO246" s="32"/>
      <c r="AP246" s="27"/>
      <c r="AQ246" s="32"/>
      <c r="AR246" s="27"/>
      <c r="AS246" s="27"/>
      <c r="AT246" s="37"/>
      <c r="AU246" s="27"/>
      <c r="AV246" s="38"/>
      <c r="AW246" s="39"/>
      <c r="AX246" s="39"/>
      <c r="AY246" s="126" t="s">
        <v>2374</v>
      </c>
      <c r="AZ246" s="126" t="s">
        <v>2375</v>
      </c>
      <c r="BA246" s="30" t="s">
        <v>2218</v>
      </c>
      <c r="BB246" s="30" t="s">
        <v>2857</v>
      </c>
      <c r="BC246" s="42"/>
      <c r="BD246" s="42"/>
      <c r="BE246" s="64" t="s">
        <v>2858</v>
      </c>
      <c r="BF246" s="42"/>
      <c r="BG246" s="42"/>
      <c r="BH246" s="35"/>
      <c r="BI246" s="44"/>
      <c r="BJ246" s="45"/>
      <c r="BK246" s="46"/>
      <c r="BL246" s="47">
        <v>30</v>
      </c>
      <c r="BM246" s="47">
        <v>30</v>
      </c>
      <c r="BN246" s="48">
        <f>3800000*12</f>
        <v>45600000</v>
      </c>
      <c r="BO246" s="48">
        <f>BP246*12</f>
        <v>45600000</v>
      </c>
      <c r="BP246" s="49">
        <v>3800000</v>
      </c>
      <c r="BQ246" s="88">
        <f>BP246-BS246</f>
        <v>3600000</v>
      </c>
      <c r="BR246" s="88">
        <f>BQ246*84.3%</f>
        <v>3034800</v>
      </c>
      <c r="BS246" s="88">
        <v>200000</v>
      </c>
      <c r="BT246" s="89">
        <v>209</v>
      </c>
      <c r="BU246" s="49">
        <f>IF($BN246="","",
IFERROR(
    IF($BN246&lt;'[1]시간외시간 기준표'!$B$2,0,
        IF($BN246&gt;LOOKUP(9.9E+307,'[1]시간외시간 기준표'!$B$2:$B$999),
            LOOKUP(9.9E+307,'[1]시간외시간 기준표'!$C$2:$C$999),
            LOOKUP($BN246,'[1]시간외시간 기준표'!$B$2:$B$999,'[1]시간외시간 기준표'!$C$2:$C$999)
        )
    ),0)
)</f>
        <v>52</v>
      </c>
      <c r="BV246" s="89">
        <f>(BQ246+BS246)/209</f>
        <v>18181.81818181818</v>
      </c>
      <c r="BW246" s="51">
        <v>30</v>
      </c>
      <c r="BX246" s="51">
        <v>30</v>
      </c>
      <c r="BY246" s="52">
        <f>3800000*12</f>
        <v>45600000</v>
      </c>
      <c r="BZ246" s="52">
        <f>CA246*12</f>
        <v>45600000</v>
      </c>
      <c r="CA246" s="49">
        <v>3800000</v>
      </c>
      <c r="CB246" s="88">
        <f>CA246-CD246</f>
        <v>3600000</v>
      </c>
      <c r="CC246" s="88">
        <f>CB246*84.3%</f>
        <v>3034800</v>
      </c>
      <c r="CD246" s="88">
        <v>200000</v>
      </c>
      <c r="CE246" s="89">
        <v>209</v>
      </c>
      <c r="CF246" s="88">
        <f>IF(BY246&lt;26000000,0,IF(BY246&lt;26500000,4,IF(BY246&lt;27000000,7,IF(BY246&lt;27500000,9,IF(BY246&lt;28000000,11,IF(BY246&lt;28500000,15,IF(BY246&lt;29000000,17,IF(BY246&lt;29500000,20,IF(BY246&lt;30000000,23,IF(BY246&lt;30500000,25,IF(BY246&lt;31000000,27,IF(BY246&lt;31500000,29,IF(BY246&lt;32000000,33,IF(BY246&lt;32500000,37,IF(BY246&lt;33000000,39,IF(BY246&lt;33500000,42,IF(BY246&lt;34000000,45,IF(BY246&lt;34500000,48,IF(BY246&lt;35000000,52,52)))))))))))))))))))</f>
        <v>52</v>
      </c>
      <c r="CG246" s="89">
        <f>(CB246+CD246)/209</f>
        <v>18181.81818181818</v>
      </c>
      <c r="CH246" s="66"/>
      <c r="CI246" s="66"/>
      <c r="CJ246" s="67"/>
      <c r="CK246" s="67"/>
      <c r="CL246" s="49"/>
      <c r="CM246" s="49"/>
      <c r="CN246" s="49"/>
      <c r="CO246" s="50"/>
      <c r="CP246" s="50"/>
      <c r="CQ246" s="50"/>
      <c r="CR246" s="50"/>
      <c r="CS246" s="52"/>
      <c r="CT246" s="53"/>
      <c r="CU246" s="53"/>
      <c r="CV246" s="53"/>
      <c r="CW246" s="54"/>
      <c r="CX246" s="54"/>
      <c r="CY246" s="54"/>
      <c r="CZ246" s="55"/>
      <c r="DA246" s="55"/>
      <c r="DB246" s="56"/>
      <c r="DC246" s="57"/>
      <c r="DD246" s="58"/>
      <c r="DE246" s="58"/>
      <c r="DF246" s="57"/>
      <c r="DG246" s="59"/>
      <c r="DH246" s="58"/>
      <c r="DI246" s="58"/>
      <c r="DJ246" s="60"/>
      <c r="DK246" s="58"/>
      <c r="DL246" s="61"/>
      <c r="DM246" s="24"/>
    </row>
    <row r="247" spans="1:117" customFormat="1" ht="15" customHeight="1">
      <c r="D247" s="27"/>
      <c r="E247" s="27"/>
      <c r="F247" s="27"/>
      <c r="G247" s="27"/>
      <c r="H247" s="27"/>
      <c r="I247" s="27"/>
      <c r="J247" s="27"/>
      <c r="K247" s="27"/>
      <c r="Q247" s="133"/>
      <c r="AA247" s="134"/>
      <c r="AG247" s="135"/>
      <c r="AH247" s="135"/>
      <c r="AT247" s="135"/>
      <c r="BE247" s="135"/>
      <c r="BH247" s="135"/>
      <c r="BI247" s="135"/>
    </row>
    <row r="248" spans="1:117" ht="15" customHeight="1">
      <c r="A248"/>
      <c r="B248" s="136"/>
      <c r="C248" s="24"/>
      <c r="D248" s="24"/>
      <c r="E248" s="24"/>
      <c r="F248" s="24"/>
      <c r="G248" s="24"/>
      <c r="H248" s="24"/>
      <c r="I248" s="24"/>
      <c r="J248" s="24"/>
      <c r="K248" s="24"/>
      <c r="M248" s="137"/>
      <c r="P248" s="138"/>
      <c r="AJ248" s="24"/>
      <c r="AP248" s="139"/>
      <c r="AQ248" s="24"/>
      <c r="AW248" s="138"/>
      <c r="BE248" s="140"/>
      <c r="BF248" s="138"/>
      <c r="BJ248" s="141"/>
      <c r="BK248" s="140"/>
      <c r="BL248" s="138"/>
      <c r="BM248" s="24"/>
      <c r="BO248" s="142"/>
      <c r="BP248" s="143"/>
      <c r="BQ248" s="142"/>
      <c r="BV248" s="142"/>
      <c r="BW248" s="138"/>
      <c r="BX248" s="24"/>
      <c r="BZ248" s="142"/>
      <c r="CA248" s="143"/>
      <c r="CB248" s="142"/>
      <c r="CG248" s="142"/>
      <c r="CH248" s="138"/>
      <c r="CI248" s="24"/>
      <c r="DE248" s="137"/>
      <c r="DG248" s="24"/>
      <c r="DI248" s="137"/>
      <c r="DK248" s="144"/>
      <c r="DL248" s="137"/>
      <c r="DM248" s="145"/>
    </row>
    <row r="249" spans="1:117" ht="15" customHeight="1">
      <c r="A249"/>
      <c r="B249" s="136"/>
      <c r="C249" s="24"/>
      <c r="D249" s="24"/>
      <c r="E249" s="24"/>
      <c r="F249" s="24"/>
      <c r="G249" s="24"/>
      <c r="H249" s="24"/>
      <c r="I249" s="24"/>
      <c r="J249" s="24"/>
      <c r="K249" s="24"/>
      <c r="M249" s="137"/>
      <c r="P249" s="138"/>
      <c r="AJ249" s="24"/>
      <c r="AP249" s="139"/>
      <c r="AQ249" s="24"/>
      <c r="AW249" s="138"/>
      <c r="BE249" s="140"/>
      <c r="BF249" s="138"/>
      <c r="BJ249" s="141"/>
      <c r="BK249" s="140"/>
      <c r="BL249" s="138"/>
      <c r="BM249" s="24"/>
      <c r="BP249" s="143"/>
      <c r="BQ249" s="142"/>
      <c r="BR249" s="142"/>
      <c r="BV249" s="143"/>
      <c r="BW249" s="138"/>
      <c r="BX249" s="24"/>
      <c r="CA249" s="143"/>
      <c r="CB249" s="142"/>
      <c r="CC249" s="142"/>
      <c r="CG249" s="143"/>
      <c r="CH249" s="138"/>
      <c r="CI249" s="24"/>
      <c r="DE249" s="137"/>
      <c r="DG249" s="24"/>
      <c r="DI249" s="137"/>
      <c r="DK249" s="144"/>
      <c r="DL249" s="137"/>
      <c r="DM249" s="145"/>
    </row>
    <row r="250" spans="1:117" ht="15" customHeight="1">
      <c r="A250"/>
      <c r="B250" s="136"/>
      <c r="C250" s="24"/>
      <c r="D250" s="24"/>
      <c r="E250" s="24"/>
      <c r="F250" s="24"/>
      <c r="G250" s="24"/>
      <c r="H250" s="24"/>
      <c r="I250" s="24"/>
      <c r="J250" s="24"/>
      <c r="K250" s="24"/>
      <c r="M250" s="137"/>
      <c r="P250" s="138"/>
      <c r="AJ250" s="24"/>
      <c r="AP250" s="139"/>
      <c r="AQ250" s="24"/>
      <c r="AW250" s="138"/>
      <c r="BE250" s="140"/>
      <c r="BF250" s="138"/>
      <c r="BJ250" s="141"/>
      <c r="BK250" s="140"/>
      <c r="BL250" s="138"/>
      <c r="BM250" s="24"/>
      <c r="BP250" s="143"/>
      <c r="BQ250" s="142"/>
      <c r="BR250" s="142"/>
      <c r="BW250" s="138"/>
      <c r="BX250" s="24"/>
      <c r="CA250" s="143"/>
      <c r="CB250" s="142"/>
      <c r="CC250" s="142"/>
      <c r="CH250" s="138"/>
      <c r="CI250" s="24"/>
      <c r="DE250" s="137"/>
      <c r="DG250" s="24"/>
      <c r="DI250" s="137"/>
      <c r="DK250" s="144"/>
      <c r="DL250" s="137"/>
      <c r="DM250" s="145"/>
    </row>
    <row r="251" spans="1:117" ht="15" customHeight="1">
      <c r="A251"/>
      <c r="B251" s="136"/>
      <c r="C251" s="24"/>
      <c r="D251" s="24"/>
      <c r="E251" s="24"/>
      <c r="F251" s="24"/>
      <c r="G251" s="24"/>
      <c r="H251" s="24"/>
      <c r="I251" s="24"/>
      <c r="J251" s="24"/>
      <c r="K251" s="24"/>
      <c r="M251" s="137"/>
      <c r="P251" s="138"/>
      <c r="AJ251" s="24"/>
      <c r="AP251" s="139"/>
      <c r="AQ251" s="24"/>
      <c r="AW251" s="138"/>
      <c r="BE251" s="140"/>
      <c r="BF251" s="138"/>
      <c r="BJ251" s="141"/>
      <c r="BK251" s="140"/>
      <c r="BL251" s="138"/>
      <c r="BM251" s="24"/>
      <c r="BP251" s="143"/>
      <c r="BQ251" s="142"/>
      <c r="BV251" s="143"/>
      <c r="BW251" s="138"/>
      <c r="BX251" s="24"/>
      <c r="CA251" s="143"/>
      <c r="CB251" s="142"/>
      <c r="CG251" s="143"/>
      <c r="CH251" s="138"/>
      <c r="CI251" s="24"/>
      <c r="DE251" s="137"/>
      <c r="DG251" s="24"/>
      <c r="DI251" s="137"/>
      <c r="DK251" s="144"/>
      <c r="DL251" s="137"/>
      <c r="DM251" s="145"/>
    </row>
    <row r="252" spans="1:117" ht="15" customHeight="1">
      <c r="A252"/>
      <c r="B252" s="136"/>
      <c r="C252" s="24"/>
      <c r="D252" s="24"/>
      <c r="E252" s="24"/>
      <c r="F252" s="24"/>
      <c r="G252" s="24"/>
      <c r="H252" s="24"/>
      <c r="I252" s="24"/>
      <c r="J252" s="24"/>
      <c r="K252" s="24"/>
      <c r="M252" s="137"/>
      <c r="P252" s="138"/>
      <c r="AJ252" s="24"/>
      <c r="AP252" s="139"/>
      <c r="AQ252" s="24"/>
      <c r="AW252" s="138"/>
      <c r="BE252" s="140"/>
      <c r="BF252" s="138"/>
      <c r="BJ252" s="141"/>
      <c r="BK252" s="140"/>
      <c r="BL252" s="138"/>
      <c r="BM252" s="24"/>
      <c r="BP252" s="143"/>
      <c r="BQ252" s="142"/>
      <c r="BV252" s="143"/>
      <c r="BW252" s="138"/>
      <c r="BX252" s="24"/>
      <c r="CA252" s="143"/>
      <c r="CB252" s="142"/>
      <c r="CG252" s="143"/>
      <c r="CH252" s="138"/>
      <c r="CI252" s="24"/>
      <c r="DE252" s="137"/>
      <c r="DG252" s="24"/>
      <c r="DI252" s="137"/>
      <c r="DK252" s="144"/>
      <c r="DL252" s="137"/>
      <c r="DM252" s="145"/>
    </row>
    <row r="253" spans="1:117" ht="15" customHeight="1">
      <c r="B253" s="136"/>
      <c r="C253" s="24"/>
      <c r="D253" s="24"/>
      <c r="E253" s="24"/>
      <c r="F253" s="24"/>
      <c r="G253" s="24"/>
      <c r="H253" s="24"/>
      <c r="I253" s="24"/>
      <c r="J253" s="24"/>
      <c r="K253" s="24"/>
      <c r="M253" s="137"/>
      <c r="P253" s="138"/>
      <c r="AJ253" s="24"/>
      <c r="AP253" s="139"/>
      <c r="AQ253" s="24"/>
      <c r="AW253" s="138"/>
      <c r="BE253" s="140"/>
      <c r="BF253" s="138"/>
      <c r="BJ253" s="141"/>
      <c r="BK253" s="140"/>
      <c r="BL253" s="138"/>
      <c r="BM253" s="24"/>
      <c r="BP253" s="142"/>
      <c r="BQ253" s="142"/>
      <c r="BV253" s="143"/>
      <c r="BW253" s="138"/>
      <c r="BX253" s="24"/>
      <c r="CA253" s="142"/>
      <c r="CB253" s="142"/>
      <c r="CG253" s="143"/>
      <c r="CH253" s="138"/>
      <c r="CI253" s="24"/>
      <c r="DE253" s="137"/>
      <c r="DG253" s="24"/>
      <c r="DI253" s="137"/>
      <c r="DK253" s="144"/>
      <c r="DL253" s="137"/>
      <c r="DM253" s="145"/>
    </row>
    <row r="254" spans="1:117" ht="15" customHeight="1">
      <c r="B254" s="136"/>
      <c r="C254" s="24"/>
      <c r="D254" s="24"/>
      <c r="E254" s="24"/>
      <c r="F254" s="24"/>
      <c r="G254" s="24"/>
      <c r="H254" s="24"/>
      <c r="I254" s="24"/>
      <c r="J254" s="24"/>
      <c r="K254" s="24"/>
      <c r="M254" s="137"/>
      <c r="P254" s="138"/>
      <c r="AJ254" s="24"/>
      <c r="AP254" s="139"/>
      <c r="AQ254" s="24"/>
      <c r="AW254" s="138"/>
      <c r="BE254" s="140"/>
      <c r="BF254" s="138"/>
      <c r="BJ254" s="141"/>
      <c r="BK254" s="140"/>
      <c r="BL254" s="146"/>
      <c r="BM254" s="63"/>
      <c r="BN254" s="63"/>
      <c r="BP254" s="142"/>
      <c r="BV254" s="147"/>
      <c r="BW254" s="146"/>
      <c r="BX254" s="63"/>
      <c r="BY254" s="63"/>
      <c r="CA254" s="142"/>
      <c r="CG254" s="147"/>
      <c r="CH254" s="138"/>
      <c r="CI254" s="24"/>
      <c r="DE254" s="137"/>
      <c r="DG254" s="24"/>
      <c r="DI254" s="137"/>
      <c r="DK254" s="144"/>
      <c r="DL254" s="137"/>
      <c r="DM254" s="145"/>
    </row>
    <row r="255" spans="1:117" ht="15" customHeight="1">
      <c r="B255" s="136"/>
      <c r="C255" s="24"/>
      <c r="D255" s="24"/>
      <c r="E255" s="24"/>
      <c r="F255" s="24"/>
      <c r="G255" s="24"/>
      <c r="H255" s="24"/>
      <c r="I255" s="24"/>
      <c r="J255" s="24"/>
      <c r="K255" s="24"/>
      <c r="M255" s="137"/>
      <c r="P255" s="138"/>
      <c r="AJ255" s="24"/>
      <c r="AP255" s="139"/>
      <c r="AQ255" s="24"/>
      <c r="AW255" s="138"/>
      <c r="BE255" s="140"/>
      <c r="BF255" s="138"/>
      <c r="BJ255" s="141"/>
      <c r="BK255" s="140"/>
      <c r="BL255" s="146"/>
      <c r="BM255" s="63"/>
      <c r="BN255" s="63"/>
      <c r="BP255" s="142"/>
      <c r="BW255" s="146"/>
      <c r="BX255" s="63"/>
      <c r="BY255" s="63"/>
      <c r="CA255" s="142"/>
      <c r="CH255" s="138"/>
      <c r="CI255" s="24"/>
      <c r="DE255" s="137"/>
      <c r="DG255" s="24"/>
      <c r="DI255" s="137"/>
      <c r="DK255" s="144"/>
      <c r="DL255" s="137"/>
      <c r="DM255" s="145"/>
    </row>
    <row r="256" spans="1:117" ht="15" customHeight="1">
      <c r="B256" s="136"/>
      <c r="C256" s="24"/>
      <c r="D256" s="24"/>
      <c r="E256" s="24"/>
      <c r="F256" s="24"/>
      <c r="G256" s="24"/>
      <c r="H256" s="24"/>
      <c r="I256" s="24"/>
      <c r="J256" s="24"/>
      <c r="K256" s="24"/>
      <c r="M256" s="137"/>
      <c r="P256" s="138"/>
      <c r="AJ256" s="24"/>
      <c r="AP256" s="139"/>
      <c r="AQ256" s="24"/>
      <c r="AW256" s="138"/>
      <c r="BE256" s="140"/>
      <c r="BF256" s="138"/>
      <c r="BJ256" s="141"/>
      <c r="BK256" s="140"/>
      <c r="BL256" s="138"/>
      <c r="BM256" s="24"/>
      <c r="BP256" s="142"/>
      <c r="BW256" s="138"/>
      <c r="BX256" s="24"/>
      <c r="CA256" s="142"/>
      <c r="CH256" s="138"/>
      <c r="CI256" s="24"/>
      <c r="DE256" s="137"/>
      <c r="DG256" s="24"/>
      <c r="DI256" s="137"/>
      <c r="DK256" s="144"/>
      <c r="DL256" s="137"/>
      <c r="DM256" s="145"/>
    </row>
    <row r="257" spans="2:117" ht="15" customHeight="1">
      <c r="B257" s="136"/>
      <c r="C257" s="24"/>
      <c r="D257" s="24"/>
      <c r="E257" s="24"/>
      <c r="F257" s="24"/>
      <c r="G257" s="24"/>
      <c r="H257" s="24"/>
      <c r="I257" s="24"/>
      <c r="J257" s="24"/>
      <c r="K257" s="24"/>
      <c r="M257" s="137"/>
      <c r="P257" s="138"/>
      <c r="AJ257" s="24"/>
      <c r="AP257" s="139"/>
      <c r="AQ257" s="24"/>
      <c r="AW257" s="138"/>
      <c r="BE257" s="140"/>
      <c r="BF257" s="138"/>
      <c r="BJ257" s="141"/>
      <c r="BK257" s="140"/>
      <c r="BL257" s="138"/>
      <c r="BM257" s="24"/>
      <c r="BW257" s="138"/>
      <c r="BX257" s="24"/>
      <c r="CH257" s="138"/>
      <c r="CI257" s="24"/>
      <c r="DE257" s="137"/>
      <c r="DG257" s="24"/>
      <c r="DI257" s="137"/>
      <c r="DK257" s="144"/>
      <c r="DL257" s="137"/>
      <c r="DM257" s="145"/>
    </row>
    <row r="258" spans="2:117" ht="15" customHeight="1">
      <c r="B258" s="136"/>
      <c r="C258" s="24"/>
      <c r="D258" s="24"/>
      <c r="E258" s="24"/>
      <c r="F258" s="24"/>
      <c r="G258" s="24"/>
      <c r="H258" s="24"/>
      <c r="I258" s="24"/>
      <c r="J258" s="24"/>
      <c r="K258" s="24"/>
      <c r="M258" s="137"/>
      <c r="P258" s="138"/>
      <c r="AJ258" s="24"/>
      <c r="AP258" s="139"/>
      <c r="AQ258" s="24"/>
      <c r="AW258" s="138"/>
      <c r="BE258" s="140"/>
      <c r="BF258" s="138"/>
      <c r="BJ258" s="141"/>
      <c r="BK258" s="140"/>
      <c r="BL258" s="138"/>
      <c r="BM258" s="24"/>
      <c r="BW258" s="138"/>
      <c r="BX258" s="24"/>
      <c r="CH258" s="138"/>
      <c r="CI258" s="24"/>
      <c r="DE258" s="137"/>
      <c r="DG258" s="24"/>
      <c r="DI258" s="137"/>
      <c r="DK258" s="144"/>
      <c r="DL258" s="137"/>
      <c r="DM258" s="145"/>
    </row>
    <row r="259" spans="2:117" ht="15" customHeight="1">
      <c r="B259" s="136"/>
      <c r="C259" s="24"/>
      <c r="D259" s="24"/>
      <c r="E259" s="24"/>
      <c r="F259" s="24"/>
      <c r="G259" s="24"/>
      <c r="H259" s="24"/>
      <c r="I259" s="24"/>
      <c r="J259" s="24"/>
      <c r="K259" s="24"/>
      <c r="M259" s="137"/>
      <c r="P259" s="138"/>
      <c r="AJ259" s="24"/>
      <c r="AP259" s="139"/>
      <c r="AQ259" s="24"/>
      <c r="AW259" s="138"/>
      <c r="BE259" s="140"/>
      <c r="BF259" s="138"/>
      <c r="BJ259" s="141"/>
      <c r="BK259" s="140"/>
      <c r="BL259" s="138"/>
      <c r="BM259" s="24"/>
      <c r="BW259" s="138"/>
      <c r="BX259" s="24"/>
      <c r="CH259" s="138"/>
      <c r="CI259" s="24"/>
      <c r="DE259" s="137"/>
      <c r="DG259" s="24"/>
      <c r="DI259" s="137"/>
      <c r="DK259" s="144"/>
      <c r="DL259" s="137"/>
      <c r="DM259" s="145"/>
    </row>
    <row r="260" spans="2:117" ht="15" customHeight="1">
      <c r="B260" s="136"/>
      <c r="C260" s="24"/>
      <c r="D260" s="24"/>
      <c r="E260" s="24"/>
      <c r="F260" s="24"/>
      <c r="G260" s="24"/>
      <c r="H260" s="24"/>
      <c r="I260" s="24"/>
      <c r="J260" s="24"/>
      <c r="K260" s="24"/>
      <c r="M260" s="137"/>
      <c r="P260" s="138"/>
      <c r="AJ260" s="24"/>
      <c r="AP260" s="139"/>
      <c r="AQ260" s="24"/>
      <c r="AW260" s="138"/>
      <c r="BE260" s="140"/>
      <c r="BF260" s="138"/>
      <c r="BJ260" s="141"/>
      <c r="BK260" s="140"/>
      <c r="BL260" s="138"/>
      <c r="BM260" s="24"/>
      <c r="BW260" s="138"/>
      <c r="BX260" s="24"/>
      <c r="CH260" s="138"/>
      <c r="CI260" s="24"/>
      <c r="DE260" s="137"/>
      <c r="DG260" s="24"/>
      <c r="DI260" s="137"/>
      <c r="DK260" s="144"/>
      <c r="DL260" s="137"/>
      <c r="DM260" s="145"/>
    </row>
    <row r="261" spans="2:117" ht="15" customHeight="1">
      <c r="B261" s="136"/>
      <c r="C261" s="24"/>
      <c r="D261" s="24"/>
      <c r="E261" s="24"/>
      <c r="F261" s="24"/>
      <c r="G261" s="24"/>
      <c r="H261" s="24"/>
      <c r="I261" s="24"/>
      <c r="J261" s="24"/>
      <c r="K261" s="24"/>
      <c r="M261" s="137"/>
      <c r="P261" s="138"/>
      <c r="AJ261" s="24"/>
      <c r="AP261" s="139"/>
      <c r="AQ261" s="24"/>
      <c r="AW261" s="138"/>
      <c r="BE261" s="140"/>
      <c r="BF261" s="138"/>
      <c r="BJ261" s="141"/>
      <c r="BK261" s="140"/>
      <c r="BL261" s="138"/>
      <c r="BM261" s="24"/>
      <c r="BW261" s="138"/>
      <c r="BX261" s="24"/>
      <c r="CH261" s="138"/>
      <c r="CI261" s="24"/>
      <c r="DE261" s="137"/>
      <c r="DG261" s="24"/>
      <c r="DI261" s="137"/>
      <c r="DK261" s="144"/>
      <c r="DL261" s="137"/>
      <c r="DM261" s="145"/>
    </row>
    <row r="262" spans="2:117" ht="15" customHeight="1">
      <c r="B262" s="136"/>
      <c r="C262" s="24"/>
      <c r="D262" s="24"/>
      <c r="E262" s="24"/>
      <c r="F262" s="24"/>
      <c r="G262" s="24"/>
      <c r="H262" s="24"/>
      <c r="I262" s="24"/>
      <c r="J262" s="24"/>
      <c r="K262" s="24"/>
      <c r="M262" s="137"/>
      <c r="O262" s="137" t="s">
        <v>2859</v>
      </c>
      <c r="P262" s="138"/>
      <c r="AJ262" s="24"/>
      <c r="AP262" s="139"/>
      <c r="AQ262" s="24"/>
      <c r="AW262" s="138"/>
      <c r="BE262" s="140"/>
      <c r="BF262" s="138"/>
      <c r="BJ262" s="141"/>
      <c r="BK262" s="140"/>
      <c r="BL262" s="138"/>
      <c r="BM262" s="24"/>
      <c r="BW262" s="138"/>
      <c r="BX262" s="24"/>
      <c r="CH262" s="138"/>
      <c r="CI262" s="24"/>
      <c r="DE262" s="137"/>
      <c r="DG262" s="24"/>
      <c r="DI262" s="137"/>
      <c r="DK262" s="144"/>
      <c r="DL262" s="137"/>
      <c r="DM262" s="145"/>
    </row>
    <row r="263" spans="2:117" ht="15" customHeight="1">
      <c r="B263" s="136"/>
      <c r="C263" s="24"/>
      <c r="D263" s="24"/>
      <c r="E263" s="24"/>
      <c r="F263" s="24"/>
      <c r="G263" s="24"/>
      <c r="H263" s="24"/>
      <c r="I263" s="24"/>
      <c r="J263" s="24"/>
      <c r="K263" s="24"/>
      <c r="M263" s="137"/>
      <c r="P263" s="138"/>
      <c r="AJ263" s="24"/>
      <c r="AP263" s="139"/>
      <c r="AQ263" s="24"/>
      <c r="AW263" s="138"/>
      <c r="BE263" s="140"/>
      <c r="BF263" s="138"/>
      <c r="BJ263" s="141"/>
      <c r="BK263" s="140"/>
      <c r="BL263" s="138"/>
      <c r="BM263" s="24"/>
      <c r="BW263" s="138"/>
      <c r="BX263" s="24"/>
      <c r="CH263" s="138"/>
      <c r="CI263" s="24"/>
      <c r="DE263" s="137"/>
      <c r="DG263" s="24"/>
      <c r="DI263" s="137"/>
      <c r="DK263" s="144"/>
      <c r="DL263" s="137"/>
      <c r="DM263" s="145"/>
    </row>
    <row r="264" spans="2:117" ht="15" customHeight="1">
      <c r="B264" s="136"/>
      <c r="C264" s="24"/>
      <c r="D264" s="24"/>
      <c r="E264" s="24"/>
      <c r="F264" s="24"/>
      <c r="G264" s="24"/>
      <c r="H264" s="24"/>
      <c r="I264" s="24"/>
      <c r="J264" s="24"/>
      <c r="K264" s="24"/>
      <c r="M264" s="137"/>
      <c r="P264" s="138"/>
      <c r="AJ264" s="24"/>
      <c r="AP264" s="139"/>
      <c r="AQ264" s="24"/>
      <c r="AW264" s="138"/>
      <c r="BE264" s="140"/>
      <c r="BF264" s="138"/>
      <c r="BJ264" s="141"/>
      <c r="BK264" s="140"/>
      <c r="BL264" s="138"/>
      <c r="BM264" s="24"/>
      <c r="BW264" s="138"/>
      <c r="BX264" s="24"/>
      <c r="CH264" s="138"/>
      <c r="CI264" s="24"/>
      <c r="DE264" s="137"/>
      <c r="DG264" s="24"/>
      <c r="DI264" s="137"/>
      <c r="DK264" s="144"/>
      <c r="DL264" s="137"/>
      <c r="DM264" s="145"/>
    </row>
    <row r="265" spans="2:117" ht="15" customHeight="1">
      <c r="B265" s="136"/>
      <c r="C265" s="24"/>
      <c r="D265" s="24"/>
      <c r="E265" s="24"/>
      <c r="F265" s="24"/>
      <c r="G265" s="24"/>
      <c r="H265" s="24"/>
      <c r="I265" s="24"/>
      <c r="J265" s="24"/>
      <c r="K265" s="24"/>
      <c r="M265" s="137"/>
      <c r="P265" s="138"/>
      <c r="AJ265" s="24"/>
      <c r="AP265" s="139"/>
      <c r="AQ265" s="24"/>
      <c r="AW265" s="138"/>
      <c r="BE265" s="140"/>
      <c r="BF265" s="138"/>
      <c r="BJ265" s="141"/>
      <c r="BK265" s="140"/>
      <c r="BL265" s="138"/>
      <c r="BM265" s="24"/>
      <c r="BW265" s="138"/>
      <c r="BX265" s="24"/>
      <c r="CH265" s="138"/>
      <c r="CI265" s="24"/>
      <c r="DE265" s="137"/>
      <c r="DG265" s="24"/>
      <c r="DI265" s="137"/>
      <c r="DK265" s="144"/>
      <c r="DL265" s="137"/>
      <c r="DM265" s="145"/>
    </row>
    <row r="266" spans="2:117" ht="15" customHeight="1">
      <c r="B266" s="136"/>
      <c r="C266" s="24"/>
      <c r="D266" s="24"/>
      <c r="E266" s="24"/>
      <c r="F266" s="24"/>
      <c r="G266" s="24"/>
      <c r="H266" s="24"/>
      <c r="I266" s="24"/>
      <c r="J266" s="24"/>
      <c r="K266" s="24"/>
      <c r="M266" s="137"/>
      <c r="P266" s="138"/>
      <c r="AJ266" s="24"/>
      <c r="AP266" s="139"/>
      <c r="AQ266" s="24"/>
      <c r="AW266" s="138"/>
      <c r="BE266" s="140"/>
      <c r="BF266" s="138"/>
      <c r="BJ266" s="141"/>
      <c r="BK266" s="140"/>
      <c r="BL266" s="138"/>
      <c r="BM266" s="24"/>
      <c r="BW266" s="138"/>
      <c r="BX266" s="24"/>
      <c r="CH266" s="138"/>
      <c r="CI266" s="24"/>
      <c r="DE266" s="137"/>
      <c r="DG266" s="24"/>
      <c r="DI266" s="137"/>
      <c r="DK266" s="144"/>
      <c r="DL266" s="137"/>
      <c r="DM266" s="145"/>
    </row>
    <row r="267" spans="2:117" ht="15" customHeight="1">
      <c r="B267" s="136"/>
      <c r="C267" s="24"/>
      <c r="D267" s="24"/>
      <c r="E267" s="24"/>
      <c r="F267" s="24"/>
      <c r="G267" s="24"/>
      <c r="H267" s="24"/>
      <c r="I267" s="24"/>
      <c r="J267" s="24"/>
      <c r="K267" s="24"/>
      <c r="M267" s="137"/>
      <c r="P267" s="138"/>
      <c r="AJ267" s="24"/>
      <c r="AP267" s="139"/>
      <c r="AQ267" s="24"/>
      <c r="AW267" s="138"/>
      <c r="BE267" s="140"/>
      <c r="BF267" s="138"/>
      <c r="BJ267" s="141"/>
      <c r="BK267" s="140"/>
      <c r="BL267" s="138"/>
      <c r="BM267" s="24"/>
      <c r="BW267" s="138"/>
      <c r="BX267" s="24"/>
      <c r="CH267" s="138"/>
      <c r="CI267" s="24"/>
      <c r="DE267" s="137"/>
      <c r="DG267" s="24"/>
      <c r="DI267" s="137"/>
      <c r="DK267" s="144"/>
      <c r="DL267" s="137"/>
      <c r="DM267" s="145"/>
    </row>
    <row r="268" spans="2:117" ht="15" customHeight="1">
      <c r="B268" s="136"/>
      <c r="C268" s="24"/>
      <c r="D268" s="24"/>
      <c r="E268" s="24"/>
      <c r="F268" s="24"/>
      <c r="G268" s="24"/>
      <c r="H268" s="24"/>
      <c r="I268" s="24"/>
      <c r="J268" s="24"/>
      <c r="K268" s="24"/>
      <c r="M268" s="137"/>
      <c r="P268" s="138"/>
      <c r="AJ268" s="24"/>
      <c r="AP268" s="139"/>
      <c r="AQ268" s="24"/>
      <c r="AW268" s="138"/>
      <c r="BE268" s="140"/>
      <c r="BF268" s="138"/>
      <c r="BJ268" s="141"/>
      <c r="BK268" s="140"/>
      <c r="BL268" s="138"/>
      <c r="BM268" s="24"/>
      <c r="BW268" s="138"/>
      <c r="BX268" s="24"/>
      <c r="CH268" s="138"/>
      <c r="CI268" s="24"/>
      <c r="DE268" s="137"/>
      <c r="DG268" s="24"/>
      <c r="DI268" s="137"/>
      <c r="DK268" s="144"/>
      <c r="DL268" s="137"/>
      <c r="DM268" s="145"/>
    </row>
    <row r="269" spans="2:117" ht="15" customHeight="1">
      <c r="B269" s="136"/>
      <c r="C269" s="24"/>
      <c r="D269" s="24"/>
      <c r="E269" s="24"/>
      <c r="F269" s="24"/>
      <c r="G269" s="24"/>
      <c r="H269" s="24"/>
      <c r="I269" s="24"/>
      <c r="J269" s="24"/>
      <c r="K269" s="24"/>
      <c r="M269" s="137"/>
      <c r="P269" s="138"/>
      <c r="AJ269" s="24"/>
      <c r="AP269" s="139"/>
      <c r="AQ269" s="24"/>
      <c r="AW269" s="138"/>
      <c r="BE269" s="140"/>
      <c r="BF269" s="138"/>
      <c r="BJ269" s="141"/>
      <c r="BK269" s="140"/>
      <c r="BL269" s="138"/>
      <c r="BM269" s="24"/>
      <c r="BW269" s="138"/>
      <c r="BX269" s="24"/>
      <c r="CH269" s="138"/>
      <c r="CI269" s="24"/>
      <c r="DE269" s="137"/>
      <c r="DG269" s="24"/>
      <c r="DI269" s="137"/>
      <c r="DK269" s="144"/>
      <c r="DL269" s="137"/>
      <c r="DM269" s="145"/>
    </row>
    <row r="270" spans="2:117" ht="15" customHeight="1">
      <c r="B270" s="136"/>
      <c r="C270" s="24"/>
      <c r="D270" s="24"/>
      <c r="E270" s="24"/>
      <c r="F270" s="24"/>
      <c r="G270" s="24"/>
      <c r="H270" s="24"/>
      <c r="I270" s="24"/>
      <c r="J270" s="24"/>
      <c r="K270" s="24"/>
      <c r="M270" s="137"/>
      <c r="P270" s="138"/>
      <c r="AJ270" s="24"/>
      <c r="AP270" s="139"/>
      <c r="AQ270" s="24"/>
      <c r="AW270" s="138"/>
      <c r="BE270" s="140"/>
      <c r="BF270" s="138"/>
      <c r="BJ270" s="141"/>
      <c r="BK270" s="140"/>
      <c r="BL270" s="138"/>
      <c r="BM270" s="24"/>
      <c r="BW270" s="138"/>
      <c r="BX270" s="24"/>
      <c r="CH270" s="138"/>
      <c r="CI270" s="24"/>
      <c r="DE270" s="137"/>
      <c r="DG270" s="24"/>
      <c r="DI270" s="137"/>
      <c r="DK270" s="144"/>
      <c r="DL270" s="137"/>
      <c r="DM270" s="145"/>
    </row>
    <row r="271" spans="2:117" ht="15" customHeight="1">
      <c r="B271" s="136"/>
      <c r="C271" s="24"/>
      <c r="D271" s="24"/>
      <c r="E271" s="24"/>
      <c r="F271" s="24"/>
      <c r="G271" s="24"/>
      <c r="H271" s="24"/>
      <c r="I271" s="24"/>
      <c r="J271" s="24"/>
      <c r="K271" s="24"/>
      <c r="M271" s="137"/>
      <c r="P271" s="138"/>
      <c r="AJ271" s="24"/>
      <c r="AP271" s="139"/>
      <c r="AQ271" s="24"/>
      <c r="AW271" s="138"/>
      <c r="BE271" s="140"/>
      <c r="BF271" s="138"/>
      <c r="BJ271" s="141"/>
      <c r="BK271" s="140"/>
      <c r="BL271" s="138"/>
      <c r="BM271" s="24"/>
      <c r="BW271" s="138"/>
      <c r="BX271" s="24"/>
      <c r="CH271" s="138"/>
      <c r="CI271" s="24"/>
      <c r="DE271" s="137"/>
      <c r="DG271" s="24"/>
      <c r="DI271" s="137"/>
      <c r="DK271" s="144"/>
      <c r="DL271" s="137"/>
      <c r="DM271" s="145"/>
    </row>
    <row r="272" spans="2:117" ht="15" customHeight="1">
      <c r="B272" s="136"/>
      <c r="C272" s="24"/>
      <c r="D272" s="24"/>
      <c r="E272" s="24"/>
      <c r="F272" s="24"/>
      <c r="G272" s="24"/>
      <c r="H272" s="24"/>
      <c r="I272" s="24"/>
      <c r="J272" s="24"/>
      <c r="K272" s="24"/>
      <c r="M272" s="137"/>
      <c r="P272" s="138"/>
      <c r="AJ272" s="24"/>
      <c r="AP272" s="139"/>
      <c r="AQ272" s="24"/>
      <c r="AW272" s="138"/>
      <c r="BE272" s="140"/>
      <c r="BF272" s="138"/>
      <c r="BJ272" s="141"/>
      <c r="BK272" s="140"/>
      <c r="BL272" s="138"/>
      <c r="BM272" s="24"/>
      <c r="BW272" s="138"/>
      <c r="BX272" s="24"/>
      <c r="CH272" s="138"/>
      <c r="CI272" s="24"/>
      <c r="DE272" s="137"/>
      <c r="DG272" s="24"/>
      <c r="DI272" s="137"/>
      <c r="DK272" s="144"/>
      <c r="DL272" s="137"/>
      <c r="DM272" s="145"/>
    </row>
    <row r="273" spans="2:117" ht="15" customHeight="1">
      <c r="B273" s="136"/>
      <c r="C273" s="24"/>
      <c r="D273" s="24"/>
      <c r="E273" s="24"/>
      <c r="F273" s="24"/>
      <c r="G273" s="24"/>
      <c r="H273" s="24"/>
      <c r="I273" s="24"/>
      <c r="J273" s="24"/>
      <c r="K273" s="24"/>
      <c r="M273" s="137"/>
      <c r="P273" s="138"/>
      <c r="AJ273" s="24"/>
      <c r="AP273" s="139"/>
      <c r="AQ273" s="24"/>
      <c r="AW273" s="138"/>
      <c r="BE273" s="140"/>
      <c r="BF273" s="138"/>
      <c r="BJ273" s="141"/>
      <c r="BK273" s="140"/>
      <c r="BL273" s="138"/>
      <c r="BM273" s="24"/>
      <c r="BW273" s="138"/>
      <c r="BX273" s="24"/>
      <c r="CH273" s="138"/>
      <c r="CI273" s="24"/>
      <c r="DE273" s="137"/>
      <c r="DG273" s="24"/>
      <c r="DI273" s="137"/>
      <c r="DK273" s="144"/>
      <c r="DL273" s="137"/>
      <c r="DM273" s="145"/>
    </row>
    <row r="274" spans="2:117" ht="15" customHeight="1">
      <c r="B274" s="136"/>
      <c r="C274" s="24"/>
      <c r="D274" s="24"/>
      <c r="E274" s="24"/>
      <c r="F274" s="24"/>
      <c r="G274" s="24"/>
      <c r="H274" s="24"/>
      <c r="I274" s="24"/>
      <c r="J274" s="24"/>
      <c r="K274" s="24"/>
      <c r="M274" s="137"/>
      <c r="P274" s="138"/>
      <c r="AJ274" s="24"/>
      <c r="AP274" s="139"/>
      <c r="AQ274" s="24"/>
      <c r="AW274" s="138"/>
      <c r="BE274" s="140"/>
      <c r="BF274" s="138"/>
      <c r="BJ274" s="141"/>
      <c r="BK274" s="140"/>
      <c r="BL274" s="138"/>
      <c r="BM274" s="24"/>
      <c r="BW274" s="138"/>
      <c r="BX274" s="24"/>
      <c r="CH274" s="138"/>
      <c r="CI274" s="24"/>
      <c r="DE274" s="137"/>
      <c r="DG274" s="24"/>
      <c r="DI274" s="137"/>
      <c r="DK274" s="144"/>
      <c r="DL274" s="137"/>
      <c r="DM274" s="145"/>
    </row>
    <row r="275" spans="2:117" ht="15" customHeight="1">
      <c r="B275" s="136"/>
      <c r="C275" s="24"/>
      <c r="D275" s="24"/>
      <c r="E275" s="24"/>
      <c r="F275" s="24"/>
      <c r="G275" s="24"/>
      <c r="H275" s="24"/>
      <c r="I275" s="24"/>
      <c r="J275" s="24"/>
      <c r="K275" s="24"/>
      <c r="M275" s="137"/>
      <c r="P275" s="138"/>
      <c r="AJ275" s="24"/>
      <c r="AP275" s="139"/>
      <c r="AQ275" s="24"/>
      <c r="AW275" s="138"/>
      <c r="BE275" s="140"/>
      <c r="BF275" s="138"/>
      <c r="BJ275" s="141"/>
      <c r="BK275" s="140"/>
      <c r="BL275" s="138"/>
      <c r="BM275" s="24"/>
      <c r="BW275" s="138"/>
      <c r="BX275" s="24"/>
      <c r="CH275" s="138"/>
      <c r="CI275" s="24"/>
      <c r="DE275" s="137"/>
      <c r="DG275" s="24"/>
      <c r="DI275" s="137"/>
      <c r="DK275" s="144"/>
      <c r="DL275" s="137"/>
      <c r="DM275" s="145"/>
    </row>
    <row r="276" spans="2:117" ht="15" customHeight="1">
      <c r="B276" s="136"/>
      <c r="C276" s="24"/>
      <c r="D276" s="24"/>
      <c r="E276" s="24"/>
      <c r="F276" s="24"/>
      <c r="G276" s="24"/>
      <c r="H276" s="24"/>
      <c r="I276" s="24"/>
      <c r="J276" s="24"/>
      <c r="K276" s="24"/>
      <c r="M276" s="137"/>
      <c r="P276" s="138"/>
      <c r="AJ276" s="24"/>
      <c r="AP276" s="139"/>
      <c r="AQ276" s="24"/>
      <c r="AW276" s="138"/>
      <c r="BE276" s="140"/>
      <c r="BF276" s="138"/>
      <c r="BJ276" s="141"/>
      <c r="BK276" s="140"/>
      <c r="BL276" s="138"/>
      <c r="BM276" s="24"/>
      <c r="BW276" s="138"/>
      <c r="BX276" s="24"/>
      <c r="CH276" s="138"/>
      <c r="CI276" s="24"/>
      <c r="DE276" s="137"/>
      <c r="DG276" s="24"/>
      <c r="DI276" s="137"/>
      <c r="DK276" s="144"/>
      <c r="DL276" s="137"/>
      <c r="DM276" s="145"/>
    </row>
    <row r="277" spans="2:117" ht="15" customHeight="1">
      <c r="B277" s="136"/>
      <c r="C277" s="24"/>
      <c r="D277" s="24"/>
      <c r="E277" s="24"/>
      <c r="F277" s="24"/>
      <c r="G277" s="24"/>
      <c r="H277" s="24"/>
      <c r="I277" s="24"/>
      <c r="J277" s="24"/>
      <c r="K277" s="24"/>
      <c r="M277" s="137"/>
      <c r="P277" s="138"/>
      <c r="AJ277" s="24"/>
      <c r="AP277" s="139"/>
      <c r="AQ277" s="24"/>
      <c r="AW277" s="138"/>
      <c r="BE277" s="140"/>
      <c r="BF277" s="138"/>
      <c r="BJ277" s="141"/>
      <c r="BK277" s="140"/>
      <c r="BL277" s="138"/>
      <c r="BM277" s="24"/>
      <c r="BW277" s="138"/>
      <c r="BX277" s="24"/>
      <c r="CH277" s="138"/>
      <c r="CI277" s="24"/>
      <c r="DE277" s="137"/>
      <c r="DG277" s="24"/>
      <c r="DI277" s="137"/>
      <c r="DK277" s="144"/>
      <c r="DL277" s="137"/>
      <c r="DM277" s="145"/>
    </row>
    <row r="278" spans="2:117" ht="15" customHeight="1">
      <c r="B278" s="136"/>
      <c r="C278" s="24"/>
      <c r="D278" s="24"/>
      <c r="E278" s="24"/>
      <c r="F278" s="24"/>
      <c r="G278" s="24"/>
      <c r="H278" s="24"/>
      <c r="I278" s="24"/>
      <c r="J278" s="24"/>
      <c r="K278" s="24"/>
      <c r="M278" s="137"/>
      <c r="P278" s="138"/>
      <c r="AJ278" s="24"/>
      <c r="AP278" s="139"/>
      <c r="AQ278" s="24"/>
      <c r="AW278" s="138"/>
      <c r="BE278" s="140"/>
      <c r="BF278" s="138"/>
      <c r="BJ278" s="141"/>
      <c r="BK278" s="140"/>
      <c r="BL278" s="138"/>
      <c r="BM278" s="24"/>
      <c r="BW278" s="138"/>
      <c r="BX278" s="24"/>
      <c r="CH278" s="138"/>
      <c r="CI278" s="24"/>
      <c r="DE278" s="137"/>
      <c r="DG278" s="24"/>
      <c r="DI278" s="137"/>
      <c r="DK278" s="144"/>
      <c r="DL278" s="137"/>
      <c r="DM278" s="145"/>
    </row>
    <row r="279" spans="2:117" ht="15" customHeight="1">
      <c r="B279" s="136"/>
      <c r="C279" s="24"/>
      <c r="D279" s="24"/>
      <c r="E279" s="24"/>
      <c r="F279" s="24"/>
      <c r="G279" s="24"/>
      <c r="H279" s="24"/>
      <c r="I279" s="24"/>
      <c r="J279" s="24"/>
      <c r="K279" s="24"/>
      <c r="M279" s="137"/>
      <c r="P279" s="138"/>
      <c r="AJ279" s="24"/>
      <c r="AP279" s="139"/>
      <c r="AQ279" s="24"/>
      <c r="AW279" s="138"/>
      <c r="BE279" s="140"/>
      <c r="BF279" s="138"/>
      <c r="BJ279" s="141"/>
      <c r="BK279" s="140"/>
      <c r="BL279" s="138"/>
      <c r="BM279" s="24"/>
      <c r="BW279" s="138"/>
      <c r="BX279" s="24"/>
      <c r="CH279" s="138"/>
      <c r="CI279" s="24"/>
      <c r="DE279" s="137"/>
      <c r="DG279" s="24"/>
      <c r="DI279" s="137"/>
      <c r="DK279" s="144"/>
      <c r="DL279" s="137"/>
      <c r="DM279" s="145"/>
    </row>
    <row r="280" spans="2:117" ht="15" customHeight="1">
      <c r="B280" s="136"/>
      <c r="C280" s="24"/>
      <c r="D280" s="24"/>
      <c r="E280" s="24"/>
      <c r="F280" s="24"/>
      <c r="G280" s="24"/>
      <c r="H280" s="24"/>
      <c r="I280" s="24"/>
      <c r="J280" s="24"/>
      <c r="K280" s="24"/>
      <c r="M280" s="137"/>
      <c r="P280" s="138"/>
      <c r="AJ280" s="24"/>
      <c r="AP280" s="139"/>
      <c r="AQ280" s="24"/>
      <c r="AW280" s="138"/>
      <c r="BE280" s="140"/>
      <c r="BF280" s="138"/>
      <c r="BJ280" s="141"/>
      <c r="BK280" s="140"/>
      <c r="BL280" s="138"/>
      <c r="BM280" s="24"/>
      <c r="BW280" s="138"/>
      <c r="BX280" s="24"/>
      <c r="CH280" s="138"/>
      <c r="CI280" s="24"/>
      <c r="DE280" s="137"/>
      <c r="DG280" s="24"/>
      <c r="DI280" s="137"/>
      <c r="DK280" s="144"/>
      <c r="DL280" s="137"/>
      <c r="DM280" s="145"/>
    </row>
    <row r="281" spans="2:117" ht="15" customHeight="1">
      <c r="B281" s="136"/>
      <c r="C281" s="24"/>
      <c r="D281" s="24"/>
      <c r="E281" s="24"/>
      <c r="F281" s="24"/>
      <c r="G281" s="24"/>
      <c r="H281" s="24"/>
      <c r="I281" s="24"/>
      <c r="J281" s="24"/>
      <c r="K281" s="24"/>
      <c r="M281" s="137"/>
      <c r="P281" s="138"/>
      <c r="AJ281" s="24"/>
      <c r="AP281" s="139"/>
      <c r="AQ281" s="24"/>
      <c r="AW281" s="138"/>
      <c r="BE281" s="140"/>
      <c r="BF281" s="138"/>
      <c r="BJ281" s="141"/>
      <c r="BK281" s="140"/>
      <c r="BL281" s="138"/>
      <c r="BM281" s="24"/>
      <c r="BW281" s="138"/>
      <c r="BX281" s="24"/>
      <c r="CH281" s="138"/>
      <c r="CI281" s="24"/>
      <c r="DE281" s="137"/>
      <c r="DG281" s="24"/>
      <c r="DI281" s="137"/>
      <c r="DK281" s="144"/>
      <c r="DL281" s="137"/>
      <c r="DM281" s="145"/>
    </row>
    <row r="282" spans="2:117" ht="15" customHeight="1">
      <c r="B282" s="136"/>
      <c r="C282" s="24"/>
      <c r="D282" s="24"/>
      <c r="E282" s="24"/>
      <c r="F282" s="24"/>
      <c r="G282" s="24"/>
      <c r="H282" s="24"/>
      <c r="I282" s="24"/>
      <c r="J282" s="24"/>
      <c r="K282" s="24"/>
      <c r="M282" s="137"/>
      <c r="P282" s="138"/>
      <c r="AJ282" s="24"/>
      <c r="AP282" s="139"/>
      <c r="AQ282" s="24"/>
      <c r="AW282" s="138"/>
      <c r="BE282" s="140"/>
      <c r="BF282" s="138"/>
      <c r="BJ282" s="141"/>
      <c r="BK282" s="140"/>
      <c r="BL282" s="138"/>
      <c r="BM282" s="24"/>
      <c r="BW282" s="138"/>
      <c r="BX282" s="24"/>
      <c r="CH282" s="138"/>
      <c r="CI282" s="24"/>
      <c r="DE282" s="137"/>
      <c r="DG282" s="24"/>
      <c r="DI282" s="137"/>
      <c r="DK282" s="144"/>
      <c r="DL282" s="137"/>
      <c r="DM282" s="145"/>
    </row>
    <row r="283" spans="2:117" ht="15" customHeight="1">
      <c r="B283" s="136"/>
      <c r="C283" s="24"/>
      <c r="D283" s="24"/>
      <c r="E283" s="24"/>
      <c r="F283" s="24"/>
      <c r="G283" s="24"/>
      <c r="H283" s="24"/>
      <c r="I283" s="24"/>
      <c r="J283" s="24"/>
      <c r="K283" s="24"/>
      <c r="M283" s="137"/>
      <c r="P283" s="138"/>
      <c r="AJ283" s="24"/>
      <c r="AP283" s="139"/>
      <c r="AQ283" s="24"/>
      <c r="AW283" s="138"/>
      <c r="BE283" s="140"/>
      <c r="BF283" s="138"/>
      <c r="BJ283" s="141"/>
      <c r="BK283" s="140"/>
      <c r="BL283" s="138"/>
      <c r="BM283" s="24"/>
      <c r="BW283" s="138"/>
      <c r="BX283" s="24"/>
      <c r="CH283" s="138"/>
      <c r="CI283" s="24"/>
      <c r="DE283" s="137"/>
      <c r="DG283" s="24"/>
      <c r="DI283" s="137"/>
      <c r="DK283" s="144"/>
      <c r="DL283" s="137"/>
      <c r="DM283" s="145"/>
    </row>
    <row r="284" spans="2:117" ht="15" customHeight="1">
      <c r="B284" s="136"/>
      <c r="C284" s="24"/>
      <c r="D284" s="24"/>
      <c r="E284" s="24"/>
      <c r="F284" s="24"/>
      <c r="G284" s="24"/>
      <c r="H284" s="24"/>
      <c r="I284" s="24"/>
      <c r="J284" s="24"/>
      <c r="K284" s="24"/>
      <c r="M284" s="137"/>
      <c r="P284" s="138"/>
      <c r="AJ284" s="24"/>
      <c r="AP284" s="139"/>
      <c r="AQ284" s="24"/>
      <c r="AW284" s="138"/>
      <c r="BE284" s="140"/>
      <c r="BF284" s="138"/>
      <c r="BJ284" s="141"/>
      <c r="BK284" s="140"/>
      <c r="BL284" s="138"/>
      <c r="BM284" s="24"/>
      <c r="BW284" s="138"/>
      <c r="BX284" s="24"/>
      <c r="CH284" s="138"/>
      <c r="CI284" s="24"/>
      <c r="DE284" s="137"/>
      <c r="DG284" s="24"/>
      <c r="DI284" s="137"/>
      <c r="DK284" s="144"/>
      <c r="DL284" s="137"/>
      <c r="DM284" s="145"/>
    </row>
    <row r="285" spans="2:117" ht="15" customHeight="1">
      <c r="B285" s="136"/>
      <c r="C285" s="24"/>
      <c r="D285" s="24"/>
      <c r="E285" s="24"/>
      <c r="F285" s="24"/>
      <c r="G285" s="24"/>
      <c r="H285" s="24"/>
      <c r="I285" s="24"/>
      <c r="J285" s="24"/>
      <c r="K285" s="24"/>
      <c r="M285" s="137"/>
      <c r="P285" s="138"/>
      <c r="AJ285" s="24"/>
      <c r="AP285" s="139"/>
      <c r="AQ285" s="24"/>
      <c r="AW285" s="138"/>
      <c r="BE285" s="140"/>
      <c r="BF285" s="138"/>
      <c r="BJ285" s="141"/>
      <c r="BK285" s="140"/>
      <c r="BL285" s="138"/>
      <c r="BM285" s="24"/>
      <c r="BW285" s="138"/>
      <c r="BX285" s="24"/>
      <c r="CH285" s="138"/>
      <c r="CI285" s="24"/>
      <c r="DE285" s="137"/>
      <c r="DG285" s="24"/>
      <c r="DI285" s="137"/>
      <c r="DK285" s="144"/>
      <c r="DL285" s="137"/>
      <c r="DM285" s="145"/>
    </row>
    <row r="286" spans="2:117" ht="15" customHeight="1">
      <c r="B286" s="136"/>
      <c r="C286" s="24"/>
      <c r="D286" s="24"/>
      <c r="E286" s="24"/>
      <c r="F286" s="24"/>
      <c r="G286" s="24"/>
      <c r="H286" s="24"/>
      <c r="I286" s="24"/>
      <c r="J286" s="24"/>
      <c r="K286" s="24"/>
      <c r="M286" s="137"/>
      <c r="P286" s="138"/>
      <c r="AJ286" s="24"/>
      <c r="AP286" s="139"/>
      <c r="AQ286" s="24"/>
      <c r="AW286" s="138"/>
      <c r="BE286" s="140"/>
      <c r="BF286" s="138"/>
      <c r="BJ286" s="141"/>
      <c r="BK286" s="140"/>
      <c r="BL286" s="138"/>
      <c r="BM286" s="24"/>
      <c r="BW286" s="138"/>
      <c r="BX286" s="24"/>
      <c r="CH286" s="138"/>
      <c r="CI286" s="24"/>
      <c r="DE286" s="137"/>
      <c r="DG286" s="24"/>
      <c r="DI286" s="137"/>
      <c r="DK286" s="144"/>
      <c r="DL286" s="137"/>
      <c r="DM286" s="145"/>
    </row>
    <row r="287" spans="2:117" ht="15" customHeight="1">
      <c r="B287" s="136"/>
      <c r="C287" s="24"/>
      <c r="D287" s="24"/>
      <c r="E287" s="24"/>
      <c r="F287" s="24"/>
      <c r="G287" s="24"/>
      <c r="H287" s="24"/>
      <c r="I287" s="24"/>
      <c r="J287" s="24"/>
      <c r="K287" s="24"/>
      <c r="M287" s="137"/>
      <c r="P287" s="138"/>
      <c r="AJ287" s="24"/>
      <c r="AP287" s="139"/>
      <c r="AQ287" s="24"/>
      <c r="AW287" s="138"/>
      <c r="BE287" s="140"/>
      <c r="BF287" s="138"/>
      <c r="BJ287" s="141"/>
      <c r="BK287" s="140"/>
      <c r="BL287" s="138"/>
      <c r="BM287" s="24"/>
      <c r="BW287" s="138"/>
      <c r="BX287" s="24"/>
      <c r="CH287" s="138"/>
      <c r="CI287" s="24"/>
      <c r="DE287" s="137"/>
      <c r="DG287" s="24"/>
      <c r="DI287" s="137"/>
      <c r="DK287" s="144"/>
      <c r="DL287" s="137"/>
      <c r="DM287" s="145"/>
    </row>
    <row r="288" spans="2:117" ht="15" customHeight="1">
      <c r="B288" s="136"/>
      <c r="C288" s="24"/>
      <c r="D288" s="24"/>
      <c r="E288" s="24"/>
      <c r="F288" s="24"/>
      <c r="G288" s="24"/>
      <c r="H288" s="24"/>
      <c r="I288" s="24"/>
      <c r="J288" s="24"/>
      <c r="K288" s="24"/>
      <c r="M288" s="137"/>
      <c r="P288" s="138"/>
      <c r="AJ288" s="24"/>
      <c r="AP288" s="139"/>
      <c r="AQ288" s="24"/>
      <c r="AW288" s="138"/>
      <c r="BE288" s="140"/>
      <c r="BF288" s="138"/>
      <c r="BJ288" s="141"/>
      <c r="BK288" s="140"/>
      <c r="BL288" s="138"/>
      <c r="BM288" s="24"/>
      <c r="BW288" s="138"/>
      <c r="BX288" s="24"/>
      <c r="CH288" s="138"/>
      <c r="CI288" s="24"/>
      <c r="DE288" s="137"/>
      <c r="DG288" s="24"/>
      <c r="DI288" s="137"/>
      <c r="DK288" s="144"/>
      <c r="DL288" s="137"/>
      <c r="DM288" s="145"/>
    </row>
    <row r="289" spans="2:117" ht="15" customHeight="1">
      <c r="B289" s="136"/>
      <c r="C289" s="24"/>
      <c r="D289" s="24"/>
      <c r="E289" s="24"/>
      <c r="F289" s="24"/>
      <c r="G289" s="24"/>
      <c r="H289" s="24"/>
      <c r="I289" s="24"/>
      <c r="J289" s="24"/>
      <c r="K289" s="24"/>
      <c r="M289" s="137"/>
      <c r="P289" s="138"/>
      <c r="AJ289" s="24"/>
      <c r="AP289" s="139"/>
      <c r="AQ289" s="24"/>
      <c r="AW289" s="138"/>
      <c r="BE289" s="140"/>
      <c r="BF289" s="138"/>
      <c r="BJ289" s="141"/>
      <c r="BK289" s="140"/>
      <c r="BL289" s="138"/>
      <c r="BM289" s="24"/>
      <c r="BW289" s="138"/>
      <c r="BX289" s="24"/>
      <c r="CH289" s="138"/>
      <c r="CI289" s="24"/>
      <c r="DE289" s="137"/>
      <c r="DG289" s="24"/>
      <c r="DI289" s="137"/>
      <c r="DK289" s="144"/>
      <c r="DL289" s="137"/>
      <c r="DM289" s="145"/>
    </row>
    <row r="290" spans="2:117" ht="15" customHeight="1">
      <c r="B290" s="136"/>
      <c r="C290" s="24"/>
      <c r="D290" s="24"/>
      <c r="E290" s="24"/>
      <c r="F290" s="24"/>
      <c r="G290" s="24"/>
      <c r="H290" s="24"/>
      <c r="I290" s="24"/>
      <c r="J290" s="24"/>
      <c r="K290" s="24"/>
      <c r="M290" s="137"/>
      <c r="P290" s="138"/>
      <c r="AJ290" s="24"/>
      <c r="AP290" s="139"/>
      <c r="AQ290" s="24"/>
      <c r="AW290" s="138"/>
      <c r="BE290" s="140"/>
      <c r="BF290" s="138"/>
      <c r="BJ290" s="141"/>
      <c r="BK290" s="140"/>
      <c r="BL290" s="138"/>
      <c r="BM290" s="24"/>
      <c r="BW290" s="138"/>
      <c r="BX290" s="24"/>
      <c r="CH290" s="138"/>
      <c r="CI290" s="24"/>
      <c r="DE290" s="137"/>
      <c r="DG290" s="24"/>
      <c r="DI290" s="137"/>
      <c r="DK290" s="144"/>
      <c r="DL290" s="137"/>
      <c r="DM290" s="145"/>
    </row>
    <row r="291" spans="2:117" ht="15" customHeight="1">
      <c r="B291" s="136"/>
      <c r="C291" s="24"/>
      <c r="D291" s="24"/>
      <c r="E291" s="24"/>
      <c r="F291" s="24"/>
      <c r="G291" s="24"/>
      <c r="H291" s="24"/>
      <c r="I291" s="24"/>
      <c r="J291" s="24"/>
      <c r="K291" s="24"/>
      <c r="M291" s="137"/>
      <c r="P291" s="138"/>
      <c r="AJ291" s="24"/>
      <c r="AP291" s="139"/>
      <c r="AQ291" s="24"/>
      <c r="AW291" s="138"/>
      <c r="BE291" s="140"/>
      <c r="BF291" s="138"/>
      <c r="BJ291" s="141"/>
      <c r="BK291" s="140"/>
      <c r="BL291" s="138"/>
      <c r="BM291" s="24"/>
      <c r="BW291" s="138"/>
      <c r="BX291" s="24"/>
      <c r="CH291" s="138"/>
      <c r="CI291" s="24"/>
      <c r="DE291" s="137"/>
      <c r="DG291" s="24"/>
      <c r="DI291" s="137"/>
      <c r="DK291" s="144"/>
      <c r="DL291" s="137"/>
      <c r="DM291" s="145"/>
    </row>
    <row r="292" spans="2:117" ht="15" customHeight="1">
      <c r="B292" s="136"/>
      <c r="C292" s="24"/>
      <c r="D292" s="24"/>
      <c r="E292" s="24"/>
      <c r="F292" s="24"/>
      <c r="G292" s="24"/>
      <c r="H292" s="24"/>
      <c r="I292" s="24"/>
      <c r="J292" s="24"/>
      <c r="K292" s="24"/>
      <c r="M292" s="137"/>
      <c r="P292" s="138"/>
      <c r="AJ292" s="24"/>
      <c r="AP292" s="139"/>
      <c r="AQ292" s="24"/>
      <c r="AW292" s="138"/>
      <c r="BE292" s="140"/>
      <c r="BF292" s="138"/>
      <c r="BJ292" s="141"/>
      <c r="BK292" s="140"/>
      <c r="BL292" s="138"/>
      <c r="BM292" s="24"/>
      <c r="BW292" s="138"/>
      <c r="BX292" s="24"/>
      <c r="CH292" s="138"/>
      <c r="CI292" s="24"/>
      <c r="DE292" s="137"/>
      <c r="DG292" s="24"/>
      <c r="DI292" s="137"/>
      <c r="DK292" s="144"/>
      <c r="DL292" s="137"/>
      <c r="DM292" s="145"/>
    </row>
    <row r="293" spans="2:117" ht="15" customHeight="1">
      <c r="B293" s="136"/>
      <c r="C293" s="24"/>
      <c r="D293" s="24"/>
      <c r="E293" s="24"/>
      <c r="F293" s="24"/>
      <c r="G293" s="24"/>
      <c r="H293" s="24"/>
      <c r="I293" s="24"/>
      <c r="J293" s="24"/>
      <c r="K293" s="24"/>
      <c r="M293" s="137"/>
      <c r="P293" s="138"/>
      <c r="AJ293" s="24"/>
      <c r="AP293" s="139"/>
      <c r="AQ293" s="24"/>
      <c r="AW293" s="138"/>
      <c r="BE293" s="140"/>
      <c r="BF293" s="138"/>
      <c r="BJ293" s="141"/>
      <c r="BK293" s="140"/>
      <c r="BL293" s="138"/>
      <c r="BM293" s="24"/>
      <c r="BW293" s="138"/>
      <c r="BX293" s="24"/>
      <c r="CH293" s="138"/>
      <c r="CI293" s="24"/>
      <c r="DE293" s="137"/>
      <c r="DG293" s="24"/>
      <c r="DI293" s="137"/>
      <c r="DK293" s="144"/>
      <c r="DL293" s="137"/>
      <c r="DM293" s="145"/>
    </row>
    <row r="294" spans="2:117" ht="15" customHeight="1">
      <c r="B294" s="136"/>
      <c r="C294" s="24"/>
      <c r="D294" s="24"/>
      <c r="E294" s="24"/>
      <c r="F294" s="24"/>
      <c r="G294" s="24"/>
      <c r="H294" s="24"/>
      <c r="I294" s="24"/>
      <c r="J294" s="24"/>
      <c r="K294" s="24"/>
      <c r="M294" s="137"/>
      <c r="P294" s="138"/>
      <c r="AJ294" s="24"/>
      <c r="AP294" s="139"/>
      <c r="AQ294" s="24"/>
      <c r="AW294" s="138"/>
      <c r="BE294" s="140"/>
      <c r="BF294" s="138"/>
      <c r="BJ294" s="141"/>
      <c r="BK294" s="140"/>
      <c r="BL294" s="138"/>
      <c r="BM294" s="24"/>
      <c r="BW294" s="138"/>
      <c r="BX294" s="24"/>
      <c r="CH294" s="138"/>
      <c r="CI294" s="24"/>
      <c r="DE294" s="137"/>
      <c r="DG294" s="24"/>
      <c r="DI294" s="137"/>
      <c r="DK294" s="144"/>
      <c r="DL294" s="137"/>
      <c r="DM294" s="145"/>
    </row>
    <row r="295" spans="2:117" ht="15" customHeight="1">
      <c r="B295" s="136"/>
      <c r="C295" s="24"/>
      <c r="D295" s="24"/>
      <c r="E295" s="24"/>
      <c r="F295" s="24"/>
      <c r="G295" s="24"/>
      <c r="H295" s="24"/>
      <c r="I295" s="24"/>
      <c r="J295" s="24"/>
      <c r="K295" s="24"/>
      <c r="M295" s="137"/>
      <c r="P295" s="138"/>
      <c r="AJ295" s="24"/>
      <c r="AP295" s="139"/>
      <c r="AQ295" s="24"/>
      <c r="AW295" s="138"/>
      <c r="BE295" s="140"/>
      <c r="BF295" s="138"/>
      <c r="BJ295" s="141"/>
      <c r="BK295" s="140"/>
      <c r="BL295" s="138"/>
      <c r="BM295" s="24"/>
      <c r="BW295" s="138"/>
      <c r="BX295" s="24"/>
      <c r="CH295" s="138"/>
      <c r="CI295" s="24"/>
      <c r="DE295" s="137"/>
      <c r="DG295" s="24"/>
      <c r="DI295" s="137"/>
      <c r="DK295" s="144"/>
      <c r="DL295" s="137"/>
      <c r="DM295" s="145"/>
    </row>
    <row r="296" spans="2:117" ht="15" customHeight="1">
      <c r="B296" s="136"/>
      <c r="C296" s="24"/>
      <c r="D296" s="24"/>
      <c r="E296" s="24"/>
      <c r="F296" s="24"/>
      <c r="G296" s="24"/>
      <c r="H296" s="24"/>
      <c r="I296" s="24"/>
      <c r="J296" s="24"/>
      <c r="K296" s="24"/>
      <c r="M296" s="137"/>
      <c r="P296" s="138"/>
      <c r="AJ296" s="24"/>
      <c r="AP296" s="139"/>
      <c r="AQ296" s="24"/>
      <c r="AW296" s="138"/>
      <c r="BE296" s="140"/>
      <c r="BF296" s="138"/>
      <c r="BJ296" s="141"/>
      <c r="BK296" s="140"/>
      <c r="BL296" s="138"/>
      <c r="BM296" s="24"/>
      <c r="BW296" s="138"/>
      <c r="BX296" s="24"/>
      <c r="CH296" s="138"/>
      <c r="CI296" s="24"/>
      <c r="DE296" s="137"/>
      <c r="DG296" s="24"/>
      <c r="DI296" s="137"/>
      <c r="DK296" s="144"/>
      <c r="DL296" s="137"/>
      <c r="DM296" s="145"/>
    </row>
    <row r="297" spans="2:117" ht="15" customHeight="1">
      <c r="B297" s="136"/>
      <c r="C297" s="24"/>
      <c r="D297" s="24"/>
      <c r="E297" s="24"/>
      <c r="F297" s="24"/>
      <c r="G297" s="24"/>
      <c r="H297" s="24"/>
      <c r="I297" s="24"/>
      <c r="J297" s="24"/>
      <c r="K297" s="24"/>
      <c r="M297" s="137"/>
      <c r="P297" s="138"/>
      <c r="AJ297" s="24"/>
      <c r="AP297" s="139"/>
      <c r="AQ297" s="24"/>
      <c r="AW297" s="138"/>
      <c r="BE297" s="140"/>
      <c r="BF297" s="138"/>
      <c r="BJ297" s="141"/>
      <c r="BK297" s="140"/>
      <c r="BL297" s="138"/>
      <c r="BM297" s="24"/>
      <c r="BW297" s="138"/>
      <c r="BX297" s="24"/>
      <c r="CH297" s="138"/>
      <c r="CI297" s="24"/>
      <c r="DE297" s="137"/>
      <c r="DG297" s="24"/>
      <c r="DI297" s="137"/>
      <c r="DK297" s="144"/>
      <c r="DL297" s="137"/>
      <c r="DM297" s="145"/>
    </row>
    <row r="298" spans="2:117" ht="15" customHeight="1">
      <c r="B298" s="136"/>
      <c r="C298" s="24"/>
      <c r="D298" s="24"/>
      <c r="E298" s="24"/>
      <c r="F298" s="24"/>
      <c r="G298" s="24"/>
      <c r="H298" s="24"/>
      <c r="I298" s="24"/>
      <c r="J298" s="24"/>
      <c r="K298" s="24"/>
      <c r="M298" s="137"/>
      <c r="P298" s="138"/>
      <c r="AJ298" s="24"/>
      <c r="AP298" s="139"/>
      <c r="AQ298" s="24"/>
      <c r="AW298" s="138"/>
      <c r="BE298" s="140"/>
      <c r="BF298" s="138"/>
      <c r="BJ298" s="141"/>
      <c r="BK298" s="140"/>
      <c r="BL298" s="138"/>
      <c r="BM298" s="24"/>
      <c r="BW298" s="138"/>
      <c r="BX298" s="24"/>
      <c r="CH298" s="138"/>
      <c r="CI298" s="24"/>
      <c r="DE298" s="137"/>
      <c r="DG298" s="24"/>
      <c r="DI298" s="137"/>
      <c r="DK298" s="144"/>
      <c r="DL298" s="137"/>
      <c r="DM298" s="145"/>
    </row>
    <row r="299" spans="2:117" ht="15" customHeight="1">
      <c r="B299" s="136"/>
      <c r="C299" s="24"/>
      <c r="D299" s="24"/>
      <c r="E299" s="24"/>
      <c r="F299" s="24"/>
      <c r="G299" s="24"/>
      <c r="H299" s="24"/>
      <c r="I299" s="24"/>
      <c r="J299" s="24"/>
      <c r="K299" s="24"/>
      <c r="M299" s="137"/>
      <c r="P299" s="138"/>
      <c r="AJ299" s="24"/>
      <c r="AP299" s="139"/>
      <c r="AQ299" s="24"/>
      <c r="AW299" s="138"/>
      <c r="BE299" s="140"/>
      <c r="BF299" s="138"/>
      <c r="BJ299" s="141"/>
      <c r="BK299" s="140"/>
      <c r="BL299" s="138"/>
      <c r="BM299" s="24"/>
      <c r="BW299" s="138"/>
      <c r="BX299" s="24"/>
      <c r="CH299" s="138"/>
      <c r="CI299" s="24"/>
      <c r="DE299" s="137"/>
      <c r="DG299" s="24"/>
      <c r="DI299" s="137"/>
      <c r="DK299" s="144"/>
      <c r="DL299" s="137"/>
      <c r="DM299" s="145"/>
    </row>
    <row r="300" spans="2:117" ht="15" customHeight="1">
      <c r="B300" s="136"/>
      <c r="C300" s="24"/>
      <c r="D300" s="24"/>
      <c r="E300" s="24"/>
      <c r="F300" s="24"/>
      <c r="G300" s="24"/>
      <c r="H300" s="24"/>
      <c r="I300" s="24"/>
      <c r="J300" s="24"/>
      <c r="K300" s="24"/>
      <c r="M300" s="137"/>
      <c r="P300" s="138"/>
      <c r="AJ300" s="24"/>
      <c r="AP300" s="139"/>
      <c r="AQ300" s="24"/>
      <c r="AW300" s="138"/>
      <c r="BE300" s="140"/>
      <c r="BF300" s="138"/>
      <c r="BJ300" s="141"/>
      <c r="BK300" s="140"/>
      <c r="BL300" s="138"/>
      <c r="BM300" s="24"/>
      <c r="BW300" s="138"/>
      <c r="BX300" s="24"/>
      <c r="CH300" s="138"/>
      <c r="CI300" s="24"/>
      <c r="DE300" s="137"/>
      <c r="DG300" s="24"/>
      <c r="DI300" s="137"/>
      <c r="DK300" s="144"/>
      <c r="DL300" s="137"/>
      <c r="DM300" s="145"/>
    </row>
    <row r="301" spans="2:117" ht="15" customHeight="1">
      <c r="B301" s="136"/>
      <c r="C301" s="24"/>
      <c r="D301" s="24"/>
      <c r="E301" s="24"/>
      <c r="F301" s="24"/>
      <c r="G301" s="24"/>
      <c r="H301" s="24"/>
      <c r="I301" s="24"/>
      <c r="J301" s="24"/>
      <c r="K301" s="24"/>
      <c r="M301" s="137"/>
      <c r="P301" s="138"/>
      <c r="AJ301" s="24"/>
      <c r="AP301" s="139"/>
      <c r="AQ301" s="24"/>
      <c r="AW301" s="138"/>
      <c r="BE301" s="140"/>
      <c r="BF301" s="138"/>
      <c r="BJ301" s="141"/>
      <c r="BK301" s="140"/>
      <c r="BL301" s="138"/>
      <c r="BM301" s="24"/>
      <c r="BW301" s="138"/>
      <c r="BX301" s="24"/>
      <c r="CH301" s="138"/>
      <c r="CI301" s="24"/>
      <c r="DE301" s="137"/>
      <c r="DG301" s="24"/>
      <c r="DI301" s="137"/>
      <c r="DK301" s="144"/>
      <c r="DL301" s="137"/>
      <c r="DM301" s="145"/>
    </row>
    <row r="302" spans="2:117" ht="15" customHeight="1">
      <c r="B302" s="136"/>
      <c r="C302" s="24"/>
      <c r="D302" s="24"/>
      <c r="E302" s="24"/>
      <c r="F302" s="24"/>
      <c r="G302" s="24"/>
      <c r="H302" s="24"/>
      <c r="I302" s="24"/>
      <c r="J302" s="24"/>
      <c r="K302" s="24"/>
      <c r="M302" s="137"/>
      <c r="P302" s="138"/>
      <c r="AJ302" s="24"/>
      <c r="AP302" s="139"/>
      <c r="AQ302" s="24"/>
      <c r="AW302" s="138"/>
      <c r="BE302" s="140"/>
      <c r="BF302" s="138"/>
      <c r="BJ302" s="141"/>
      <c r="BK302" s="140"/>
      <c r="BL302" s="138"/>
      <c r="BM302" s="24"/>
      <c r="BW302" s="138"/>
      <c r="BX302" s="24"/>
      <c r="CH302" s="138"/>
      <c r="CI302" s="24"/>
      <c r="DE302" s="137"/>
      <c r="DG302" s="24"/>
      <c r="DI302" s="137"/>
      <c r="DK302" s="144"/>
      <c r="DL302" s="137"/>
      <c r="DM302" s="145"/>
    </row>
    <row r="303" spans="2:117" ht="15" customHeight="1">
      <c r="B303" s="136"/>
      <c r="C303" s="24"/>
      <c r="D303" s="24"/>
      <c r="E303" s="24"/>
      <c r="F303" s="24"/>
      <c r="G303" s="24"/>
      <c r="H303" s="24"/>
      <c r="I303" s="24"/>
      <c r="J303" s="24"/>
      <c r="K303" s="24"/>
      <c r="M303" s="137"/>
      <c r="P303" s="138"/>
      <c r="AJ303" s="24"/>
      <c r="AP303" s="139"/>
      <c r="AQ303" s="24"/>
      <c r="AW303" s="138"/>
      <c r="BE303" s="140"/>
      <c r="BF303" s="138"/>
      <c r="BJ303" s="141"/>
      <c r="BK303" s="140"/>
      <c r="BL303" s="138"/>
      <c r="BM303" s="24"/>
      <c r="BW303" s="138"/>
      <c r="BX303" s="24"/>
      <c r="CH303" s="138"/>
      <c r="CI303" s="24"/>
      <c r="DE303" s="137"/>
      <c r="DG303" s="24"/>
      <c r="DI303" s="137"/>
      <c r="DK303" s="144"/>
      <c r="DL303" s="137"/>
      <c r="DM303" s="145"/>
    </row>
    <row r="304" spans="2:117" ht="15" customHeight="1">
      <c r="B304" s="136"/>
      <c r="C304" s="24"/>
      <c r="D304" s="24"/>
      <c r="E304" s="24"/>
      <c r="F304" s="24"/>
      <c r="G304" s="24"/>
      <c r="H304" s="24"/>
      <c r="I304" s="24"/>
      <c r="J304" s="24"/>
      <c r="K304" s="24"/>
      <c r="M304" s="137"/>
      <c r="P304" s="138"/>
      <c r="AJ304" s="24"/>
      <c r="AP304" s="139"/>
      <c r="AQ304" s="24"/>
      <c r="AW304" s="138"/>
      <c r="BE304" s="140"/>
      <c r="BF304" s="138"/>
      <c r="BJ304" s="141"/>
      <c r="BK304" s="140"/>
      <c r="BL304" s="138"/>
      <c r="BM304" s="24"/>
      <c r="BW304" s="138"/>
      <c r="BX304" s="24"/>
      <c r="CH304" s="138"/>
      <c r="CI304" s="24"/>
      <c r="DE304" s="137"/>
      <c r="DG304" s="24"/>
      <c r="DI304" s="137"/>
      <c r="DK304" s="144"/>
      <c r="DL304" s="137"/>
      <c r="DM304" s="145"/>
    </row>
    <row r="305" spans="2:117" ht="15" customHeight="1">
      <c r="B305" s="136"/>
      <c r="C305" s="24"/>
      <c r="D305" s="24"/>
      <c r="E305" s="24"/>
      <c r="F305" s="24"/>
      <c r="G305" s="24"/>
      <c r="H305" s="24"/>
      <c r="I305" s="24"/>
      <c r="J305" s="24"/>
      <c r="K305" s="24"/>
      <c r="M305" s="137"/>
      <c r="P305" s="138"/>
      <c r="AJ305" s="24"/>
      <c r="AP305" s="139"/>
      <c r="AQ305" s="24"/>
      <c r="AW305" s="138"/>
      <c r="BE305" s="140"/>
      <c r="BF305" s="138"/>
      <c r="BJ305" s="141"/>
      <c r="BK305" s="140"/>
      <c r="BL305" s="138"/>
      <c r="BM305" s="24"/>
      <c r="BW305" s="138"/>
      <c r="BX305" s="24"/>
      <c r="CH305" s="138"/>
      <c r="CI305" s="24"/>
      <c r="DE305" s="137"/>
      <c r="DG305" s="24"/>
      <c r="DI305" s="137"/>
      <c r="DK305" s="144"/>
      <c r="DL305" s="137"/>
      <c r="DM305" s="145"/>
    </row>
    <row r="306" spans="2:117" ht="15" customHeight="1">
      <c r="B306" s="136"/>
      <c r="C306" s="24"/>
      <c r="D306" s="24"/>
      <c r="E306" s="24"/>
      <c r="F306" s="24"/>
      <c r="G306" s="24"/>
      <c r="H306" s="24"/>
      <c r="I306" s="24"/>
      <c r="J306" s="24"/>
      <c r="K306" s="24"/>
      <c r="M306" s="137"/>
      <c r="P306" s="138"/>
      <c r="AJ306" s="24"/>
      <c r="AP306" s="139"/>
      <c r="AQ306" s="24"/>
      <c r="AW306" s="138"/>
      <c r="BE306" s="140"/>
      <c r="BF306" s="138"/>
      <c r="BJ306" s="141"/>
      <c r="BK306" s="140"/>
      <c r="BL306" s="138"/>
      <c r="BM306" s="24"/>
      <c r="BW306" s="138"/>
      <c r="BX306" s="24"/>
      <c r="CH306" s="138"/>
      <c r="CI306" s="24"/>
      <c r="DE306" s="137"/>
      <c r="DG306" s="24"/>
      <c r="DI306" s="137"/>
      <c r="DK306" s="144"/>
      <c r="DL306" s="137"/>
      <c r="DM306" s="145"/>
    </row>
    <row r="307" spans="2:117" ht="15" customHeight="1">
      <c r="B307" s="136"/>
      <c r="C307" s="24"/>
      <c r="D307" s="24"/>
      <c r="E307" s="24"/>
      <c r="F307" s="24"/>
      <c r="G307" s="24"/>
      <c r="H307" s="24"/>
      <c r="I307" s="24"/>
      <c r="J307" s="24"/>
      <c r="K307" s="24"/>
      <c r="M307" s="137"/>
      <c r="P307" s="138"/>
      <c r="AJ307" s="24"/>
      <c r="AP307" s="139"/>
      <c r="AQ307" s="24"/>
      <c r="AW307" s="138"/>
      <c r="BE307" s="140"/>
      <c r="BF307" s="138"/>
      <c r="BJ307" s="141"/>
      <c r="BK307" s="140"/>
      <c r="BL307" s="138"/>
      <c r="BM307" s="24"/>
      <c r="BW307" s="138"/>
      <c r="BX307" s="24"/>
      <c r="CH307" s="138"/>
      <c r="CI307" s="24"/>
      <c r="DE307" s="137"/>
      <c r="DG307" s="24"/>
      <c r="DI307" s="137"/>
      <c r="DK307" s="144"/>
      <c r="DL307" s="137"/>
      <c r="DM307" s="145"/>
    </row>
    <row r="308" spans="2:117" ht="15" customHeight="1">
      <c r="B308" s="136"/>
      <c r="C308" s="24"/>
      <c r="D308" s="24"/>
      <c r="E308" s="24"/>
      <c r="F308" s="24"/>
      <c r="G308" s="24"/>
      <c r="H308" s="24"/>
      <c r="I308" s="24"/>
      <c r="J308" s="24"/>
      <c r="K308" s="24"/>
      <c r="M308" s="137"/>
      <c r="P308" s="138"/>
      <c r="AJ308" s="24"/>
      <c r="AP308" s="139"/>
      <c r="AQ308" s="24"/>
      <c r="AW308" s="138"/>
      <c r="BE308" s="140"/>
      <c r="BF308" s="138"/>
      <c r="BJ308" s="141"/>
      <c r="BK308" s="140"/>
      <c r="BL308" s="138"/>
      <c r="BM308" s="24"/>
      <c r="BW308" s="138"/>
      <c r="BX308" s="24"/>
      <c r="CH308" s="138"/>
      <c r="CI308" s="24"/>
      <c r="DE308" s="137"/>
      <c r="DG308" s="24"/>
      <c r="DI308" s="137"/>
      <c r="DK308" s="144"/>
      <c r="DL308" s="137"/>
      <c r="DM308" s="145"/>
    </row>
    <row r="309" spans="2:117" ht="15" customHeight="1">
      <c r="B309" s="136"/>
      <c r="C309" s="24"/>
      <c r="D309" s="24"/>
      <c r="E309" s="24"/>
      <c r="F309" s="24"/>
      <c r="G309" s="24"/>
      <c r="H309" s="24"/>
      <c r="I309" s="24"/>
      <c r="J309" s="24"/>
      <c r="K309" s="24"/>
      <c r="M309" s="137"/>
      <c r="P309" s="138"/>
      <c r="AJ309" s="24"/>
      <c r="AP309" s="139"/>
      <c r="AQ309" s="24"/>
      <c r="AW309" s="138"/>
      <c r="BE309" s="140"/>
      <c r="BF309" s="138"/>
      <c r="BJ309" s="141"/>
      <c r="BK309" s="140"/>
      <c r="BL309" s="138"/>
      <c r="BM309" s="24"/>
      <c r="BW309" s="138"/>
      <c r="BX309" s="24"/>
      <c r="CH309" s="138"/>
      <c r="CI309" s="24"/>
      <c r="DE309" s="137"/>
      <c r="DG309" s="24"/>
      <c r="DI309" s="137"/>
      <c r="DK309" s="144"/>
      <c r="DL309" s="137"/>
      <c r="DM309" s="145"/>
    </row>
    <row r="310" spans="2:117" ht="15" customHeight="1">
      <c r="B310" s="136"/>
      <c r="C310" s="24"/>
      <c r="D310" s="24"/>
      <c r="E310" s="24"/>
      <c r="F310" s="24"/>
      <c r="G310" s="24"/>
      <c r="H310" s="24"/>
      <c r="I310" s="24"/>
      <c r="J310" s="24"/>
      <c r="K310" s="24"/>
      <c r="M310" s="137"/>
      <c r="P310" s="138"/>
      <c r="AJ310" s="24"/>
      <c r="AP310" s="139"/>
      <c r="AQ310" s="24"/>
      <c r="AW310" s="138"/>
      <c r="BE310" s="140"/>
      <c r="BF310" s="138"/>
      <c r="BJ310" s="141"/>
      <c r="BK310" s="140"/>
      <c r="BL310" s="138"/>
      <c r="BM310" s="24"/>
      <c r="BW310" s="138"/>
      <c r="BX310" s="24"/>
      <c r="CH310" s="138"/>
      <c r="CI310" s="24"/>
      <c r="DE310" s="137"/>
      <c r="DG310" s="24"/>
      <c r="DI310" s="137"/>
      <c r="DK310" s="144"/>
      <c r="DL310" s="137"/>
      <c r="DM310" s="145"/>
    </row>
    <row r="311" spans="2:117" ht="15" customHeight="1">
      <c r="B311" s="136"/>
      <c r="C311" s="24"/>
      <c r="D311" s="24"/>
      <c r="E311" s="24"/>
      <c r="F311" s="24"/>
      <c r="G311" s="24"/>
      <c r="H311" s="24"/>
      <c r="I311" s="24"/>
      <c r="J311" s="24"/>
      <c r="K311" s="24"/>
      <c r="M311" s="137"/>
      <c r="P311" s="138"/>
      <c r="AJ311" s="24"/>
      <c r="AP311" s="139"/>
      <c r="AQ311" s="24"/>
      <c r="AW311" s="138"/>
      <c r="BE311" s="140"/>
      <c r="BF311" s="138"/>
      <c r="BJ311" s="141"/>
      <c r="BK311" s="140"/>
      <c r="BL311" s="138"/>
      <c r="BM311" s="24"/>
      <c r="BW311" s="138"/>
      <c r="BX311" s="24"/>
      <c r="CH311" s="138"/>
      <c r="CI311" s="24"/>
      <c r="DE311" s="137"/>
      <c r="DG311" s="24"/>
      <c r="DI311" s="137"/>
      <c r="DK311" s="144"/>
      <c r="DL311" s="137"/>
      <c r="DM311" s="145"/>
    </row>
    <row r="312" spans="2:117" ht="15" customHeight="1">
      <c r="B312" s="136"/>
      <c r="C312" s="24"/>
      <c r="D312" s="24"/>
      <c r="E312" s="24"/>
      <c r="F312" s="24"/>
      <c r="G312" s="24"/>
      <c r="H312" s="24"/>
      <c r="I312" s="24"/>
      <c r="J312" s="24"/>
      <c r="K312" s="24"/>
      <c r="M312" s="137"/>
      <c r="P312" s="138"/>
      <c r="AJ312" s="24"/>
      <c r="AP312" s="139"/>
      <c r="AQ312" s="24"/>
      <c r="AW312" s="138"/>
      <c r="BE312" s="140"/>
      <c r="BF312" s="138"/>
      <c r="BJ312" s="141"/>
      <c r="BK312" s="140"/>
      <c r="BL312" s="138"/>
      <c r="BM312" s="24"/>
      <c r="BW312" s="138"/>
      <c r="BX312" s="24"/>
      <c r="CH312" s="138"/>
      <c r="CI312" s="24"/>
      <c r="DE312" s="137"/>
      <c r="DG312" s="24"/>
      <c r="DI312" s="137"/>
      <c r="DK312" s="144"/>
      <c r="DL312" s="137"/>
      <c r="DM312" s="145"/>
    </row>
    <row r="313" spans="2:117" ht="15" customHeight="1">
      <c r="B313" s="136"/>
      <c r="C313" s="24"/>
      <c r="D313" s="24"/>
      <c r="E313" s="24"/>
      <c r="F313" s="24"/>
      <c r="G313" s="24"/>
      <c r="H313" s="24"/>
      <c r="I313" s="24"/>
      <c r="J313" s="24"/>
      <c r="K313" s="24"/>
      <c r="M313" s="137"/>
      <c r="P313" s="138"/>
      <c r="AJ313" s="24"/>
      <c r="AP313" s="139"/>
      <c r="AQ313" s="24"/>
      <c r="AW313" s="138"/>
      <c r="BE313" s="140"/>
      <c r="BF313" s="138"/>
      <c r="BJ313" s="141"/>
      <c r="BK313" s="140"/>
      <c r="BL313" s="138"/>
      <c r="BM313" s="24"/>
      <c r="BW313" s="138"/>
      <c r="BX313" s="24"/>
      <c r="CH313" s="138"/>
      <c r="CI313" s="24"/>
      <c r="DE313" s="137"/>
      <c r="DG313" s="24"/>
      <c r="DI313" s="137"/>
      <c r="DK313" s="144"/>
      <c r="DL313" s="137"/>
      <c r="DM313" s="145"/>
    </row>
    <row r="314" spans="2:117" ht="15" customHeight="1">
      <c r="B314" s="136"/>
      <c r="C314" s="24"/>
      <c r="D314" s="24"/>
      <c r="E314" s="24"/>
      <c r="F314" s="24"/>
      <c r="G314" s="24"/>
      <c r="H314" s="24"/>
      <c r="I314" s="24"/>
      <c r="J314" s="24"/>
      <c r="K314" s="24"/>
      <c r="M314" s="137"/>
      <c r="P314" s="138"/>
      <c r="AJ314" s="24"/>
      <c r="AP314" s="139"/>
      <c r="AQ314" s="24"/>
      <c r="AW314" s="138"/>
      <c r="BE314" s="140"/>
      <c r="BF314" s="138"/>
      <c r="BJ314" s="141"/>
      <c r="BK314" s="140"/>
      <c r="BL314" s="138"/>
      <c r="BM314" s="24"/>
      <c r="BW314" s="138"/>
      <c r="BX314" s="24"/>
      <c r="CH314" s="138"/>
      <c r="CI314" s="24"/>
      <c r="DE314" s="137"/>
      <c r="DG314" s="24"/>
      <c r="DI314" s="137"/>
      <c r="DK314" s="144"/>
      <c r="DL314" s="137"/>
      <c r="DM314" s="145"/>
    </row>
    <row r="315" spans="2:117" ht="15" customHeight="1">
      <c r="B315" s="136"/>
      <c r="C315" s="24"/>
      <c r="D315" s="24"/>
      <c r="E315" s="24"/>
      <c r="F315" s="24"/>
      <c r="G315" s="24"/>
      <c r="H315" s="24"/>
      <c r="I315" s="24"/>
      <c r="J315" s="24"/>
      <c r="K315" s="24"/>
      <c r="M315" s="137"/>
      <c r="P315" s="138"/>
      <c r="AJ315" s="24"/>
      <c r="AP315" s="139"/>
      <c r="AQ315" s="24"/>
      <c r="AW315" s="138"/>
      <c r="BE315" s="140"/>
      <c r="BF315" s="138"/>
      <c r="BJ315" s="141"/>
      <c r="BK315" s="140"/>
      <c r="BL315" s="138"/>
      <c r="BM315" s="24"/>
      <c r="BW315" s="138"/>
      <c r="BX315" s="24"/>
      <c r="CH315" s="138"/>
      <c r="CI315" s="24"/>
      <c r="DE315" s="137"/>
      <c r="DG315" s="24"/>
      <c r="DI315" s="137"/>
      <c r="DK315" s="144"/>
      <c r="DL315" s="137"/>
      <c r="DM315" s="145"/>
    </row>
    <row r="316" spans="2:117" ht="15" customHeight="1">
      <c r="B316" s="136"/>
      <c r="C316" s="24"/>
      <c r="D316" s="24"/>
      <c r="E316" s="24"/>
      <c r="F316" s="24"/>
      <c r="G316" s="24"/>
      <c r="H316" s="24"/>
      <c r="I316" s="24"/>
      <c r="J316" s="24"/>
      <c r="K316" s="24"/>
      <c r="M316" s="137"/>
      <c r="P316" s="138"/>
      <c r="AJ316" s="24"/>
      <c r="AP316" s="139"/>
      <c r="AQ316" s="24"/>
      <c r="AW316" s="138"/>
      <c r="BE316" s="140"/>
      <c r="BF316" s="138"/>
      <c r="BJ316" s="141"/>
      <c r="BK316" s="140"/>
      <c r="BL316" s="138"/>
      <c r="BM316" s="24"/>
      <c r="BW316" s="138"/>
      <c r="BX316" s="24"/>
      <c r="CH316" s="138"/>
      <c r="CI316" s="24"/>
      <c r="DE316" s="137"/>
      <c r="DG316" s="24"/>
      <c r="DI316" s="137"/>
      <c r="DK316" s="144"/>
      <c r="DL316" s="137"/>
      <c r="DM316" s="145"/>
    </row>
    <row r="317" spans="2:117" ht="15" customHeight="1">
      <c r="B317" s="136"/>
      <c r="C317" s="24"/>
      <c r="D317" s="24"/>
      <c r="E317" s="24"/>
      <c r="F317" s="24"/>
      <c r="G317" s="24"/>
      <c r="H317" s="24"/>
      <c r="I317" s="24"/>
      <c r="J317" s="24"/>
      <c r="K317" s="24"/>
      <c r="M317" s="137"/>
      <c r="P317" s="138"/>
      <c r="AJ317" s="24"/>
      <c r="AP317" s="139"/>
      <c r="AQ317" s="24"/>
      <c r="AW317" s="138"/>
      <c r="BE317" s="140"/>
      <c r="BF317" s="138"/>
      <c r="BJ317" s="141"/>
      <c r="BK317" s="140"/>
      <c r="BL317" s="138"/>
      <c r="BM317" s="24"/>
      <c r="BW317" s="138"/>
      <c r="BX317" s="24"/>
      <c r="CH317" s="138"/>
      <c r="CI317" s="24"/>
      <c r="DE317" s="137"/>
      <c r="DG317" s="24"/>
      <c r="DI317" s="137"/>
      <c r="DK317" s="144"/>
      <c r="DL317" s="137"/>
      <c r="DM317" s="145"/>
    </row>
    <row r="318" spans="2:117" ht="15" customHeight="1">
      <c r="B318" s="136"/>
      <c r="C318" s="24"/>
      <c r="D318" s="24"/>
      <c r="E318" s="24"/>
      <c r="F318" s="24"/>
      <c r="G318" s="24"/>
      <c r="H318" s="24"/>
      <c r="I318" s="24"/>
      <c r="J318" s="24"/>
      <c r="K318" s="24"/>
      <c r="M318" s="137"/>
      <c r="P318" s="138"/>
      <c r="AJ318" s="24"/>
      <c r="AP318" s="139"/>
      <c r="AQ318" s="24"/>
      <c r="AW318" s="138"/>
      <c r="BE318" s="140"/>
      <c r="BF318" s="138"/>
      <c r="BJ318" s="141"/>
      <c r="BK318" s="140"/>
      <c r="BL318" s="138"/>
      <c r="BM318" s="24"/>
      <c r="BW318" s="138"/>
      <c r="BX318" s="24"/>
      <c r="CH318" s="138"/>
      <c r="CI318" s="24"/>
      <c r="DE318" s="137"/>
      <c r="DG318" s="24"/>
      <c r="DI318" s="137"/>
      <c r="DK318" s="144"/>
      <c r="DL318" s="137"/>
      <c r="DM318" s="145"/>
    </row>
    <row r="319" spans="2:117" ht="15" customHeight="1">
      <c r="B319" s="136"/>
      <c r="C319" s="24"/>
      <c r="D319" s="24"/>
      <c r="E319" s="24"/>
      <c r="F319" s="24"/>
      <c r="G319" s="24"/>
      <c r="H319" s="24"/>
      <c r="I319" s="24"/>
      <c r="J319" s="24"/>
      <c r="K319" s="24"/>
      <c r="M319" s="137"/>
      <c r="P319" s="138"/>
      <c r="AJ319" s="24"/>
      <c r="AP319" s="139"/>
      <c r="AQ319" s="24"/>
      <c r="AW319" s="138"/>
      <c r="BE319" s="140"/>
      <c r="BF319" s="138"/>
      <c r="BJ319" s="141"/>
      <c r="BK319" s="140"/>
      <c r="BL319" s="138"/>
      <c r="BM319" s="24"/>
      <c r="BW319" s="138"/>
      <c r="BX319" s="24"/>
      <c r="CH319" s="138"/>
      <c r="CI319" s="24"/>
      <c r="DE319" s="137"/>
      <c r="DG319" s="24"/>
      <c r="DI319" s="137"/>
      <c r="DK319" s="144"/>
      <c r="DL319" s="137"/>
      <c r="DM319" s="145"/>
    </row>
    <row r="320" spans="2:117" ht="15" customHeight="1">
      <c r="B320" s="136"/>
      <c r="C320" s="24"/>
      <c r="D320" s="24"/>
      <c r="E320" s="24"/>
      <c r="F320" s="24"/>
      <c r="G320" s="24"/>
      <c r="H320" s="24"/>
      <c r="I320" s="24"/>
      <c r="J320" s="24"/>
      <c r="K320" s="24"/>
      <c r="M320" s="137"/>
      <c r="P320" s="138"/>
      <c r="AJ320" s="24"/>
      <c r="AP320" s="139"/>
      <c r="AQ320" s="24"/>
      <c r="AW320" s="138"/>
      <c r="BE320" s="140"/>
      <c r="BF320" s="138"/>
      <c r="BJ320" s="141"/>
      <c r="BK320" s="140"/>
      <c r="BL320" s="138"/>
      <c r="BM320" s="24"/>
      <c r="BW320" s="138"/>
      <c r="BX320" s="24"/>
      <c r="CH320" s="138"/>
      <c r="CI320" s="24"/>
      <c r="DE320" s="137"/>
      <c r="DG320" s="24"/>
      <c r="DI320" s="137"/>
      <c r="DK320" s="144"/>
      <c r="DL320" s="137"/>
      <c r="DM320" s="145"/>
    </row>
    <row r="321" spans="2:117" ht="15" customHeight="1">
      <c r="B321" s="136"/>
      <c r="C321" s="24"/>
      <c r="D321" s="24"/>
      <c r="E321" s="24"/>
      <c r="F321" s="24"/>
      <c r="G321" s="24"/>
      <c r="H321" s="24"/>
      <c r="I321" s="24"/>
      <c r="J321" s="24"/>
      <c r="K321" s="24"/>
      <c r="M321" s="137"/>
      <c r="P321" s="138"/>
      <c r="AJ321" s="24"/>
      <c r="AP321" s="139"/>
      <c r="AQ321" s="24"/>
      <c r="AW321" s="138"/>
      <c r="BE321" s="140"/>
      <c r="BF321" s="138"/>
      <c r="BJ321" s="141"/>
      <c r="BK321" s="140"/>
      <c r="BL321" s="138"/>
      <c r="BM321" s="24"/>
      <c r="BW321" s="138"/>
      <c r="BX321" s="24"/>
      <c r="CH321" s="138"/>
      <c r="CI321" s="24"/>
      <c r="DE321" s="137"/>
      <c r="DG321" s="24"/>
      <c r="DI321" s="137"/>
      <c r="DK321" s="144"/>
      <c r="DL321" s="137"/>
      <c r="DM321" s="145"/>
    </row>
    <row r="322" spans="2:117" ht="15" customHeight="1">
      <c r="B322" s="136"/>
      <c r="C322" s="24"/>
      <c r="D322" s="24"/>
      <c r="E322" s="24"/>
      <c r="F322" s="24"/>
      <c r="G322" s="24"/>
      <c r="H322" s="24"/>
      <c r="I322" s="24"/>
      <c r="J322" s="24"/>
      <c r="K322" s="24"/>
      <c r="M322" s="137"/>
      <c r="P322" s="138"/>
      <c r="AJ322" s="24"/>
      <c r="AP322" s="139"/>
      <c r="AQ322" s="24"/>
      <c r="AW322" s="138"/>
      <c r="BE322" s="140"/>
      <c r="BF322" s="138"/>
      <c r="BJ322" s="141"/>
      <c r="BK322" s="140"/>
      <c r="BL322" s="138"/>
      <c r="BM322" s="24"/>
      <c r="BW322" s="138"/>
      <c r="BX322" s="24"/>
      <c r="CH322" s="138"/>
      <c r="CI322" s="24"/>
      <c r="DE322" s="137"/>
      <c r="DG322" s="24"/>
      <c r="DI322" s="137"/>
      <c r="DK322" s="144"/>
      <c r="DL322" s="137"/>
      <c r="DM322" s="145"/>
    </row>
    <row r="323" spans="2:117" ht="15" customHeight="1">
      <c r="B323" s="136"/>
      <c r="C323" s="24"/>
      <c r="D323" s="24"/>
      <c r="E323" s="24"/>
      <c r="F323" s="24"/>
      <c r="G323" s="24"/>
      <c r="H323" s="24"/>
      <c r="I323" s="24"/>
      <c r="J323" s="24"/>
      <c r="K323" s="24"/>
      <c r="M323" s="137"/>
      <c r="P323" s="138"/>
      <c r="AJ323" s="24"/>
      <c r="AP323" s="139"/>
      <c r="AQ323" s="24"/>
      <c r="AW323" s="138"/>
      <c r="BE323" s="140"/>
      <c r="BF323" s="138"/>
      <c r="BJ323" s="141"/>
      <c r="BK323" s="140"/>
      <c r="BL323" s="138"/>
      <c r="BM323" s="24"/>
      <c r="BW323" s="138"/>
      <c r="BX323" s="24"/>
      <c r="CH323" s="138"/>
      <c r="CI323" s="24"/>
      <c r="DE323" s="137"/>
      <c r="DG323" s="24"/>
      <c r="DI323" s="137"/>
      <c r="DK323" s="144"/>
      <c r="DL323" s="137"/>
      <c r="DM323" s="145"/>
    </row>
    <row r="324" spans="2:117" ht="15" customHeight="1">
      <c r="B324" s="136"/>
      <c r="C324" s="24"/>
      <c r="D324" s="24"/>
      <c r="E324" s="24"/>
      <c r="F324" s="24"/>
      <c r="G324" s="24"/>
      <c r="H324" s="24"/>
      <c r="I324" s="24"/>
      <c r="J324" s="24"/>
      <c r="K324" s="24"/>
      <c r="M324" s="137"/>
      <c r="P324" s="138"/>
      <c r="AJ324" s="24"/>
      <c r="AP324" s="139"/>
      <c r="AQ324" s="24"/>
      <c r="AW324" s="138"/>
      <c r="BE324" s="140"/>
      <c r="BF324" s="138"/>
      <c r="BJ324" s="141"/>
      <c r="BK324" s="140"/>
      <c r="BL324" s="138"/>
      <c r="BM324" s="24"/>
      <c r="BW324" s="138"/>
      <c r="BX324" s="24"/>
      <c r="CH324" s="138"/>
      <c r="CI324" s="24"/>
      <c r="DE324" s="137"/>
      <c r="DG324" s="24"/>
      <c r="DI324" s="137"/>
      <c r="DK324" s="144"/>
      <c r="DL324" s="137"/>
      <c r="DM324" s="145"/>
    </row>
    <row r="325" spans="2:117" ht="15" customHeight="1">
      <c r="B325" s="136"/>
      <c r="C325" s="24"/>
      <c r="D325" s="24"/>
      <c r="E325" s="24"/>
      <c r="F325" s="24"/>
      <c r="G325" s="24"/>
      <c r="H325" s="24"/>
      <c r="I325" s="24"/>
      <c r="J325" s="24"/>
      <c r="K325" s="24"/>
      <c r="M325" s="137"/>
      <c r="P325" s="138"/>
      <c r="AJ325" s="24"/>
      <c r="AP325" s="139"/>
      <c r="AQ325" s="24"/>
      <c r="AW325" s="138"/>
      <c r="BE325" s="140"/>
      <c r="BF325" s="138"/>
      <c r="BJ325" s="141"/>
      <c r="BK325" s="140"/>
      <c r="BL325" s="138"/>
      <c r="BM325" s="24"/>
      <c r="BW325" s="138"/>
      <c r="BX325" s="24"/>
      <c r="CH325" s="138"/>
      <c r="CI325" s="24"/>
      <c r="DE325" s="137"/>
      <c r="DG325" s="24"/>
      <c r="DI325" s="137"/>
      <c r="DK325" s="144"/>
      <c r="DL325" s="137"/>
      <c r="DM325" s="145"/>
    </row>
    <row r="326" spans="2:117" ht="15" customHeight="1">
      <c r="B326" s="136"/>
      <c r="C326" s="24"/>
      <c r="D326" s="24"/>
      <c r="E326" s="24"/>
      <c r="F326" s="24"/>
      <c r="G326" s="24"/>
      <c r="H326" s="24"/>
      <c r="I326" s="24"/>
      <c r="J326" s="24"/>
      <c r="K326" s="24"/>
      <c r="M326" s="137"/>
      <c r="P326" s="138"/>
      <c r="AJ326" s="24"/>
      <c r="AP326" s="139"/>
      <c r="AQ326" s="24"/>
      <c r="AW326" s="138"/>
      <c r="BE326" s="140"/>
      <c r="BF326" s="138"/>
      <c r="BJ326" s="141"/>
      <c r="BK326" s="140"/>
      <c r="BL326" s="138"/>
      <c r="BM326" s="24"/>
      <c r="BW326" s="138"/>
      <c r="BX326" s="24"/>
      <c r="CH326" s="138"/>
      <c r="CI326" s="24"/>
      <c r="DE326" s="137"/>
      <c r="DG326" s="24"/>
      <c r="DI326" s="137"/>
      <c r="DK326" s="144"/>
      <c r="DL326" s="137"/>
      <c r="DM326" s="145"/>
    </row>
    <row r="327" spans="2:117" ht="15" customHeight="1">
      <c r="B327" s="136"/>
      <c r="C327" s="24"/>
      <c r="D327" s="24"/>
      <c r="E327" s="24"/>
      <c r="F327" s="24"/>
      <c r="G327" s="24"/>
      <c r="H327" s="24"/>
      <c r="I327" s="24"/>
      <c r="J327" s="24"/>
      <c r="K327" s="24"/>
      <c r="M327" s="137"/>
      <c r="P327" s="138"/>
      <c r="AJ327" s="24"/>
      <c r="AP327" s="139"/>
      <c r="AQ327" s="24"/>
      <c r="AW327" s="138"/>
      <c r="BE327" s="140"/>
      <c r="BF327" s="138"/>
      <c r="BJ327" s="141"/>
      <c r="BK327" s="140"/>
      <c r="BL327" s="138"/>
      <c r="BM327" s="24"/>
      <c r="BW327" s="138"/>
      <c r="BX327" s="24"/>
      <c r="CH327" s="138"/>
      <c r="CI327" s="24"/>
      <c r="DE327" s="137"/>
      <c r="DG327" s="24"/>
      <c r="DI327" s="137"/>
      <c r="DK327" s="144"/>
      <c r="DL327" s="137"/>
      <c r="DM327" s="145"/>
    </row>
    <row r="328" spans="2:117" ht="15" customHeight="1">
      <c r="B328" s="136"/>
      <c r="C328" s="24"/>
      <c r="D328" s="24"/>
      <c r="E328" s="24"/>
      <c r="F328" s="24"/>
      <c r="G328" s="24"/>
      <c r="H328" s="24"/>
      <c r="I328" s="24"/>
      <c r="J328" s="24"/>
      <c r="K328" s="24"/>
      <c r="M328" s="137"/>
      <c r="P328" s="138"/>
      <c r="AJ328" s="24"/>
      <c r="AP328" s="139"/>
      <c r="AQ328" s="24"/>
      <c r="AW328" s="138"/>
      <c r="BE328" s="140"/>
      <c r="BF328" s="138"/>
      <c r="BJ328" s="141"/>
      <c r="BK328" s="140"/>
      <c r="BL328" s="138"/>
      <c r="BM328" s="24"/>
      <c r="BW328" s="138"/>
      <c r="BX328" s="24"/>
      <c r="CH328" s="138"/>
      <c r="CI328" s="24"/>
      <c r="DE328" s="137"/>
      <c r="DG328" s="24"/>
      <c r="DI328" s="137"/>
      <c r="DK328" s="144"/>
      <c r="DL328" s="137"/>
      <c r="DM328" s="145"/>
    </row>
    <row r="329" spans="2:117" ht="15" customHeight="1">
      <c r="B329" s="136"/>
      <c r="C329" s="24"/>
      <c r="D329" s="24"/>
      <c r="E329" s="24"/>
      <c r="F329" s="24"/>
      <c r="G329" s="24"/>
      <c r="H329" s="24"/>
      <c r="I329" s="24"/>
      <c r="J329" s="24"/>
      <c r="K329" s="24"/>
      <c r="M329" s="137"/>
      <c r="P329" s="138"/>
      <c r="AJ329" s="24"/>
      <c r="AP329" s="139"/>
      <c r="AQ329" s="24"/>
      <c r="AW329" s="138"/>
      <c r="BE329" s="140"/>
      <c r="BF329" s="138"/>
      <c r="BJ329" s="141"/>
      <c r="BK329" s="140"/>
      <c r="BL329" s="138"/>
      <c r="BM329" s="24"/>
      <c r="BW329" s="138"/>
      <c r="BX329" s="24"/>
      <c r="CH329" s="138"/>
      <c r="CI329" s="24"/>
      <c r="DE329" s="137"/>
      <c r="DG329" s="24"/>
      <c r="DI329" s="137"/>
      <c r="DK329" s="144"/>
      <c r="DL329" s="137"/>
      <c r="DM329" s="145"/>
    </row>
    <row r="330" spans="2:117" ht="15" customHeight="1">
      <c r="B330" s="136"/>
      <c r="C330" s="24"/>
      <c r="D330" s="24"/>
      <c r="E330" s="24"/>
      <c r="F330" s="24"/>
      <c r="G330" s="24"/>
      <c r="H330" s="24"/>
      <c r="I330" s="24"/>
      <c r="J330" s="24"/>
      <c r="K330" s="24"/>
      <c r="M330" s="137"/>
      <c r="P330" s="138"/>
      <c r="AJ330" s="24"/>
      <c r="AP330" s="139"/>
      <c r="AQ330" s="24"/>
      <c r="AW330" s="138"/>
      <c r="BE330" s="140"/>
      <c r="BF330" s="138"/>
      <c r="BJ330" s="141"/>
      <c r="BK330" s="140"/>
      <c r="BL330" s="138"/>
      <c r="BM330" s="24"/>
      <c r="BW330" s="138"/>
      <c r="BX330" s="24"/>
      <c r="CH330" s="138"/>
      <c r="CI330" s="24"/>
      <c r="DE330" s="137"/>
      <c r="DG330" s="24"/>
      <c r="DI330" s="137"/>
      <c r="DK330" s="144"/>
      <c r="DL330" s="137"/>
      <c r="DM330" s="145"/>
    </row>
    <row r="331" spans="2:117" ht="15" customHeight="1">
      <c r="B331" s="136"/>
      <c r="C331" s="24"/>
      <c r="D331" s="24"/>
      <c r="E331" s="24"/>
      <c r="F331" s="24"/>
      <c r="G331" s="24"/>
      <c r="H331" s="24"/>
      <c r="I331" s="24"/>
      <c r="J331" s="24"/>
      <c r="K331" s="24"/>
      <c r="M331" s="137"/>
      <c r="P331" s="138"/>
      <c r="AJ331" s="24"/>
      <c r="AP331" s="139"/>
      <c r="AQ331" s="24"/>
      <c r="AW331" s="138"/>
      <c r="BE331" s="140"/>
      <c r="BF331" s="138"/>
      <c r="BJ331" s="141"/>
      <c r="BK331" s="140"/>
      <c r="BL331" s="138"/>
      <c r="BM331" s="24"/>
      <c r="BW331" s="138"/>
      <c r="BX331" s="24"/>
      <c r="CH331" s="138"/>
      <c r="CI331" s="24"/>
      <c r="DE331" s="137"/>
      <c r="DG331" s="24"/>
      <c r="DI331" s="137"/>
      <c r="DK331" s="144"/>
      <c r="DL331" s="137"/>
      <c r="DM331" s="145"/>
    </row>
    <row r="332" spans="2:117" ht="15" customHeight="1">
      <c r="B332" s="136"/>
      <c r="C332" s="24"/>
      <c r="D332" s="24"/>
      <c r="E332" s="24"/>
      <c r="F332" s="24"/>
      <c r="G332" s="24"/>
      <c r="H332" s="24"/>
      <c r="I332" s="24"/>
      <c r="J332" s="24"/>
      <c r="K332" s="24"/>
      <c r="M332" s="137"/>
      <c r="P332" s="138"/>
      <c r="AJ332" s="24"/>
      <c r="AP332" s="139"/>
      <c r="AQ332" s="24"/>
      <c r="AW332" s="138"/>
      <c r="BE332" s="140"/>
      <c r="BF332" s="138"/>
      <c r="BJ332" s="141"/>
      <c r="BK332" s="140"/>
      <c r="BL332" s="138"/>
      <c r="BM332" s="24"/>
      <c r="BW332" s="138"/>
      <c r="BX332" s="24"/>
      <c r="CH332" s="138"/>
      <c r="CI332" s="24"/>
      <c r="DE332" s="137"/>
      <c r="DG332" s="24"/>
      <c r="DI332" s="137"/>
      <c r="DK332" s="144"/>
      <c r="DL332" s="137"/>
      <c r="DM332" s="145"/>
    </row>
    <row r="333" spans="2:117" ht="15" customHeight="1">
      <c r="B333" s="136"/>
      <c r="C333" s="24"/>
      <c r="D333" s="24"/>
      <c r="E333" s="24"/>
      <c r="F333" s="24"/>
      <c r="G333" s="24"/>
      <c r="H333" s="24"/>
      <c r="I333" s="24"/>
      <c r="J333" s="24"/>
      <c r="K333" s="24"/>
      <c r="M333" s="137"/>
      <c r="P333" s="138"/>
      <c r="AJ333" s="24"/>
      <c r="AP333" s="139"/>
      <c r="AQ333" s="24"/>
      <c r="AW333" s="138"/>
      <c r="BE333" s="140"/>
      <c r="BF333" s="138"/>
      <c r="BJ333" s="141"/>
      <c r="BK333" s="140"/>
      <c r="BL333" s="138"/>
      <c r="BM333" s="24"/>
      <c r="BW333" s="138"/>
      <c r="BX333" s="24"/>
      <c r="CH333" s="138"/>
      <c r="CI333" s="24"/>
      <c r="DE333" s="137"/>
      <c r="DG333" s="24"/>
      <c r="DI333" s="137"/>
      <c r="DK333" s="144"/>
      <c r="DL333" s="137"/>
      <c r="DM333" s="145"/>
    </row>
    <row r="334" spans="2:117" ht="15" customHeight="1">
      <c r="B334" s="136"/>
      <c r="C334" s="24"/>
      <c r="D334" s="24"/>
      <c r="E334" s="24"/>
      <c r="F334" s="24"/>
      <c r="G334" s="24"/>
      <c r="H334" s="24"/>
      <c r="I334" s="24"/>
      <c r="J334" s="24"/>
      <c r="K334" s="24"/>
      <c r="M334" s="137"/>
      <c r="P334" s="138"/>
      <c r="AJ334" s="24"/>
      <c r="AP334" s="139"/>
      <c r="AQ334" s="24"/>
      <c r="AW334" s="138"/>
      <c r="BE334" s="140"/>
      <c r="BF334" s="138"/>
      <c r="BJ334" s="141"/>
      <c r="BK334" s="140"/>
      <c r="BL334" s="138"/>
      <c r="BM334" s="24"/>
      <c r="BW334" s="138"/>
      <c r="BX334" s="24"/>
      <c r="CH334" s="138"/>
      <c r="CI334" s="24"/>
      <c r="DE334" s="137"/>
      <c r="DG334" s="24"/>
      <c r="DI334" s="137"/>
      <c r="DK334" s="144"/>
      <c r="DL334" s="137"/>
      <c r="DM334" s="145"/>
    </row>
    <row r="335" spans="2:117" ht="15" customHeight="1">
      <c r="B335" s="136"/>
      <c r="C335" s="24"/>
      <c r="D335" s="24"/>
      <c r="E335" s="24"/>
      <c r="F335" s="24"/>
      <c r="G335" s="24"/>
      <c r="H335" s="24"/>
      <c r="I335" s="24"/>
      <c r="J335" s="24"/>
      <c r="K335" s="24"/>
      <c r="M335" s="137"/>
      <c r="P335" s="138"/>
      <c r="AF335" s="24" t="s">
        <v>2860</v>
      </c>
      <c r="AJ335" s="24"/>
      <c r="AP335" s="139"/>
      <c r="AQ335" s="24"/>
      <c r="AW335" s="138"/>
      <c r="BE335" s="140"/>
      <c r="BF335" s="138"/>
      <c r="BJ335" s="141"/>
      <c r="BK335" s="140"/>
      <c r="BL335" s="138"/>
      <c r="BM335" s="24"/>
      <c r="BW335" s="138"/>
      <c r="BX335" s="24"/>
      <c r="CH335" s="138"/>
      <c r="CI335" s="24"/>
      <c r="DE335" s="137"/>
      <c r="DG335" s="24"/>
      <c r="DI335" s="137"/>
      <c r="DK335" s="144"/>
      <c r="DL335" s="137"/>
      <c r="DM335" s="145"/>
    </row>
    <row r="336" spans="2:117" ht="15" customHeight="1">
      <c r="B336" s="136"/>
      <c r="C336" s="24"/>
      <c r="D336" s="24"/>
      <c r="E336" s="24"/>
      <c r="F336" s="24"/>
      <c r="G336" s="24"/>
      <c r="H336" s="24"/>
      <c r="I336" s="24"/>
      <c r="J336" s="24"/>
      <c r="K336" s="24"/>
      <c r="M336" s="137"/>
      <c r="P336" s="138"/>
      <c r="AJ336" s="24"/>
      <c r="AP336" s="139"/>
      <c r="AQ336" s="24"/>
      <c r="AW336" s="138"/>
      <c r="BE336" s="140"/>
      <c r="BF336" s="138"/>
      <c r="BJ336" s="141"/>
      <c r="BK336" s="140"/>
      <c r="BL336" s="138"/>
      <c r="BM336" s="24"/>
      <c r="BW336" s="138"/>
      <c r="BX336" s="24"/>
      <c r="CH336" s="138"/>
      <c r="CI336" s="24"/>
      <c r="DE336" s="137"/>
      <c r="DG336" s="24"/>
      <c r="DI336" s="137"/>
      <c r="DK336" s="144"/>
      <c r="DL336" s="137"/>
      <c r="DM336" s="145"/>
    </row>
    <row r="337" spans="2:117" ht="15" customHeight="1">
      <c r="B337" s="136"/>
      <c r="C337" s="24"/>
      <c r="D337" s="24"/>
      <c r="E337" s="24"/>
      <c r="F337" s="24"/>
      <c r="G337" s="24"/>
      <c r="H337" s="24"/>
      <c r="I337" s="24"/>
      <c r="J337" s="24"/>
      <c r="K337" s="24"/>
      <c r="M337" s="137"/>
      <c r="P337" s="138"/>
      <c r="AJ337" s="24"/>
      <c r="AP337" s="139"/>
      <c r="AQ337" s="24"/>
      <c r="AW337" s="138"/>
      <c r="BE337" s="140"/>
      <c r="BF337" s="138"/>
      <c r="BJ337" s="141"/>
      <c r="BK337" s="140"/>
      <c r="BL337" s="138"/>
      <c r="BM337" s="24"/>
      <c r="BW337" s="138"/>
      <c r="BX337" s="24"/>
      <c r="CH337" s="138"/>
      <c r="CI337" s="24"/>
      <c r="DE337" s="137"/>
      <c r="DG337" s="24"/>
      <c r="DI337" s="137"/>
      <c r="DK337" s="144"/>
      <c r="DL337" s="137"/>
      <c r="DM337" s="145"/>
    </row>
    <row r="338" spans="2:117" ht="15" customHeight="1">
      <c r="B338" s="136"/>
      <c r="C338" s="24"/>
      <c r="D338" s="24"/>
      <c r="E338" s="24"/>
      <c r="F338" s="24"/>
      <c r="G338" s="24"/>
      <c r="H338" s="24"/>
      <c r="I338" s="24"/>
      <c r="J338" s="24"/>
      <c r="K338" s="24"/>
      <c r="M338" s="137"/>
      <c r="P338" s="138"/>
      <c r="AJ338" s="24"/>
      <c r="AP338" s="139"/>
      <c r="AQ338" s="24"/>
      <c r="AW338" s="138"/>
      <c r="BE338" s="140"/>
      <c r="BF338" s="138"/>
      <c r="BJ338" s="141"/>
      <c r="BK338" s="140"/>
      <c r="BL338" s="138"/>
      <c r="BM338" s="24"/>
      <c r="BW338" s="138"/>
      <c r="BX338" s="24"/>
      <c r="CH338" s="138"/>
      <c r="CI338" s="24"/>
      <c r="DE338" s="137"/>
      <c r="DG338" s="24"/>
      <c r="DI338" s="137"/>
      <c r="DK338" s="144"/>
      <c r="DL338" s="137"/>
      <c r="DM338" s="145"/>
    </row>
    <row r="339" spans="2:117" ht="15" customHeight="1">
      <c r="B339" s="136"/>
      <c r="C339" s="24"/>
      <c r="D339" s="24"/>
      <c r="E339" s="24"/>
      <c r="F339" s="24"/>
      <c r="G339" s="24"/>
      <c r="H339" s="24"/>
      <c r="I339" s="24"/>
      <c r="J339" s="24"/>
      <c r="K339" s="24"/>
      <c r="M339" s="137"/>
      <c r="P339" s="138"/>
      <c r="AJ339" s="24"/>
      <c r="AP339" s="139"/>
      <c r="AQ339" s="24"/>
      <c r="AW339" s="138"/>
      <c r="BE339" s="140"/>
      <c r="BF339" s="138"/>
      <c r="BJ339" s="141"/>
      <c r="BK339" s="140"/>
      <c r="BL339" s="138"/>
      <c r="BM339" s="24"/>
      <c r="BW339" s="138"/>
      <c r="BX339" s="24"/>
      <c r="CH339" s="138"/>
      <c r="CI339" s="24"/>
      <c r="DE339" s="137"/>
      <c r="DG339" s="24"/>
      <c r="DI339" s="137"/>
      <c r="DK339" s="144"/>
      <c r="DL339" s="137"/>
      <c r="DM339" s="145"/>
    </row>
    <row r="340" spans="2:117" ht="15" customHeight="1">
      <c r="B340" s="136"/>
      <c r="C340" s="24"/>
      <c r="D340" s="24"/>
      <c r="E340" s="24"/>
      <c r="F340" s="24"/>
      <c r="G340" s="24"/>
      <c r="H340" s="24"/>
      <c r="I340" s="24"/>
      <c r="J340" s="24"/>
      <c r="K340" s="24"/>
      <c r="M340" s="137"/>
      <c r="P340" s="138"/>
      <c r="AJ340" s="24"/>
      <c r="AP340" s="139"/>
      <c r="AQ340" s="24"/>
      <c r="AW340" s="138"/>
      <c r="BE340" s="140"/>
      <c r="BF340" s="138"/>
      <c r="BJ340" s="141"/>
      <c r="BK340" s="140"/>
      <c r="BL340" s="138"/>
      <c r="BM340" s="24"/>
      <c r="BW340" s="138"/>
      <c r="BX340" s="24"/>
      <c r="CH340" s="138"/>
      <c r="CI340" s="24"/>
      <c r="DE340" s="137"/>
      <c r="DG340" s="24"/>
      <c r="DI340" s="137"/>
      <c r="DK340" s="144"/>
      <c r="DL340" s="137"/>
      <c r="DM340" s="145"/>
    </row>
    <row r="341" spans="2:117" ht="15" customHeight="1">
      <c r="B341" s="136"/>
      <c r="C341" s="24"/>
      <c r="D341" s="24"/>
      <c r="E341" s="24"/>
      <c r="F341" s="24"/>
      <c r="G341" s="24"/>
      <c r="H341" s="24"/>
      <c r="I341" s="24"/>
      <c r="J341" s="24"/>
      <c r="K341" s="24"/>
      <c r="M341" s="137"/>
      <c r="P341" s="138"/>
      <c r="AJ341" s="24"/>
      <c r="AP341" s="139"/>
      <c r="AQ341" s="24"/>
      <c r="AW341" s="138"/>
      <c r="BE341" s="140"/>
      <c r="BF341" s="138"/>
      <c r="BJ341" s="141"/>
      <c r="BK341" s="140"/>
      <c r="BL341" s="138"/>
      <c r="BM341" s="24"/>
      <c r="BW341" s="138"/>
      <c r="BX341" s="24"/>
      <c r="CH341" s="138"/>
      <c r="CI341" s="24"/>
      <c r="DE341" s="137"/>
      <c r="DG341" s="24"/>
      <c r="DI341" s="137"/>
      <c r="DK341" s="144"/>
      <c r="DL341" s="137"/>
      <c r="DM341" s="145"/>
    </row>
    <row r="342" spans="2:117" ht="15" customHeight="1">
      <c r="B342" s="136"/>
      <c r="C342" s="24"/>
      <c r="D342" s="24"/>
      <c r="E342" s="24"/>
      <c r="F342" s="24"/>
      <c r="G342" s="24"/>
      <c r="H342" s="24"/>
      <c r="I342" s="24"/>
      <c r="J342" s="24"/>
      <c r="K342" s="24"/>
      <c r="M342" s="137"/>
      <c r="P342" s="138"/>
      <c r="AJ342" s="24"/>
      <c r="AP342" s="139"/>
      <c r="AQ342" s="24"/>
      <c r="AW342" s="138"/>
      <c r="BE342" s="140"/>
      <c r="BF342" s="138"/>
      <c r="BJ342" s="141"/>
      <c r="BK342" s="140"/>
      <c r="BL342" s="138"/>
      <c r="BM342" s="24"/>
      <c r="BW342" s="138"/>
      <c r="BX342" s="24"/>
      <c r="CH342" s="138"/>
      <c r="CI342" s="24"/>
      <c r="DE342" s="137"/>
      <c r="DG342" s="24"/>
      <c r="DI342" s="137"/>
      <c r="DK342" s="144"/>
      <c r="DL342" s="137"/>
      <c r="DM342" s="145"/>
    </row>
    <row r="343" spans="2:117" ht="15" customHeight="1">
      <c r="B343" s="136"/>
      <c r="C343" s="24"/>
      <c r="D343" s="24"/>
      <c r="E343" s="24"/>
      <c r="F343" s="24"/>
      <c r="G343" s="24"/>
      <c r="H343" s="24"/>
      <c r="I343" s="24"/>
      <c r="J343" s="24"/>
      <c r="K343" s="24"/>
      <c r="M343" s="137"/>
      <c r="P343" s="138"/>
      <c r="AJ343" s="24"/>
      <c r="AP343" s="139"/>
      <c r="AQ343" s="24"/>
      <c r="AW343" s="138"/>
      <c r="BE343" s="140"/>
      <c r="BF343" s="138"/>
      <c r="BJ343" s="141"/>
      <c r="BK343" s="140"/>
      <c r="BL343" s="138"/>
      <c r="BM343" s="24"/>
      <c r="BW343" s="138"/>
      <c r="BX343" s="24"/>
      <c r="CH343" s="138"/>
      <c r="CI343" s="24"/>
      <c r="DE343" s="137"/>
      <c r="DG343" s="24"/>
      <c r="DI343" s="137"/>
      <c r="DK343" s="144"/>
      <c r="DL343" s="137"/>
      <c r="DM343" s="145"/>
    </row>
    <row r="344" spans="2:117" ht="15" customHeight="1">
      <c r="B344" s="136"/>
      <c r="C344" s="24"/>
      <c r="D344" s="24"/>
      <c r="E344" s="24"/>
      <c r="F344" s="24"/>
      <c r="G344" s="24"/>
      <c r="H344" s="24"/>
      <c r="I344" s="24"/>
      <c r="J344" s="24"/>
      <c r="K344" s="24"/>
      <c r="M344" s="137"/>
      <c r="P344" s="138"/>
      <c r="AJ344" s="24"/>
      <c r="AP344" s="139"/>
      <c r="AQ344" s="24"/>
      <c r="AW344" s="138"/>
      <c r="BE344" s="140"/>
      <c r="BF344" s="138"/>
      <c r="BJ344" s="141"/>
      <c r="BK344" s="140"/>
      <c r="BL344" s="138"/>
      <c r="BM344" s="24"/>
      <c r="BW344" s="138"/>
      <c r="BX344" s="24"/>
      <c r="CH344" s="138"/>
      <c r="CI344" s="24"/>
      <c r="DE344" s="137"/>
      <c r="DG344" s="24"/>
      <c r="DI344" s="137"/>
      <c r="DK344" s="144"/>
      <c r="DL344" s="137"/>
      <c r="DM344" s="145"/>
    </row>
    <row r="345" spans="2:117" ht="15" customHeight="1">
      <c r="B345" s="136"/>
      <c r="C345" s="24"/>
      <c r="D345" s="24"/>
      <c r="E345" s="24"/>
      <c r="F345" s="24"/>
      <c r="G345" s="24"/>
      <c r="H345" s="24"/>
      <c r="I345" s="24"/>
      <c r="J345" s="24"/>
      <c r="K345" s="24"/>
      <c r="M345" s="137"/>
      <c r="P345" s="138"/>
      <c r="AJ345" s="24"/>
      <c r="AP345" s="139"/>
      <c r="AQ345" s="24"/>
      <c r="AW345" s="138"/>
      <c r="BE345" s="140"/>
      <c r="BF345" s="138"/>
      <c r="BJ345" s="141"/>
      <c r="BK345" s="140"/>
      <c r="BL345" s="138"/>
      <c r="BM345" s="24"/>
      <c r="BW345" s="138"/>
      <c r="BX345" s="24"/>
      <c r="CH345" s="138"/>
      <c r="CI345" s="24"/>
      <c r="DE345" s="137"/>
      <c r="DG345" s="24"/>
      <c r="DI345" s="137"/>
      <c r="DK345" s="144"/>
      <c r="DL345" s="137"/>
      <c r="DM345" s="145"/>
    </row>
    <row r="346" spans="2:117" ht="15" customHeight="1">
      <c r="B346" s="136"/>
      <c r="C346" s="24"/>
      <c r="D346" s="24"/>
      <c r="E346" s="24"/>
      <c r="F346" s="24"/>
      <c r="G346" s="24"/>
      <c r="H346" s="24"/>
      <c r="I346" s="24"/>
      <c r="J346" s="24"/>
      <c r="K346" s="24"/>
      <c r="M346" s="137"/>
      <c r="P346" s="138"/>
      <c r="AJ346" s="24"/>
      <c r="AP346" s="139"/>
      <c r="AQ346" s="24"/>
      <c r="AW346" s="138"/>
      <c r="BE346" s="140"/>
      <c r="BF346" s="138"/>
      <c r="BJ346" s="141"/>
      <c r="BK346" s="140"/>
      <c r="BL346" s="138"/>
      <c r="BM346" s="24"/>
      <c r="BW346" s="138"/>
      <c r="BX346" s="24"/>
      <c r="CH346" s="138"/>
      <c r="CI346" s="24"/>
      <c r="DE346" s="137"/>
      <c r="DG346" s="24"/>
      <c r="DI346" s="137"/>
      <c r="DK346" s="144"/>
      <c r="DL346" s="137"/>
      <c r="DM346" s="145"/>
    </row>
    <row r="347" spans="2:117" ht="15" customHeight="1">
      <c r="B347" s="136"/>
      <c r="C347" s="24"/>
      <c r="D347" s="24"/>
      <c r="E347" s="24"/>
      <c r="F347" s="24"/>
      <c r="G347" s="24"/>
      <c r="H347" s="24"/>
      <c r="I347" s="24"/>
      <c r="J347" s="24"/>
      <c r="K347" s="24"/>
      <c r="M347" s="137"/>
      <c r="P347" s="138"/>
      <c r="AJ347" s="24"/>
      <c r="AP347" s="139"/>
      <c r="AQ347" s="24"/>
      <c r="AW347" s="138"/>
      <c r="BE347" s="140"/>
      <c r="BF347" s="138"/>
      <c r="BJ347" s="141"/>
      <c r="BK347" s="140"/>
      <c r="BL347" s="138"/>
      <c r="BM347" s="24"/>
      <c r="BW347" s="138"/>
      <c r="BX347" s="24"/>
      <c r="CH347" s="138"/>
      <c r="CI347" s="24"/>
      <c r="DE347" s="137"/>
      <c r="DG347" s="24"/>
      <c r="DI347" s="137"/>
      <c r="DK347" s="144"/>
      <c r="DL347" s="137"/>
      <c r="DM347" s="145"/>
    </row>
    <row r="348" spans="2:117" ht="15" customHeight="1">
      <c r="B348" s="136"/>
      <c r="C348" s="24"/>
      <c r="D348" s="24"/>
      <c r="E348" s="24"/>
      <c r="F348" s="24"/>
      <c r="G348" s="24"/>
      <c r="H348" s="24"/>
      <c r="I348" s="24"/>
      <c r="J348" s="24"/>
      <c r="K348" s="24"/>
      <c r="M348" s="137"/>
      <c r="P348" s="138"/>
      <c r="AJ348" s="24"/>
      <c r="AP348" s="139"/>
      <c r="AQ348" s="24"/>
      <c r="AW348" s="138"/>
      <c r="BE348" s="140"/>
      <c r="BF348" s="138"/>
      <c r="BJ348" s="141"/>
      <c r="BK348" s="140"/>
      <c r="BL348" s="138"/>
      <c r="BM348" s="24"/>
      <c r="BW348" s="138"/>
      <c r="BX348" s="24"/>
      <c r="CH348" s="138"/>
      <c r="CI348" s="24"/>
      <c r="DE348" s="137"/>
      <c r="DG348" s="24"/>
      <c r="DI348" s="137"/>
      <c r="DK348" s="144"/>
      <c r="DL348" s="137"/>
      <c r="DM348" s="145"/>
    </row>
    <row r="349" spans="2:117" ht="15" customHeight="1">
      <c r="B349" s="136"/>
      <c r="C349" s="24"/>
      <c r="D349" s="24"/>
      <c r="E349" s="24"/>
      <c r="F349" s="24"/>
      <c r="G349" s="24"/>
      <c r="H349" s="24"/>
      <c r="I349" s="24"/>
      <c r="J349" s="24"/>
      <c r="K349" s="24"/>
      <c r="M349" s="137"/>
      <c r="P349" s="138"/>
      <c r="AJ349" s="24"/>
      <c r="AP349" s="139"/>
      <c r="AQ349" s="24"/>
      <c r="AW349" s="138"/>
      <c r="BE349" s="140"/>
      <c r="BF349" s="138"/>
      <c r="BJ349" s="141"/>
      <c r="BK349" s="140"/>
      <c r="BL349" s="138"/>
      <c r="BM349" s="24"/>
      <c r="BW349" s="138"/>
      <c r="BX349" s="24"/>
      <c r="CH349" s="138"/>
      <c r="CI349" s="24"/>
      <c r="DE349" s="137"/>
      <c r="DG349" s="24"/>
      <c r="DI349" s="137"/>
      <c r="DK349" s="144"/>
      <c r="DL349" s="137"/>
      <c r="DM349" s="145"/>
    </row>
    <row r="350" spans="2:117" ht="15" customHeight="1">
      <c r="B350" s="136"/>
      <c r="C350" s="24"/>
      <c r="D350" s="24"/>
      <c r="E350" s="24"/>
      <c r="F350" s="24"/>
      <c r="G350" s="24"/>
      <c r="H350" s="24"/>
      <c r="I350" s="24"/>
      <c r="J350" s="24"/>
      <c r="K350" s="24"/>
      <c r="M350" s="137"/>
      <c r="P350" s="138"/>
      <c r="AJ350" s="24"/>
      <c r="AP350" s="139"/>
      <c r="AQ350" s="24"/>
      <c r="AW350" s="138"/>
      <c r="BE350" s="140"/>
      <c r="BF350" s="138"/>
      <c r="BJ350" s="141"/>
      <c r="BK350" s="140"/>
      <c r="BL350" s="138"/>
      <c r="BM350" s="24"/>
      <c r="BW350" s="138"/>
      <c r="BX350" s="24"/>
      <c r="CH350" s="138"/>
      <c r="CI350" s="24"/>
      <c r="DE350" s="137"/>
      <c r="DG350" s="24"/>
      <c r="DI350" s="137"/>
      <c r="DK350" s="144"/>
      <c r="DL350" s="137"/>
      <c r="DM350" s="145"/>
    </row>
    <row r="351" spans="2:117" ht="15" customHeight="1">
      <c r="B351" s="136"/>
      <c r="C351" s="24"/>
      <c r="D351" s="24"/>
      <c r="E351" s="24"/>
      <c r="F351" s="24"/>
      <c r="G351" s="24"/>
      <c r="H351" s="24"/>
      <c r="I351" s="24"/>
      <c r="J351" s="24"/>
      <c r="K351" s="24"/>
      <c r="M351" s="137"/>
      <c r="P351" s="138"/>
      <c r="AJ351" s="24"/>
      <c r="AP351" s="139"/>
      <c r="AQ351" s="24"/>
      <c r="AW351" s="138"/>
      <c r="BE351" s="140"/>
      <c r="BF351" s="138"/>
      <c r="BJ351" s="141"/>
      <c r="BK351" s="140"/>
      <c r="BL351" s="138"/>
      <c r="BM351" s="24"/>
      <c r="BW351" s="138"/>
      <c r="BX351" s="24"/>
      <c r="CH351" s="138"/>
      <c r="CI351" s="24"/>
      <c r="DE351" s="137"/>
      <c r="DG351" s="24"/>
      <c r="DI351" s="137"/>
      <c r="DK351" s="144"/>
      <c r="DL351" s="137"/>
      <c r="DM351" s="145"/>
    </row>
    <row r="352" spans="2:117" ht="15" customHeight="1">
      <c r="B352" s="136"/>
      <c r="C352" s="24"/>
      <c r="D352" s="24"/>
      <c r="E352" s="24"/>
      <c r="F352" s="24"/>
      <c r="G352" s="24"/>
      <c r="H352" s="24"/>
      <c r="I352" s="24"/>
      <c r="J352" s="24"/>
      <c r="K352" s="24"/>
      <c r="M352" s="137"/>
      <c r="P352" s="138"/>
      <c r="AJ352" s="24"/>
      <c r="AP352" s="139"/>
      <c r="AQ352" s="24"/>
      <c r="AW352" s="138"/>
      <c r="BE352" s="140"/>
      <c r="BF352" s="138"/>
      <c r="BJ352" s="141"/>
      <c r="BK352" s="140"/>
      <c r="BL352" s="138"/>
      <c r="BM352" s="24"/>
      <c r="BW352" s="138"/>
      <c r="BX352" s="24"/>
      <c r="CH352" s="138"/>
      <c r="CI352" s="24"/>
      <c r="DE352" s="137"/>
      <c r="DG352" s="24"/>
      <c r="DI352" s="137"/>
      <c r="DK352" s="144"/>
      <c r="DL352" s="137"/>
      <c r="DM352" s="145"/>
    </row>
    <row r="353" spans="2:117" ht="15" customHeight="1">
      <c r="B353" s="136"/>
      <c r="C353" s="24"/>
      <c r="D353" s="24"/>
      <c r="E353" s="24"/>
      <c r="F353" s="24"/>
      <c r="G353" s="24"/>
      <c r="H353" s="24"/>
      <c r="I353" s="24"/>
      <c r="J353" s="24"/>
      <c r="K353" s="24"/>
      <c r="M353" s="137"/>
      <c r="P353" s="138"/>
      <c r="AJ353" s="24"/>
      <c r="AP353" s="139"/>
      <c r="AQ353" s="24"/>
      <c r="AW353" s="138"/>
      <c r="BE353" s="140"/>
      <c r="BF353" s="138"/>
      <c r="BJ353" s="141"/>
      <c r="BK353" s="140"/>
      <c r="BL353" s="138"/>
      <c r="BM353" s="24"/>
      <c r="BW353" s="138"/>
      <c r="BX353" s="24"/>
      <c r="CH353" s="138"/>
      <c r="CI353" s="24"/>
      <c r="DE353" s="137"/>
      <c r="DG353" s="24"/>
      <c r="DI353" s="137"/>
      <c r="DK353" s="144"/>
      <c r="DL353" s="137"/>
      <c r="DM353" s="145"/>
    </row>
    <row r="354" spans="2:117" ht="15" customHeight="1">
      <c r="B354" s="136"/>
      <c r="C354" s="24"/>
      <c r="D354" s="24"/>
      <c r="E354" s="24"/>
      <c r="F354" s="24"/>
      <c r="G354" s="24"/>
      <c r="H354" s="24"/>
      <c r="I354" s="24"/>
      <c r="J354" s="24"/>
      <c r="K354" s="24"/>
      <c r="M354" s="137"/>
      <c r="P354" s="138"/>
      <c r="AJ354" s="24"/>
      <c r="AP354" s="139"/>
      <c r="AQ354" s="24"/>
      <c r="AW354" s="138"/>
      <c r="BE354" s="140"/>
      <c r="BF354" s="138"/>
      <c r="BJ354" s="141"/>
      <c r="BK354" s="140"/>
      <c r="BL354" s="138"/>
      <c r="BM354" s="24"/>
      <c r="BW354" s="138"/>
      <c r="BX354" s="24"/>
      <c r="CH354" s="138"/>
      <c r="CI354" s="24"/>
      <c r="DE354" s="137"/>
      <c r="DG354" s="24"/>
      <c r="DI354" s="137"/>
      <c r="DK354" s="144"/>
      <c r="DL354" s="137"/>
      <c r="DM354" s="145"/>
    </row>
    <row r="355" spans="2:117" ht="15" customHeight="1">
      <c r="B355" s="136"/>
      <c r="C355" s="24"/>
      <c r="D355" s="24"/>
      <c r="E355" s="24"/>
      <c r="F355" s="24"/>
      <c r="G355" s="24"/>
      <c r="H355" s="24"/>
      <c r="I355" s="24"/>
      <c r="J355" s="24"/>
      <c r="K355" s="24"/>
      <c r="M355" s="137"/>
      <c r="P355" s="138"/>
      <c r="AJ355" s="24"/>
      <c r="AP355" s="139"/>
      <c r="AQ355" s="24"/>
      <c r="AW355" s="138"/>
      <c r="BE355" s="140"/>
      <c r="BF355" s="138"/>
      <c r="BJ355" s="141"/>
      <c r="BK355" s="140"/>
      <c r="BL355" s="138"/>
      <c r="BM355" s="24"/>
      <c r="BW355" s="138"/>
      <c r="BX355" s="24"/>
      <c r="CH355" s="138"/>
      <c r="CI355" s="24"/>
      <c r="DE355" s="137"/>
      <c r="DG355" s="24"/>
      <c r="DI355" s="137"/>
      <c r="DK355" s="144"/>
      <c r="DL355" s="137"/>
      <c r="DM355" s="145"/>
    </row>
    <row r="356" spans="2:117" ht="15" customHeight="1">
      <c r="B356" s="136"/>
      <c r="C356" s="24"/>
      <c r="D356" s="24"/>
      <c r="E356" s="24"/>
      <c r="F356" s="24"/>
      <c r="G356" s="24"/>
      <c r="H356" s="24"/>
      <c r="I356" s="24"/>
      <c r="J356" s="24"/>
      <c r="K356" s="24"/>
      <c r="M356" s="137"/>
      <c r="P356" s="138"/>
      <c r="AJ356" s="24"/>
      <c r="AP356" s="139"/>
      <c r="AQ356" s="24"/>
      <c r="AW356" s="138"/>
      <c r="BE356" s="140"/>
      <c r="BF356" s="138"/>
      <c r="BJ356" s="141"/>
      <c r="BK356" s="140"/>
      <c r="BL356" s="138"/>
      <c r="BM356" s="24"/>
      <c r="BW356" s="138"/>
      <c r="BX356" s="24"/>
      <c r="CH356" s="138"/>
      <c r="CI356" s="24"/>
      <c r="DE356" s="137"/>
      <c r="DG356" s="24"/>
      <c r="DI356" s="137"/>
      <c r="DK356" s="144"/>
      <c r="DL356" s="137"/>
      <c r="DM356" s="145"/>
    </row>
    <row r="357" spans="2:117" ht="15" customHeight="1">
      <c r="B357" s="136"/>
      <c r="C357" s="24"/>
      <c r="D357" s="24"/>
      <c r="E357" s="24"/>
      <c r="F357" s="24"/>
      <c r="G357" s="24"/>
      <c r="H357" s="24"/>
      <c r="I357" s="24"/>
      <c r="J357" s="24"/>
      <c r="K357" s="24"/>
      <c r="M357" s="137"/>
      <c r="P357" s="138"/>
      <c r="AJ357" s="24"/>
      <c r="AP357" s="139"/>
      <c r="AQ357" s="24"/>
      <c r="AW357" s="138"/>
      <c r="BE357" s="140"/>
      <c r="BF357" s="138"/>
      <c r="BJ357" s="141"/>
      <c r="BK357" s="140"/>
      <c r="BL357" s="138"/>
      <c r="BM357" s="24"/>
      <c r="BW357" s="138"/>
      <c r="BX357" s="24"/>
      <c r="CH357" s="138"/>
      <c r="CI357" s="24"/>
      <c r="DE357" s="137"/>
      <c r="DG357" s="24"/>
      <c r="DI357" s="137"/>
      <c r="DK357" s="144"/>
      <c r="DL357" s="137"/>
      <c r="DM357" s="145"/>
    </row>
    <row r="358" spans="2:117" ht="15" customHeight="1">
      <c r="B358" s="136"/>
      <c r="C358" s="24"/>
      <c r="D358" s="24"/>
      <c r="E358" s="24"/>
      <c r="F358" s="24"/>
      <c r="G358" s="24"/>
      <c r="H358" s="24"/>
      <c r="I358" s="24"/>
      <c r="J358" s="24"/>
      <c r="K358" s="24"/>
      <c r="M358" s="137"/>
      <c r="P358" s="138"/>
      <c r="AJ358" s="24"/>
      <c r="AP358" s="139"/>
      <c r="AQ358" s="24"/>
      <c r="AW358" s="138"/>
      <c r="BE358" s="140"/>
      <c r="BF358" s="138"/>
      <c r="BJ358" s="141"/>
      <c r="BK358" s="140"/>
      <c r="BL358" s="138"/>
      <c r="BM358" s="24"/>
      <c r="BW358" s="138"/>
      <c r="BX358" s="24"/>
      <c r="CH358" s="138"/>
      <c r="CI358" s="24"/>
      <c r="DE358" s="137"/>
      <c r="DG358" s="24"/>
      <c r="DI358" s="137"/>
      <c r="DK358" s="144"/>
      <c r="DL358" s="137"/>
      <c r="DM358" s="145"/>
    </row>
    <row r="359" spans="2:117" ht="15" customHeight="1">
      <c r="B359" s="136"/>
      <c r="C359" s="24"/>
      <c r="D359" s="24"/>
      <c r="E359" s="24"/>
      <c r="F359" s="24"/>
      <c r="G359" s="24"/>
      <c r="H359" s="24"/>
      <c r="I359" s="24"/>
      <c r="J359" s="24"/>
      <c r="K359" s="24"/>
      <c r="M359" s="137"/>
      <c r="P359" s="138"/>
      <c r="AJ359" s="24"/>
      <c r="AP359" s="139"/>
      <c r="AQ359" s="24"/>
      <c r="AW359" s="138"/>
      <c r="BE359" s="140"/>
      <c r="BF359" s="138"/>
      <c r="BJ359" s="141"/>
      <c r="BK359" s="140"/>
      <c r="BL359" s="138"/>
      <c r="BM359" s="24"/>
      <c r="BW359" s="138"/>
      <c r="BX359" s="24"/>
      <c r="CH359" s="138"/>
      <c r="CI359" s="24"/>
      <c r="DE359" s="137"/>
      <c r="DG359" s="24"/>
      <c r="DI359" s="137"/>
      <c r="DK359" s="144"/>
      <c r="DL359" s="137"/>
      <c r="DM359" s="145"/>
    </row>
    <row r="360" spans="2:117" ht="15" customHeight="1">
      <c r="B360" s="136"/>
      <c r="C360" s="24"/>
      <c r="D360" s="24"/>
      <c r="E360" s="24"/>
      <c r="F360" s="24"/>
      <c r="G360" s="24"/>
      <c r="H360" s="24"/>
      <c r="I360" s="24"/>
      <c r="J360" s="24"/>
      <c r="K360" s="24"/>
      <c r="M360" s="137"/>
      <c r="P360" s="138"/>
      <c r="AJ360" s="24"/>
      <c r="AP360" s="139"/>
      <c r="AQ360" s="24"/>
      <c r="AW360" s="138"/>
      <c r="BE360" s="140"/>
      <c r="BF360" s="138"/>
      <c r="BJ360" s="141"/>
      <c r="BK360" s="140"/>
      <c r="BL360" s="138"/>
      <c r="BM360" s="24"/>
      <c r="BW360" s="138"/>
      <c r="BX360" s="24"/>
      <c r="CH360" s="138"/>
      <c r="CI360" s="24"/>
      <c r="DE360" s="137"/>
      <c r="DG360" s="24"/>
      <c r="DI360" s="137"/>
      <c r="DK360" s="144"/>
      <c r="DL360" s="137"/>
      <c r="DM360" s="145"/>
    </row>
    <row r="361" spans="2:117" ht="15" customHeight="1">
      <c r="B361" s="136"/>
      <c r="C361" s="24"/>
      <c r="D361" s="24"/>
      <c r="E361" s="24"/>
      <c r="F361" s="24"/>
      <c r="G361" s="24"/>
      <c r="H361" s="24"/>
      <c r="I361" s="24"/>
      <c r="J361" s="24"/>
      <c r="K361" s="24"/>
      <c r="M361" s="137"/>
      <c r="P361" s="138"/>
      <c r="AJ361" s="24"/>
      <c r="AP361" s="139"/>
      <c r="AQ361" s="24"/>
      <c r="AW361" s="138"/>
      <c r="BE361" s="140"/>
      <c r="BF361" s="138"/>
      <c r="BJ361" s="141"/>
      <c r="BK361" s="140"/>
      <c r="BL361" s="138"/>
      <c r="BM361" s="24"/>
      <c r="BW361" s="138"/>
      <c r="BX361" s="24"/>
      <c r="CH361" s="138"/>
      <c r="CI361" s="24"/>
      <c r="DE361" s="137"/>
      <c r="DG361" s="24"/>
      <c r="DI361" s="137"/>
      <c r="DK361" s="144"/>
      <c r="DL361" s="137"/>
      <c r="DM361" s="145"/>
    </row>
    <row r="362" spans="2:117" ht="15" customHeight="1">
      <c r="B362" s="136"/>
      <c r="C362" s="24"/>
      <c r="D362" s="24"/>
      <c r="E362" s="24"/>
      <c r="F362" s="24"/>
      <c r="G362" s="24"/>
      <c r="H362" s="24"/>
      <c r="I362" s="24"/>
      <c r="J362" s="24"/>
      <c r="K362" s="24"/>
      <c r="M362" s="137"/>
      <c r="P362" s="138"/>
      <c r="AJ362" s="24"/>
      <c r="AP362" s="139"/>
      <c r="AQ362" s="24"/>
      <c r="AW362" s="138"/>
      <c r="BE362" s="140"/>
      <c r="BF362" s="138"/>
      <c r="BJ362" s="141"/>
      <c r="BK362" s="140"/>
      <c r="BL362" s="138"/>
      <c r="BM362" s="24"/>
      <c r="BW362" s="138"/>
      <c r="BX362" s="24"/>
      <c r="CH362" s="138"/>
      <c r="CI362" s="24"/>
      <c r="DE362" s="137"/>
      <c r="DG362" s="24"/>
      <c r="DI362" s="137"/>
      <c r="DK362" s="144"/>
      <c r="DL362" s="137"/>
      <c r="DM362" s="145"/>
    </row>
    <row r="363" spans="2:117" ht="15" customHeight="1">
      <c r="B363" s="136"/>
      <c r="C363" s="24"/>
      <c r="D363" s="24"/>
      <c r="E363" s="24"/>
      <c r="F363" s="24"/>
      <c r="G363" s="24"/>
      <c r="H363" s="24"/>
      <c r="I363" s="24"/>
      <c r="J363" s="24"/>
      <c r="K363" s="24"/>
      <c r="M363" s="137"/>
      <c r="P363" s="138"/>
      <c r="AJ363" s="24"/>
      <c r="AP363" s="139"/>
      <c r="AQ363" s="24"/>
      <c r="AW363" s="138"/>
      <c r="BE363" s="140"/>
      <c r="BF363" s="138"/>
      <c r="BJ363" s="141"/>
      <c r="BK363" s="140"/>
      <c r="BL363" s="138"/>
      <c r="BM363" s="24"/>
      <c r="BW363" s="138"/>
      <c r="BX363" s="24"/>
      <c r="CH363" s="138"/>
      <c r="CI363" s="24"/>
      <c r="DE363" s="137"/>
      <c r="DG363" s="24"/>
      <c r="DI363" s="137"/>
      <c r="DK363" s="144"/>
      <c r="DL363" s="137"/>
      <c r="DM363" s="145"/>
    </row>
    <row r="364" spans="2:117" ht="15" customHeight="1">
      <c r="B364" s="136"/>
      <c r="C364" s="24"/>
      <c r="D364" s="24"/>
      <c r="E364" s="24"/>
      <c r="F364" s="24"/>
      <c r="G364" s="24"/>
      <c r="H364" s="24"/>
      <c r="I364" s="24"/>
      <c r="J364" s="24"/>
      <c r="K364" s="24"/>
      <c r="M364" s="137"/>
      <c r="P364" s="138"/>
      <c r="AJ364" s="24"/>
      <c r="AP364" s="139"/>
      <c r="AQ364" s="24"/>
      <c r="AW364" s="138"/>
      <c r="BE364" s="140"/>
      <c r="BF364" s="138"/>
      <c r="BJ364" s="141"/>
      <c r="BK364" s="140"/>
      <c r="BL364" s="138"/>
      <c r="BM364" s="24"/>
      <c r="BW364" s="138"/>
      <c r="BX364" s="24"/>
      <c r="CH364" s="138"/>
      <c r="CI364" s="24"/>
      <c r="DE364" s="137"/>
      <c r="DG364" s="24"/>
      <c r="DI364" s="137"/>
      <c r="DK364" s="144"/>
      <c r="DL364" s="137"/>
      <c r="DM364" s="145"/>
    </row>
    <row r="365" spans="2:117" ht="15" customHeight="1">
      <c r="B365" s="136"/>
      <c r="C365" s="24"/>
      <c r="D365" s="24"/>
      <c r="E365" s="24"/>
      <c r="F365" s="24"/>
      <c r="G365" s="24"/>
      <c r="H365" s="24"/>
      <c r="I365" s="24"/>
      <c r="J365" s="24"/>
      <c r="K365" s="24"/>
      <c r="M365" s="137"/>
      <c r="P365" s="138"/>
      <c r="AJ365" s="24"/>
      <c r="AP365" s="139"/>
      <c r="AQ365" s="24"/>
      <c r="AW365" s="138"/>
      <c r="BE365" s="140"/>
      <c r="BF365" s="138"/>
      <c r="BJ365" s="141"/>
      <c r="BK365" s="140"/>
      <c r="BL365" s="138"/>
      <c r="BM365" s="24"/>
      <c r="BW365" s="138"/>
      <c r="BX365" s="24"/>
      <c r="CH365" s="138"/>
      <c r="CI365" s="24"/>
      <c r="DE365" s="137"/>
      <c r="DG365" s="24"/>
      <c r="DI365" s="137"/>
      <c r="DK365" s="144"/>
      <c r="DL365" s="137"/>
      <c r="DM365" s="145"/>
    </row>
    <row r="366" spans="2:117" ht="15" customHeight="1">
      <c r="B366" s="136"/>
      <c r="C366" s="24"/>
      <c r="D366" s="24"/>
      <c r="E366" s="24"/>
      <c r="F366" s="24"/>
      <c r="G366" s="24"/>
      <c r="H366" s="24"/>
      <c r="I366" s="24"/>
      <c r="J366" s="24"/>
      <c r="K366" s="24"/>
      <c r="M366" s="137"/>
      <c r="P366" s="138"/>
      <c r="AJ366" s="24"/>
      <c r="AP366" s="139"/>
      <c r="AQ366" s="24"/>
      <c r="AW366" s="138"/>
      <c r="BE366" s="140"/>
      <c r="BF366" s="138"/>
      <c r="BJ366" s="141"/>
      <c r="BK366" s="140"/>
      <c r="BL366" s="138"/>
      <c r="BM366" s="24"/>
      <c r="BW366" s="138"/>
      <c r="BX366" s="24"/>
      <c r="CH366" s="138"/>
      <c r="CI366" s="24"/>
      <c r="DE366" s="137"/>
      <c r="DG366" s="24"/>
      <c r="DI366" s="137"/>
      <c r="DK366" s="144"/>
      <c r="DL366" s="137"/>
      <c r="DM366" s="145"/>
    </row>
    <row r="367" spans="2:117" ht="15" customHeight="1">
      <c r="B367" s="136"/>
      <c r="C367" s="24"/>
      <c r="D367" s="24"/>
      <c r="E367" s="24"/>
      <c r="F367" s="24"/>
      <c r="G367" s="24"/>
      <c r="H367" s="24"/>
      <c r="I367" s="24"/>
      <c r="J367" s="24"/>
      <c r="K367" s="24"/>
      <c r="M367" s="137"/>
      <c r="P367" s="138"/>
      <c r="AJ367" s="24"/>
      <c r="AP367" s="139"/>
      <c r="AQ367" s="24"/>
      <c r="AW367" s="138"/>
      <c r="BE367" s="140"/>
      <c r="BF367" s="138"/>
      <c r="BJ367" s="141"/>
      <c r="BK367" s="140"/>
      <c r="BL367" s="138"/>
      <c r="BM367" s="24"/>
      <c r="BW367" s="138"/>
      <c r="BX367" s="24"/>
      <c r="CH367" s="138"/>
      <c r="CI367" s="24"/>
      <c r="DE367" s="137"/>
      <c r="DG367" s="24"/>
      <c r="DI367" s="137"/>
      <c r="DK367" s="144"/>
      <c r="DL367" s="137"/>
      <c r="DM367" s="145"/>
    </row>
    <row r="368" spans="2:117" ht="15" customHeight="1">
      <c r="B368" s="136"/>
      <c r="C368" s="24"/>
      <c r="D368" s="24"/>
      <c r="E368" s="24"/>
      <c r="F368" s="24"/>
      <c r="G368" s="24"/>
      <c r="H368" s="24"/>
      <c r="I368" s="24"/>
      <c r="J368" s="24"/>
      <c r="K368" s="24"/>
      <c r="M368" s="137"/>
      <c r="P368" s="138"/>
      <c r="AJ368" s="24"/>
      <c r="AP368" s="139"/>
      <c r="AQ368" s="24"/>
      <c r="AW368" s="138"/>
      <c r="BE368" s="140"/>
      <c r="BF368" s="138"/>
      <c r="BJ368" s="141"/>
      <c r="BK368" s="140"/>
      <c r="BL368" s="138"/>
      <c r="BM368" s="24"/>
      <c r="BW368" s="138"/>
      <c r="BX368" s="24"/>
      <c r="CH368" s="138"/>
      <c r="CI368" s="24"/>
      <c r="DE368" s="137"/>
      <c r="DG368" s="24"/>
      <c r="DI368" s="137"/>
      <c r="DK368" s="144"/>
      <c r="DL368" s="137"/>
      <c r="DM368" s="145"/>
    </row>
    <row r="369" spans="2:117" ht="15" customHeight="1">
      <c r="B369" s="136"/>
      <c r="C369" s="24"/>
      <c r="D369" s="24"/>
      <c r="E369" s="24"/>
      <c r="F369" s="24"/>
      <c r="G369" s="24"/>
      <c r="H369" s="24"/>
      <c r="I369" s="24"/>
      <c r="J369" s="24"/>
      <c r="K369" s="24"/>
      <c r="M369" s="137"/>
      <c r="P369" s="138"/>
      <c r="AJ369" s="24"/>
      <c r="AP369" s="139"/>
      <c r="AQ369" s="24"/>
      <c r="AW369" s="138"/>
      <c r="BE369" s="140"/>
      <c r="BF369" s="138"/>
      <c r="BJ369" s="141"/>
      <c r="BK369" s="140"/>
      <c r="BL369" s="138"/>
      <c r="BM369" s="24"/>
      <c r="BW369" s="138"/>
      <c r="BX369" s="24"/>
      <c r="CH369" s="138"/>
      <c r="CI369" s="24"/>
      <c r="DE369" s="137"/>
      <c r="DG369" s="24"/>
      <c r="DI369" s="137"/>
      <c r="DK369" s="144"/>
      <c r="DL369" s="137"/>
      <c r="DM369" s="145"/>
    </row>
    <row r="370" spans="2:117" ht="15" customHeight="1">
      <c r="B370" s="136"/>
      <c r="C370" s="24"/>
      <c r="D370" s="24"/>
      <c r="E370" s="24"/>
      <c r="F370" s="24"/>
      <c r="G370" s="24"/>
      <c r="H370" s="24"/>
      <c r="I370" s="24"/>
      <c r="J370" s="24"/>
      <c r="K370" s="24"/>
      <c r="M370" s="137"/>
      <c r="P370" s="138"/>
      <c r="AJ370" s="24"/>
      <c r="AP370" s="139"/>
      <c r="AQ370" s="24"/>
      <c r="AW370" s="138"/>
      <c r="BE370" s="140"/>
      <c r="BF370" s="138"/>
      <c r="BJ370" s="141"/>
      <c r="BK370" s="140"/>
      <c r="BL370" s="138"/>
      <c r="BM370" s="24"/>
      <c r="BW370" s="138"/>
      <c r="BX370" s="24"/>
      <c r="CH370" s="138"/>
      <c r="CI370" s="24"/>
      <c r="DE370" s="137"/>
      <c r="DG370" s="24"/>
      <c r="DI370" s="137"/>
      <c r="DK370" s="144"/>
      <c r="DL370" s="137"/>
      <c r="DM370" s="145"/>
    </row>
    <row r="371" spans="2:117" ht="15" customHeight="1">
      <c r="B371" s="136"/>
      <c r="C371" s="24"/>
      <c r="D371" s="24"/>
      <c r="E371" s="24"/>
      <c r="F371" s="24"/>
      <c r="G371" s="24"/>
      <c r="H371" s="24"/>
      <c r="I371" s="24"/>
      <c r="J371" s="24"/>
      <c r="K371" s="24"/>
      <c r="M371" s="137"/>
      <c r="P371" s="138"/>
      <c r="AJ371" s="24"/>
      <c r="AP371" s="139"/>
      <c r="AQ371" s="24"/>
      <c r="AW371" s="138"/>
      <c r="BE371" s="140"/>
      <c r="BF371" s="138"/>
      <c r="BJ371" s="141"/>
      <c r="BK371" s="140"/>
      <c r="BL371" s="138"/>
      <c r="BM371" s="24"/>
      <c r="BW371" s="138"/>
      <c r="BX371" s="24"/>
      <c r="CH371" s="138"/>
      <c r="CI371" s="24"/>
      <c r="DE371" s="137"/>
      <c r="DG371" s="24"/>
      <c r="DI371" s="137"/>
      <c r="DK371" s="144"/>
      <c r="DL371" s="137"/>
      <c r="DM371" s="145"/>
    </row>
    <row r="372" spans="2:117" ht="15" customHeight="1">
      <c r="B372" s="136"/>
      <c r="C372" s="24"/>
      <c r="D372" s="24"/>
      <c r="E372" s="24"/>
      <c r="F372" s="24"/>
      <c r="G372" s="24"/>
      <c r="H372" s="24"/>
      <c r="I372" s="24"/>
      <c r="J372" s="24"/>
      <c r="K372" s="24"/>
      <c r="M372" s="137"/>
      <c r="P372" s="138"/>
      <c r="AJ372" s="24"/>
      <c r="AP372" s="139"/>
      <c r="AQ372" s="24"/>
      <c r="AW372" s="138"/>
      <c r="BE372" s="140"/>
      <c r="BF372" s="138"/>
      <c r="BJ372" s="141"/>
      <c r="BK372" s="140"/>
      <c r="BL372" s="138"/>
      <c r="BM372" s="24"/>
      <c r="BW372" s="138"/>
      <c r="BX372" s="24"/>
      <c r="CH372" s="138"/>
      <c r="CI372" s="24"/>
      <c r="DE372" s="137"/>
      <c r="DG372" s="24"/>
      <c r="DI372" s="137"/>
      <c r="DK372" s="144"/>
      <c r="DL372" s="137"/>
      <c r="DM372" s="145"/>
    </row>
    <row r="373" spans="2:117" ht="15" customHeight="1">
      <c r="B373" s="136"/>
      <c r="C373" s="24"/>
      <c r="D373" s="24"/>
      <c r="E373" s="24"/>
      <c r="F373" s="24"/>
      <c r="G373" s="24"/>
      <c r="H373" s="24"/>
      <c r="I373" s="24"/>
      <c r="J373" s="24"/>
      <c r="K373" s="24"/>
      <c r="M373" s="137"/>
      <c r="P373" s="138"/>
      <c r="AJ373" s="24"/>
      <c r="AP373" s="139"/>
      <c r="AQ373" s="24"/>
      <c r="AW373" s="138"/>
      <c r="BE373" s="140"/>
      <c r="BF373" s="138"/>
      <c r="BJ373" s="141"/>
      <c r="BK373" s="140"/>
      <c r="BL373" s="138"/>
      <c r="BM373" s="24"/>
      <c r="BW373" s="138"/>
      <c r="BX373" s="24"/>
      <c r="CH373" s="138"/>
      <c r="CI373" s="24"/>
      <c r="DE373" s="137"/>
      <c r="DG373" s="24"/>
      <c r="DI373" s="137"/>
      <c r="DK373" s="144"/>
      <c r="DL373" s="137"/>
      <c r="DM373" s="145"/>
    </row>
    <row r="374" spans="2:117" ht="15" customHeight="1">
      <c r="B374" s="136"/>
      <c r="C374" s="24"/>
      <c r="D374" s="24"/>
      <c r="E374" s="24"/>
      <c r="F374" s="24"/>
      <c r="G374" s="24"/>
      <c r="H374" s="24"/>
      <c r="I374" s="24"/>
      <c r="J374" s="24"/>
      <c r="K374" s="24"/>
      <c r="M374" s="137"/>
      <c r="P374" s="138"/>
      <c r="AJ374" s="24"/>
      <c r="AP374" s="139"/>
      <c r="AQ374" s="24"/>
      <c r="AW374" s="138"/>
      <c r="BE374" s="140"/>
      <c r="BF374" s="138"/>
      <c r="BJ374" s="141"/>
      <c r="BK374" s="140"/>
      <c r="BL374" s="138"/>
      <c r="BM374" s="24"/>
      <c r="BW374" s="138"/>
      <c r="BX374" s="24"/>
      <c r="CH374" s="138"/>
      <c r="CI374" s="24"/>
      <c r="DE374" s="137"/>
      <c r="DG374" s="24"/>
      <c r="DI374" s="137"/>
      <c r="DK374" s="144"/>
      <c r="DL374" s="137"/>
      <c r="DM374" s="145"/>
    </row>
    <row r="375" spans="2:117" ht="15" customHeight="1">
      <c r="B375" s="136"/>
      <c r="C375" s="24"/>
      <c r="D375" s="24"/>
      <c r="E375" s="24"/>
      <c r="F375" s="24"/>
      <c r="G375" s="24"/>
      <c r="H375" s="24"/>
      <c r="I375" s="24"/>
      <c r="J375" s="24"/>
      <c r="K375" s="24"/>
      <c r="M375" s="137"/>
      <c r="P375" s="138"/>
      <c r="AJ375" s="24"/>
      <c r="AP375" s="139"/>
      <c r="AQ375" s="24"/>
      <c r="AW375" s="138"/>
      <c r="BE375" s="140"/>
      <c r="BF375" s="138"/>
      <c r="BJ375" s="141"/>
      <c r="BK375" s="140"/>
      <c r="BL375" s="138"/>
      <c r="BM375" s="24"/>
      <c r="BW375" s="138"/>
      <c r="BX375" s="24"/>
      <c r="CH375" s="138"/>
      <c r="CI375" s="24"/>
      <c r="DE375" s="137"/>
      <c r="DG375" s="24"/>
      <c r="DI375" s="137"/>
      <c r="DK375" s="144"/>
      <c r="DL375" s="137"/>
      <c r="DM375" s="145"/>
    </row>
    <row r="376" spans="2:117" ht="15" customHeight="1">
      <c r="B376" s="136"/>
      <c r="C376" s="24"/>
      <c r="D376" s="24"/>
      <c r="E376" s="24"/>
      <c r="F376" s="24"/>
      <c r="G376" s="24"/>
      <c r="H376" s="24"/>
      <c r="I376" s="24"/>
      <c r="J376" s="24"/>
      <c r="K376" s="24"/>
      <c r="M376" s="137"/>
      <c r="P376" s="138"/>
      <c r="AJ376" s="24"/>
      <c r="AP376" s="139"/>
      <c r="AQ376" s="24"/>
      <c r="AW376" s="138"/>
      <c r="BE376" s="140"/>
      <c r="BF376" s="138"/>
      <c r="BJ376" s="141"/>
      <c r="BK376" s="140"/>
      <c r="BL376" s="138"/>
      <c r="BM376" s="24"/>
      <c r="BW376" s="138"/>
      <c r="BX376" s="24"/>
      <c r="CH376" s="138"/>
      <c r="CI376" s="24"/>
      <c r="DE376" s="137"/>
      <c r="DG376" s="24"/>
      <c r="DI376" s="137"/>
      <c r="DK376" s="144"/>
      <c r="DL376" s="137"/>
      <c r="DM376" s="145"/>
    </row>
    <row r="377" spans="2:117" ht="15" customHeight="1">
      <c r="B377" s="136"/>
      <c r="C377" s="24"/>
      <c r="D377" s="24"/>
      <c r="E377" s="24"/>
      <c r="F377" s="24"/>
      <c r="G377" s="24"/>
      <c r="H377" s="24"/>
      <c r="I377" s="24"/>
      <c r="J377" s="24"/>
      <c r="K377" s="24"/>
      <c r="M377" s="137"/>
      <c r="P377" s="138"/>
      <c r="AJ377" s="24"/>
      <c r="AP377" s="139"/>
      <c r="AQ377" s="24"/>
      <c r="AW377" s="138"/>
      <c r="BE377" s="140"/>
      <c r="BF377" s="138"/>
      <c r="BJ377" s="141"/>
      <c r="BK377" s="140"/>
      <c r="BL377" s="138"/>
      <c r="BM377" s="24"/>
      <c r="BW377" s="138"/>
      <c r="BX377" s="24"/>
      <c r="CH377" s="138"/>
      <c r="CI377" s="24"/>
      <c r="DE377" s="137"/>
      <c r="DG377" s="24"/>
      <c r="DI377" s="137"/>
      <c r="DK377" s="144"/>
      <c r="DL377" s="137"/>
      <c r="DM377" s="145"/>
    </row>
    <row r="378" spans="2:117" ht="15" customHeight="1">
      <c r="B378" s="136"/>
      <c r="C378" s="24"/>
      <c r="D378" s="24"/>
      <c r="E378" s="24"/>
      <c r="F378" s="24"/>
      <c r="G378" s="24"/>
      <c r="H378" s="24"/>
      <c r="I378" s="24"/>
      <c r="J378" s="24"/>
      <c r="K378" s="24"/>
      <c r="M378" s="137"/>
      <c r="P378" s="138"/>
      <c r="AJ378" s="24"/>
      <c r="AP378" s="139"/>
      <c r="AQ378" s="24"/>
      <c r="AW378" s="138"/>
      <c r="BE378" s="140"/>
      <c r="BF378" s="138"/>
      <c r="BJ378" s="141"/>
      <c r="BK378" s="140"/>
      <c r="BL378" s="138"/>
      <c r="BM378" s="24"/>
      <c r="BW378" s="138"/>
      <c r="BX378" s="24"/>
      <c r="CH378" s="138"/>
      <c r="CI378" s="24"/>
      <c r="DE378" s="137"/>
      <c r="DG378" s="24"/>
      <c r="DI378" s="137"/>
      <c r="DK378" s="144"/>
      <c r="DL378" s="137"/>
      <c r="DM378" s="145"/>
    </row>
    <row r="379" spans="2:117" ht="15" customHeight="1">
      <c r="B379" s="136"/>
      <c r="C379" s="24"/>
      <c r="D379" s="24"/>
      <c r="E379" s="24"/>
      <c r="F379" s="24"/>
      <c r="G379" s="24"/>
      <c r="H379" s="24"/>
      <c r="I379" s="24"/>
      <c r="J379" s="24"/>
      <c r="K379" s="24"/>
      <c r="M379" s="137"/>
      <c r="P379" s="138"/>
      <c r="AJ379" s="24"/>
      <c r="AP379" s="139"/>
      <c r="AQ379" s="24"/>
      <c r="AW379" s="138"/>
      <c r="BE379" s="140"/>
      <c r="BF379" s="138"/>
      <c r="BJ379" s="141"/>
      <c r="BK379" s="140"/>
      <c r="BL379" s="138"/>
      <c r="BM379" s="24"/>
      <c r="BW379" s="138"/>
      <c r="BX379" s="24"/>
      <c r="CH379" s="138"/>
      <c r="CI379" s="24"/>
      <c r="DE379" s="137"/>
      <c r="DG379" s="24"/>
      <c r="DI379" s="137"/>
      <c r="DK379" s="144"/>
      <c r="DL379" s="137"/>
      <c r="DM379" s="145"/>
    </row>
    <row r="380" spans="2:117" ht="15" customHeight="1">
      <c r="B380" s="136"/>
      <c r="C380" s="24"/>
      <c r="D380" s="24"/>
      <c r="E380" s="24"/>
      <c r="F380" s="24"/>
      <c r="G380" s="24"/>
      <c r="H380" s="24"/>
      <c r="I380" s="24"/>
      <c r="J380" s="24"/>
      <c r="K380" s="24"/>
      <c r="M380" s="137"/>
      <c r="P380" s="138"/>
      <c r="AJ380" s="24"/>
      <c r="AP380" s="139"/>
      <c r="AQ380" s="24"/>
      <c r="AW380" s="138"/>
      <c r="BE380" s="140"/>
      <c r="BF380" s="138"/>
      <c r="BJ380" s="141"/>
      <c r="BK380" s="140"/>
      <c r="BL380" s="138"/>
      <c r="BM380" s="24"/>
      <c r="BW380" s="138"/>
      <c r="BX380" s="24"/>
      <c r="CH380" s="138"/>
      <c r="CI380" s="24"/>
      <c r="DE380" s="137"/>
      <c r="DG380" s="24"/>
      <c r="DI380" s="137"/>
      <c r="DK380" s="144"/>
      <c r="DL380" s="137"/>
      <c r="DM380" s="145"/>
    </row>
    <row r="381" spans="2:117" ht="15" customHeight="1">
      <c r="B381" s="136"/>
      <c r="C381" s="24"/>
      <c r="D381" s="24"/>
      <c r="E381" s="24"/>
      <c r="F381" s="24"/>
      <c r="G381" s="24"/>
      <c r="H381" s="24"/>
      <c r="I381" s="24"/>
      <c r="J381" s="24"/>
      <c r="K381" s="24"/>
      <c r="M381" s="137"/>
      <c r="P381" s="138"/>
      <c r="AJ381" s="24"/>
      <c r="AP381" s="139"/>
      <c r="AQ381" s="24"/>
      <c r="AW381" s="138"/>
      <c r="BE381" s="140"/>
      <c r="BF381" s="138"/>
      <c r="BJ381" s="141"/>
      <c r="BK381" s="140"/>
      <c r="BL381" s="138"/>
      <c r="BM381" s="24"/>
      <c r="BW381" s="138"/>
      <c r="BX381" s="24"/>
      <c r="CH381" s="138"/>
      <c r="CI381" s="24"/>
      <c r="DE381" s="137"/>
      <c r="DG381" s="24"/>
      <c r="DI381" s="137"/>
      <c r="DK381" s="144"/>
      <c r="DL381" s="137"/>
      <c r="DM381" s="145"/>
    </row>
    <row r="382" spans="2:117" ht="15" customHeight="1">
      <c r="B382" s="136"/>
      <c r="C382" s="24"/>
      <c r="D382" s="24"/>
      <c r="E382" s="24"/>
      <c r="F382" s="24"/>
      <c r="G382" s="24"/>
      <c r="H382" s="24"/>
      <c r="I382" s="24"/>
      <c r="J382" s="24"/>
      <c r="K382" s="24"/>
      <c r="M382" s="137"/>
      <c r="P382" s="138"/>
      <c r="AJ382" s="24"/>
      <c r="AP382" s="139"/>
      <c r="AQ382" s="24"/>
      <c r="AW382" s="138"/>
      <c r="BE382" s="140"/>
      <c r="BF382" s="138"/>
      <c r="BJ382" s="141"/>
      <c r="BK382" s="140"/>
      <c r="BL382" s="138"/>
      <c r="BM382" s="24"/>
      <c r="BW382" s="138"/>
      <c r="BX382" s="24"/>
      <c r="CH382" s="138"/>
      <c r="CI382" s="24"/>
      <c r="DE382" s="137"/>
      <c r="DG382" s="24"/>
      <c r="DI382" s="137"/>
      <c r="DK382" s="144"/>
      <c r="DL382" s="137"/>
      <c r="DM382" s="145"/>
    </row>
    <row r="383" spans="2:117" ht="15" customHeight="1">
      <c r="B383" s="136"/>
      <c r="C383" s="24"/>
      <c r="D383" s="24"/>
      <c r="E383" s="24"/>
      <c r="F383" s="24"/>
      <c r="G383" s="24"/>
      <c r="H383" s="24"/>
      <c r="I383" s="24"/>
      <c r="J383" s="24"/>
      <c r="K383" s="24"/>
      <c r="M383" s="137"/>
      <c r="P383" s="138"/>
      <c r="AJ383" s="24"/>
      <c r="AP383" s="139"/>
      <c r="AQ383" s="24"/>
      <c r="AW383" s="138"/>
      <c r="BE383" s="140"/>
      <c r="BF383" s="138"/>
      <c r="BJ383" s="141"/>
      <c r="BK383" s="140"/>
      <c r="BL383" s="138"/>
      <c r="BM383" s="24"/>
      <c r="BW383" s="138"/>
      <c r="BX383" s="24"/>
      <c r="CH383" s="138"/>
      <c r="CI383" s="24"/>
      <c r="DE383" s="137"/>
      <c r="DG383" s="24"/>
      <c r="DI383" s="137"/>
      <c r="DK383" s="144"/>
      <c r="DL383" s="137"/>
      <c r="DM383" s="145"/>
    </row>
    <row r="384" spans="2:117" ht="15" customHeight="1">
      <c r="B384" s="136"/>
      <c r="C384" s="24"/>
      <c r="D384" s="24"/>
      <c r="E384" s="24"/>
      <c r="F384" s="24"/>
      <c r="G384" s="24"/>
      <c r="H384" s="24"/>
      <c r="I384" s="24"/>
      <c r="J384" s="24"/>
      <c r="K384" s="24"/>
      <c r="M384" s="137"/>
      <c r="P384" s="138"/>
      <c r="AJ384" s="24"/>
      <c r="AP384" s="139"/>
      <c r="AQ384" s="24"/>
      <c r="AW384" s="138"/>
      <c r="BE384" s="140"/>
      <c r="BF384" s="138"/>
      <c r="BJ384" s="141"/>
      <c r="BK384" s="140"/>
      <c r="BL384" s="138"/>
      <c r="BM384" s="24"/>
      <c r="BW384" s="138"/>
      <c r="BX384" s="24"/>
      <c r="CH384" s="138"/>
      <c r="CI384" s="24"/>
      <c r="DE384" s="137"/>
      <c r="DG384" s="24"/>
      <c r="DI384" s="137"/>
      <c r="DK384" s="144"/>
      <c r="DL384" s="137"/>
      <c r="DM384" s="145"/>
    </row>
    <row r="385" spans="2:117" ht="15" customHeight="1">
      <c r="B385" s="136"/>
      <c r="C385" s="24"/>
      <c r="D385" s="24"/>
      <c r="E385" s="24"/>
      <c r="F385" s="24"/>
      <c r="G385" s="24"/>
      <c r="H385" s="24"/>
      <c r="I385" s="24"/>
      <c r="J385" s="24"/>
      <c r="K385" s="24"/>
      <c r="M385" s="137"/>
      <c r="P385" s="138"/>
      <c r="AJ385" s="24"/>
      <c r="AP385" s="139"/>
      <c r="AQ385" s="24"/>
      <c r="AW385" s="138"/>
      <c r="BE385" s="140"/>
      <c r="BF385" s="138"/>
      <c r="BJ385" s="141"/>
      <c r="BK385" s="140"/>
      <c r="BL385" s="138"/>
      <c r="BM385" s="24"/>
      <c r="BW385" s="138"/>
      <c r="BX385" s="24"/>
      <c r="CH385" s="138"/>
      <c r="CI385" s="24"/>
      <c r="DE385" s="137"/>
      <c r="DG385" s="24"/>
      <c r="DI385" s="137"/>
      <c r="DK385" s="144"/>
      <c r="DL385" s="137"/>
      <c r="DM385" s="145"/>
    </row>
    <row r="386" spans="2:117" ht="15" customHeight="1">
      <c r="B386" s="136"/>
      <c r="C386" s="24"/>
      <c r="D386" s="24"/>
      <c r="E386" s="24"/>
      <c r="F386" s="24"/>
      <c r="G386" s="24"/>
      <c r="H386" s="24"/>
      <c r="I386" s="24"/>
      <c r="J386" s="24"/>
      <c r="K386" s="24"/>
      <c r="M386" s="137"/>
      <c r="P386" s="138"/>
      <c r="AJ386" s="24"/>
      <c r="AP386" s="139"/>
      <c r="AQ386" s="24"/>
      <c r="AW386" s="138"/>
      <c r="BE386" s="140"/>
      <c r="BF386" s="138"/>
      <c r="BJ386" s="141"/>
      <c r="BK386" s="140"/>
      <c r="BL386" s="138"/>
      <c r="BM386" s="24"/>
      <c r="BW386" s="138"/>
      <c r="BX386" s="24"/>
      <c r="CH386" s="138"/>
      <c r="CI386" s="24"/>
      <c r="DE386" s="137"/>
      <c r="DG386" s="24"/>
      <c r="DI386" s="137"/>
      <c r="DK386" s="144"/>
      <c r="DL386" s="137"/>
      <c r="DM386" s="145"/>
    </row>
    <row r="387" spans="2:117" ht="15" customHeight="1">
      <c r="B387" s="136"/>
      <c r="C387" s="24"/>
      <c r="D387" s="24"/>
      <c r="E387" s="24"/>
      <c r="F387" s="24"/>
      <c r="G387" s="24"/>
      <c r="H387" s="24"/>
      <c r="I387" s="24"/>
      <c r="J387" s="24"/>
      <c r="K387" s="24"/>
      <c r="M387" s="137"/>
      <c r="P387" s="138"/>
      <c r="AJ387" s="24"/>
      <c r="AP387" s="139"/>
      <c r="AQ387" s="24"/>
      <c r="AW387" s="138"/>
      <c r="BE387" s="140"/>
      <c r="BF387" s="138"/>
      <c r="BJ387" s="141"/>
      <c r="BK387" s="140"/>
      <c r="BL387" s="138"/>
      <c r="BM387" s="24"/>
      <c r="BW387" s="138"/>
      <c r="BX387" s="24"/>
      <c r="CH387" s="138"/>
      <c r="CI387" s="24"/>
      <c r="DE387" s="137"/>
      <c r="DG387" s="24"/>
      <c r="DI387" s="137"/>
      <c r="DK387" s="144"/>
      <c r="DL387" s="137"/>
      <c r="DM387" s="145"/>
    </row>
    <row r="388" spans="2:117" ht="15" customHeight="1">
      <c r="B388" s="136"/>
      <c r="C388" s="24"/>
      <c r="D388" s="24"/>
      <c r="E388" s="24"/>
      <c r="F388" s="24"/>
      <c r="G388" s="24"/>
      <c r="H388" s="24"/>
      <c r="I388" s="24"/>
      <c r="J388" s="24"/>
      <c r="K388" s="24"/>
      <c r="M388" s="137"/>
      <c r="P388" s="138"/>
      <c r="AJ388" s="24"/>
      <c r="AP388" s="139"/>
      <c r="AQ388" s="24"/>
      <c r="AW388" s="138"/>
      <c r="BE388" s="140"/>
      <c r="BF388" s="138"/>
      <c r="BJ388" s="141"/>
      <c r="BK388" s="140"/>
      <c r="BL388" s="138"/>
      <c r="BM388" s="24"/>
      <c r="BW388" s="138"/>
      <c r="BX388" s="24"/>
      <c r="CH388" s="138"/>
      <c r="CI388" s="24"/>
      <c r="DE388" s="137"/>
      <c r="DG388" s="24"/>
      <c r="DI388" s="137"/>
      <c r="DK388" s="144"/>
      <c r="DL388" s="137"/>
      <c r="DM388" s="145"/>
    </row>
    <row r="389" spans="2:117" ht="15" customHeight="1">
      <c r="B389" s="136"/>
      <c r="C389" s="24"/>
      <c r="D389" s="24"/>
      <c r="E389" s="24"/>
      <c r="F389" s="24"/>
      <c r="G389" s="24"/>
      <c r="H389" s="24"/>
      <c r="I389" s="24"/>
      <c r="J389" s="24"/>
      <c r="K389" s="24"/>
      <c r="M389" s="137"/>
      <c r="P389" s="138"/>
      <c r="AJ389" s="24"/>
      <c r="AP389" s="139"/>
      <c r="AQ389" s="24"/>
      <c r="AW389" s="138"/>
      <c r="BE389" s="140"/>
      <c r="BF389" s="138"/>
      <c r="BJ389" s="141"/>
      <c r="BK389" s="140"/>
      <c r="BL389" s="138"/>
      <c r="BM389" s="24"/>
      <c r="BW389" s="138"/>
      <c r="BX389" s="24"/>
      <c r="CH389" s="138"/>
      <c r="CI389" s="24"/>
      <c r="DE389" s="137"/>
      <c r="DG389" s="24"/>
      <c r="DI389" s="137"/>
      <c r="DK389" s="144"/>
      <c r="DL389" s="137"/>
      <c r="DM389" s="145"/>
    </row>
    <row r="390" spans="2:117" ht="15" customHeight="1">
      <c r="B390" s="136"/>
      <c r="C390" s="24"/>
      <c r="D390" s="24"/>
      <c r="E390" s="24"/>
      <c r="F390" s="24"/>
      <c r="G390" s="24"/>
      <c r="H390" s="24"/>
      <c r="I390" s="24"/>
      <c r="J390" s="24"/>
      <c r="K390" s="24"/>
      <c r="M390" s="137"/>
      <c r="P390" s="138"/>
      <c r="AJ390" s="24"/>
      <c r="AP390" s="139"/>
      <c r="AQ390" s="24"/>
      <c r="AW390" s="138"/>
      <c r="BE390" s="140"/>
      <c r="BF390" s="138"/>
      <c r="BJ390" s="141"/>
      <c r="BK390" s="140"/>
      <c r="BL390" s="138"/>
      <c r="BM390" s="24"/>
      <c r="BW390" s="138"/>
      <c r="BX390" s="24"/>
      <c r="CH390" s="138"/>
      <c r="CI390" s="24"/>
      <c r="DE390" s="137"/>
      <c r="DG390" s="24"/>
      <c r="DI390" s="137"/>
      <c r="DK390" s="144"/>
      <c r="DL390" s="137"/>
      <c r="DM390" s="145"/>
    </row>
    <row r="391" spans="2:117" ht="15" customHeight="1">
      <c r="B391" s="136"/>
      <c r="C391" s="24"/>
      <c r="D391" s="24"/>
      <c r="E391" s="24"/>
      <c r="F391" s="24"/>
      <c r="G391" s="24"/>
      <c r="H391" s="24"/>
      <c r="I391" s="24"/>
      <c r="J391" s="24"/>
      <c r="K391" s="24"/>
      <c r="M391" s="137"/>
      <c r="P391" s="138"/>
      <c r="AJ391" s="24"/>
      <c r="AP391" s="139"/>
      <c r="AQ391" s="24"/>
      <c r="AW391" s="138"/>
      <c r="BE391" s="140"/>
      <c r="BF391" s="138"/>
      <c r="BJ391" s="141"/>
      <c r="BK391" s="140"/>
      <c r="BL391" s="138"/>
      <c r="BM391" s="24"/>
      <c r="BW391" s="138"/>
      <c r="BX391" s="24"/>
      <c r="CH391" s="138"/>
      <c r="CI391" s="24"/>
      <c r="DE391" s="137"/>
      <c r="DG391" s="24"/>
      <c r="DI391" s="137"/>
      <c r="DK391" s="144"/>
      <c r="DL391" s="137"/>
      <c r="DM391" s="145"/>
    </row>
    <row r="392" spans="2:117" ht="15" customHeight="1">
      <c r="B392" s="136"/>
      <c r="C392" s="24"/>
      <c r="D392" s="24"/>
      <c r="E392" s="24"/>
      <c r="F392" s="24"/>
      <c r="G392" s="24"/>
      <c r="H392" s="24"/>
      <c r="I392" s="24"/>
      <c r="J392" s="24"/>
      <c r="K392" s="24"/>
      <c r="M392" s="137"/>
      <c r="P392" s="138"/>
      <c r="AJ392" s="24"/>
      <c r="AP392" s="139"/>
      <c r="AQ392" s="24"/>
      <c r="AW392" s="138"/>
      <c r="BE392" s="140"/>
      <c r="BF392" s="138"/>
      <c r="BJ392" s="141"/>
      <c r="BK392" s="140"/>
      <c r="BL392" s="138"/>
      <c r="BM392" s="24"/>
      <c r="BW392" s="138"/>
      <c r="BX392" s="24"/>
      <c r="CH392" s="138"/>
      <c r="CI392" s="24"/>
      <c r="DE392" s="137"/>
      <c r="DG392" s="24"/>
      <c r="DI392" s="137"/>
      <c r="DK392" s="144"/>
      <c r="DL392" s="137"/>
      <c r="DM392" s="145"/>
    </row>
    <row r="393" spans="2:117" ht="15" customHeight="1">
      <c r="B393" s="136"/>
      <c r="C393" s="24"/>
      <c r="D393" s="24"/>
      <c r="E393" s="24"/>
      <c r="F393" s="24"/>
      <c r="G393" s="24"/>
      <c r="H393" s="24"/>
      <c r="I393" s="24"/>
      <c r="J393" s="24"/>
      <c r="K393" s="24"/>
      <c r="M393" s="137"/>
      <c r="P393" s="138"/>
      <c r="AJ393" s="24"/>
      <c r="AP393" s="139"/>
      <c r="AQ393" s="24"/>
      <c r="AW393" s="138"/>
      <c r="BE393" s="140"/>
      <c r="BF393" s="138"/>
      <c r="BJ393" s="141"/>
      <c r="BK393" s="140"/>
      <c r="BL393" s="138"/>
      <c r="BM393" s="24"/>
      <c r="BW393" s="138"/>
      <c r="BX393" s="24"/>
      <c r="CH393" s="138"/>
      <c r="CI393" s="24"/>
      <c r="DE393" s="137"/>
      <c r="DG393" s="24"/>
      <c r="DI393" s="137"/>
      <c r="DK393" s="144"/>
      <c r="DL393" s="137"/>
      <c r="DM393" s="145"/>
    </row>
    <row r="394" spans="2:117" ht="15" customHeight="1">
      <c r="B394" s="136"/>
      <c r="C394" s="24"/>
      <c r="D394" s="24"/>
      <c r="E394" s="24"/>
      <c r="F394" s="24"/>
      <c r="G394" s="24"/>
      <c r="H394" s="24"/>
      <c r="I394" s="24"/>
      <c r="J394" s="24"/>
      <c r="K394" s="24"/>
      <c r="M394" s="137"/>
      <c r="P394" s="138"/>
      <c r="AJ394" s="24"/>
      <c r="AP394" s="139"/>
      <c r="AQ394" s="24"/>
      <c r="AW394" s="138"/>
      <c r="BE394" s="140"/>
      <c r="BF394" s="138"/>
      <c r="BJ394" s="141"/>
      <c r="BK394" s="140"/>
      <c r="BL394" s="138"/>
      <c r="BM394" s="24"/>
      <c r="BW394" s="138"/>
      <c r="BX394" s="24"/>
      <c r="CH394" s="138"/>
      <c r="CI394" s="24"/>
      <c r="DE394" s="137"/>
      <c r="DG394" s="24"/>
      <c r="DI394" s="137"/>
      <c r="DK394" s="144"/>
      <c r="DL394" s="137"/>
      <c r="DM394" s="145"/>
    </row>
    <row r="395" spans="2:117" ht="15" customHeight="1">
      <c r="B395" s="136"/>
      <c r="C395" s="24"/>
      <c r="D395" s="24"/>
      <c r="E395" s="24"/>
      <c r="F395" s="24"/>
      <c r="G395" s="24"/>
      <c r="H395" s="24"/>
      <c r="I395" s="24"/>
      <c r="J395" s="24"/>
      <c r="K395" s="24"/>
      <c r="M395" s="137"/>
      <c r="P395" s="138"/>
      <c r="AJ395" s="24"/>
      <c r="AP395" s="139"/>
      <c r="AQ395" s="24"/>
      <c r="AW395" s="138"/>
      <c r="BE395" s="140"/>
      <c r="BF395" s="138"/>
      <c r="BJ395" s="141"/>
      <c r="BK395" s="140"/>
      <c r="BL395" s="138"/>
      <c r="BM395" s="24"/>
      <c r="BW395" s="138"/>
      <c r="BX395" s="24"/>
      <c r="CH395" s="138"/>
      <c r="CI395" s="24"/>
      <c r="DE395" s="137"/>
      <c r="DG395" s="24"/>
      <c r="DI395" s="137"/>
      <c r="DK395" s="144"/>
      <c r="DL395" s="137"/>
      <c r="DM395" s="145"/>
    </row>
    <row r="396" spans="2:117" ht="15" customHeight="1">
      <c r="B396" s="136"/>
      <c r="C396" s="24"/>
      <c r="D396" s="24"/>
      <c r="E396" s="24"/>
      <c r="F396" s="24"/>
      <c r="G396" s="24"/>
      <c r="H396" s="24"/>
      <c r="I396" s="24"/>
      <c r="J396" s="24"/>
      <c r="K396" s="24"/>
      <c r="M396" s="137"/>
      <c r="P396" s="138"/>
      <c r="AJ396" s="24"/>
      <c r="AP396" s="139"/>
      <c r="AQ396" s="24"/>
      <c r="AW396" s="138"/>
      <c r="BE396" s="140"/>
      <c r="BF396" s="138"/>
      <c r="BJ396" s="141"/>
      <c r="BK396" s="140"/>
      <c r="BL396" s="138"/>
      <c r="BM396" s="24"/>
      <c r="BW396" s="138"/>
      <c r="BX396" s="24"/>
      <c r="CH396" s="138"/>
      <c r="CI396" s="24"/>
      <c r="DE396" s="137"/>
      <c r="DG396" s="24"/>
      <c r="DI396" s="137"/>
      <c r="DK396" s="144"/>
      <c r="DL396" s="137"/>
      <c r="DM396" s="145"/>
    </row>
    <row r="397" spans="2:117" ht="15" customHeight="1">
      <c r="B397" s="136"/>
      <c r="C397" s="24"/>
      <c r="D397" s="24"/>
      <c r="E397" s="24"/>
      <c r="F397" s="24"/>
      <c r="G397" s="24"/>
      <c r="H397" s="24"/>
      <c r="I397" s="24"/>
      <c r="J397" s="24"/>
      <c r="K397" s="24"/>
      <c r="M397" s="137"/>
      <c r="P397" s="138"/>
      <c r="AJ397" s="24"/>
      <c r="AP397" s="139"/>
      <c r="AQ397" s="24"/>
      <c r="AW397" s="138"/>
      <c r="BE397" s="140"/>
      <c r="BF397" s="138"/>
      <c r="BJ397" s="141"/>
      <c r="BK397" s="140"/>
      <c r="BL397" s="138"/>
      <c r="BM397" s="24"/>
      <c r="BW397" s="138"/>
      <c r="BX397" s="24"/>
      <c r="CH397" s="138"/>
      <c r="CI397" s="24"/>
      <c r="DE397" s="137"/>
      <c r="DG397" s="24"/>
      <c r="DI397" s="137"/>
      <c r="DK397" s="144"/>
      <c r="DL397" s="137"/>
      <c r="DM397" s="145"/>
    </row>
    <row r="398" spans="2:117" ht="15" customHeight="1">
      <c r="B398" s="136"/>
      <c r="C398" s="24"/>
      <c r="D398" s="24"/>
      <c r="E398" s="24"/>
      <c r="F398" s="24"/>
      <c r="G398" s="24"/>
      <c r="H398" s="24"/>
      <c r="I398" s="24"/>
      <c r="J398" s="24"/>
      <c r="K398" s="24"/>
      <c r="M398" s="137"/>
      <c r="P398" s="138"/>
      <c r="AJ398" s="24"/>
      <c r="AP398" s="139"/>
      <c r="AQ398" s="24"/>
      <c r="AW398" s="138"/>
      <c r="BE398" s="140"/>
      <c r="BF398" s="138"/>
      <c r="BJ398" s="141"/>
      <c r="BK398" s="140"/>
      <c r="BL398" s="138"/>
      <c r="BM398" s="24"/>
      <c r="BW398" s="138"/>
      <c r="BX398" s="24"/>
      <c r="CH398" s="138"/>
      <c r="CI398" s="24"/>
      <c r="DE398" s="137"/>
      <c r="DG398" s="24"/>
      <c r="DI398" s="137"/>
      <c r="DK398" s="144"/>
      <c r="DL398" s="137"/>
      <c r="DM398" s="145"/>
    </row>
    <row r="399" spans="2:117" ht="15" customHeight="1">
      <c r="B399" s="136"/>
      <c r="C399" s="24"/>
      <c r="D399" s="24"/>
      <c r="E399" s="24"/>
      <c r="F399" s="24"/>
      <c r="G399" s="24"/>
      <c r="H399" s="24"/>
      <c r="I399" s="24"/>
      <c r="J399" s="24"/>
      <c r="K399" s="24"/>
      <c r="M399" s="137"/>
      <c r="P399" s="138"/>
      <c r="AJ399" s="24"/>
      <c r="AP399" s="139"/>
      <c r="AQ399" s="24"/>
      <c r="AW399" s="138"/>
      <c r="BE399" s="140"/>
      <c r="BF399" s="138"/>
      <c r="BJ399" s="141"/>
      <c r="BK399" s="140"/>
      <c r="BL399" s="138"/>
      <c r="BM399" s="24"/>
      <c r="BW399" s="138"/>
      <c r="BX399" s="24"/>
      <c r="CH399" s="138"/>
      <c r="CI399" s="24"/>
      <c r="DE399" s="137"/>
      <c r="DG399" s="24"/>
      <c r="DI399" s="137"/>
      <c r="DK399" s="144"/>
      <c r="DL399" s="137"/>
      <c r="DM399" s="145"/>
    </row>
    <row r="400" spans="2:117" ht="15" customHeight="1">
      <c r="B400" s="136"/>
      <c r="C400" s="24"/>
      <c r="D400" s="24"/>
      <c r="E400" s="24"/>
      <c r="F400" s="24"/>
      <c r="G400" s="24"/>
      <c r="H400" s="24"/>
      <c r="I400" s="24"/>
      <c r="J400" s="24"/>
      <c r="K400" s="24"/>
      <c r="M400" s="137"/>
      <c r="P400" s="138"/>
      <c r="AJ400" s="24"/>
      <c r="AP400" s="139"/>
      <c r="AQ400" s="24"/>
      <c r="AW400" s="138"/>
      <c r="BE400" s="140"/>
      <c r="BF400" s="138"/>
      <c r="BJ400" s="141"/>
      <c r="BK400" s="140"/>
      <c r="BL400" s="138"/>
      <c r="BM400" s="24"/>
      <c r="BW400" s="138"/>
      <c r="BX400" s="24"/>
      <c r="CH400" s="138"/>
      <c r="CI400" s="24"/>
      <c r="DE400" s="137"/>
      <c r="DG400" s="24"/>
      <c r="DI400" s="137"/>
      <c r="DK400" s="144"/>
      <c r="DL400" s="137"/>
      <c r="DM400" s="145"/>
    </row>
    <row r="401" spans="2:117" ht="15" customHeight="1">
      <c r="B401" s="136"/>
      <c r="C401" s="24"/>
      <c r="D401" s="24"/>
      <c r="E401" s="24"/>
      <c r="F401" s="24"/>
      <c r="G401" s="24"/>
      <c r="H401" s="24"/>
      <c r="I401" s="24"/>
      <c r="J401" s="24"/>
      <c r="K401" s="24"/>
      <c r="M401" s="137"/>
      <c r="P401" s="138"/>
      <c r="AJ401" s="24"/>
      <c r="AP401" s="139"/>
      <c r="AQ401" s="24"/>
      <c r="AW401" s="138"/>
      <c r="BE401" s="140"/>
      <c r="BF401" s="138"/>
      <c r="BJ401" s="141"/>
      <c r="BK401" s="140"/>
      <c r="BL401" s="138"/>
      <c r="BM401" s="24"/>
      <c r="BW401" s="138"/>
      <c r="BX401" s="24"/>
      <c r="CH401" s="138"/>
      <c r="CI401" s="24"/>
      <c r="DE401" s="137"/>
      <c r="DG401" s="24"/>
      <c r="DI401" s="137"/>
      <c r="DK401" s="144"/>
      <c r="DL401" s="137"/>
      <c r="DM401" s="145"/>
    </row>
    <row r="402" spans="2:117" ht="15" customHeight="1">
      <c r="B402" s="136"/>
      <c r="C402" s="24"/>
      <c r="D402" s="24"/>
      <c r="E402" s="24"/>
      <c r="F402" s="24"/>
      <c r="G402" s="24"/>
      <c r="H402" s="24"/>
      <c r="I402" s="24"/>
      <c r="J402" s="24"/>
      <c r="K402" s="24"/>
      <c r="M402" s="137"/>
      <c r="P402" s="138"/>
      <c r="AJ402" s="24"/>
      <c r="AP402" s="139"/>
      <c r="AQ402" s="24"/>
      <c r="AW402" s="138"/>
      <c r="BE402" s="140"/>
      <c r="BF402" s="138"/>
      <c r="BJ402" s="141"/>
      <c r="BK402" s="140"/>
      <c r="BL402" s="138"/>
      <c r="BM402" s="24"/>
      <c r="BW402" s="138"/>
      <c r="BX402" s="24"/>
      <c r="CH402" s="138"/>
      <c r="CI402" s="24"/>
      <c r="DE402" s="137"/>
      <c r="DG402" s="24"/>
      <c r="DI402" s="137"/>
      <c r="DK402" s="144"/>
      <c r="DL402" s="137"/>
      <c r="DM402" s="145"/>
    </row>
    <row r="403" spans="2:117" ht="15" customHeight="1">
      <c r="B403" s="136"/>
      <c r="C403" s="24"/>
      <c r="D403" s="24"/>
      <c r="E403" s="24"/>
      <c r="F403" s="24"/>
      <c r="G403" s="24"/>
      <c r="H403" s="24"/>
      <c r="I403" s="24"/>
      <c r="J403" s="24"/>
      <c r="K403" s="24"/>
      <c r="M403" s="137"/>
      <c r="P403" s="138"/>
      <c r="AJ403" s="24"/>
      <c r="AP403" s="139"/>
      <c r="AQ403" s="24"/>
      <c r="AW403" s="138"/>
      <c r="BE403" s="140"/>
      <c r="BF403" s="138"/>
      <c r="BJ403" s="141"/>
      <c r="BK403" s="140"/>
      <c r="BL403" s="138"/>
      <c r="BM403" s="24"/>
      <c r="BW403" s="138"/>
      <c r="BX403" s="24"/>
      <c r="CH403" s="138"/>
      <c r="CI403" s="24"/>
      <c r="DE403" s="137"/>
      <c r="DG403" s="24"/>
      <c r="DI403" s="137"/>
      <c r="DK403" s="144"/>
      <c r="DL403" s="137"/>
      <c r="DM403" s="145"/>
    </row>
    <row r="404" spans="2:117" ht="15" customHeight="1">
      <c r="B404" s="136"/>
      <c r="C404" s="24"/>
      <c r="D404" s="24"/>
      <c r="E404" s="24"/>
      <c r="F404" s="24"/>
      <c r="G404" s="24"/>
      <c r="H404" s="24"/>
      <c r="I404" s="24"/>
      <c r="J404" s="24"/>
      <c r="K404" s="24"/>
      <c r="M404" s="137"/>
      <c r="P404" s="138"/>
      <c r="AJ404" s="24"/>
      <c r="AP404" s="139"/>
      <c r="AQ404" s="24"/>
      <c r="AW404" s="138"/>
      <c r="BE404" s="140"/>
      <c r="BF404" s="138"/>
      <c r="BJ404" s="141"/>
      <c r="BK404" s="140"/>
      <c r="BL404" s="138"/>
      <c r="BM404" s="24"/>
      <c r="BW404" s="138"/>
      <c r="BX404" s="24"/>
      <c r="CH404" s="138"/>
      <c r="CI404" s="24"/>
      <c r="DE404" s="137"/>
      <c r="DG404" s="24"/>
      <c r="DI404" s="137"/>
      <c r="DK404" s="144"/>
      <c r="DL404" s="137"/>
      <c r="DM404" s="145"/>
    </row>
    <row r="405" spans="2:117" ht="15" customHeight="1">
      <c r="B405" s="136"/>
      <c r="C405" s="24"/>
      <c r="D405" s="24"/>
      <c r="E405" s="24"/>
      <c r="F405" s="24"/>
      <c r="G405" s="24"/>
      <c r="H405" s="24"/>
      <c r="I405" s="24"/>
      <c r="J405" s="24"/>
      <c r="K405" s="24"/>
      <c r="M405" s="137"/>
      <c r="P405" s="138"/>
      <c r="AJ405" s="24"/>
      <c r="AP405" s="139"/>
      <c r="AQ405" s="24"/>
      <c r="AW405" s="138"/>
      <c r="BE405" s="140"/>
      <c r="BF405" s="138"/>
      <c r="BJ405" s="141"/>
      <c r="BK405" s="140"/>
      <c r="BL405" s="138"/>
      <c r="BM405" s="24"/>
      <c r="BW405" s="138"/>
      <c r="BX405" s="24"/>
      <c r="CH405" s="138"/>
      <c r="CI405" s="24"/>
      <c r="DE405" s="137"/>
      <c r="DG405" s="24"/>
      <c r="DI405" s="137"/>
      <c r="DK405" s="144"/>
      <c r="DL405" s="137"/>
      <c r="DM405" s="145"/>
    </row>
    <row r="406" spans="2:117" ht="15" customHeight="1">
      <c r="B406" s="136"/>
      <c r="C406" s="24"/>
      <c r="D406" s="24"/>
      <c r="E406" s="24"/>
      <c r="F406" s="24"/>
      <c r="G406" s="24"/>
      <c r="H406" s="24"/>
      <c r="I406" s="24"/>
      <c r="J406" s="24"/>
      <c r="K406" s="24"/>
      <c r="M406" s="137"/>
      <c r="P406" s="138"/>
      <c r="AJ406" s="24"/>
      <c r="AP406" s="139"/>
      <c r="AQ406" s="24"/>
      <c r="AW406" s="138"/>
      <c r="BE406" s="140"/>
      <c r="BF406" s="138"/>
      <c r="BJ406" s="141"/>
      <c r="BK406" s="140"/>
      <c r="BL406" s="138"/>
      <c r="BM406" s="24"/>
      <c r="BW406" s="138"/>
      <c r="BX406" s="24"/>
      <c r="CH406" s="138"/>
      <c r="CI406" s="24"/>
      <c r="DE406" s="137"/>
      <c r="DG406" s="24"/>
      <c r="DI406" s="137"/>
      <c r="DK406" s="144"/>
      <c r="DL406" s="137"/>
      <c r="DM406" s="145"/>
    </row>
    <row r="407" spans="2:117" ht="15" customHeight="1">
      <c r="B407" s="136"/>
      <c r="C407" s="24"/>
      <c r="D407" s="24"/>
      <c r="E407" s="24"/>
      <c r="F407" s="24"/>
      <c r="G407" s="24"/>
      <c r="H407" s="24"/>
      <c r="I407" s="24"/>
      <c r="J407" s="24"/>
      <c r="K407" s="24"/>
      <c r="M407" s="137"/>
      <c r="P407" s="138"/>
      <c r="AJ407" s="24"/>
      <c r="AP407" s="139"/>
      <c r="AQ407" s="24"/>
      <c r="AW407" s="138"/>
      <c r="BE407" s="140"/>
      <c r="BF407" s="138"/>
      <c r="BJ407" s="141"/>
      <c r="BK407" s="140"/>
      <c r="BL407" s="138"/>
      <c r="BM407" s="24"/>
      <c r="BW407" s="138"/>
      <c r="BX407" s="24"/>
      <c r="CH407" s="138"/>
      <c r="CI407" s="24"/>
      <c r="DE407" s="137"/>
      <c r="DG407" s="24"/>
      <c r="DI407" s="137"/>
      <c r="DK407" s="144"/>
      <c r="DL407" s="137"/>
      <c r="DM407" s="145"/>
    </row>
    <row r="408" spans="2:117" ht="15" customHeight="1">
      <c r="B408" s="136"/>
      <c r="C408" s="24"/>
      <c r="D408" s="24"/>
      <c r="E408" s="24"/>
      <c r="F408" s="24"/>
      <c r="G408" s="24"/>
      <c r="H408" s="24"/>
      <c r="I408" s="24"/>
      <c r="J408" s="24"/>
      <c r="K408" s="24"/>
      <c r="M408" s="137"/>
      <c r="P408" s="138"/>
      <c r="AJ408" s="24"/>
      <c r="AP408" s="139"/>
      <c r="AQ408" s="24"/>
      <c r="AW408" s="138"/>
      <c r="BE408" s="140"/>
      <c r="BF408" s="138"/>
      <c r="BJ408" s="141"/>
      <c r="BK408" s="140"/>
      <c r="BL408" s="138"/>
      <c r="BM408" s="24"/>
      <c r="BW408" s="138"/>
      <c r="BX408" s="24"/>
      <c r="CH408" s="138"/>
      <c r="CI408" s="24"/>
      <c r="DE408" s="137"/>
      <c r="DG408" s="24"/>
      <c r="DI408" s="137"/>
      <c r="DK408" s="144"/>
      <c r="DL408" s="137"/>
      <c r="DM408" s="145"/>
    </row>
    <row r="409" spans="2:117" ht="15" customHeight="1">
      <c r="B409" s="136"/>
      <c r="C409" s="24"/>
      <c r="D409" s="24"/>
      <c r="E409" s="24"/>
      <c r="F409" s="24"/>
      <c r="G409" s="24"/>
      <c r="H409" s="24"/>
      <c r="I409" s="24"/>
      <c r="J409" s="24"/>
      <c r="K409" s="24"/>
      <c r="M409" s="137"/>
      <c r="P409" s="138"/>
      <c r="AJ409" s="24"/>
      <c r="AP409" s="139"/>
      <c r="AQ409" s="24"/>
      <c r="AW409" s="138"/>
      <c r="BE409" s="140"/>
      <c r="BF409" s="138"/>
      <c r="BJ409" s="141"/>
      <c r="BK409" s="140"/>
      <c r="BL409" s="138"/>
      <c r="BM409" s="24"/>
      <c r="BW409" s="138"/>
      <c r="BX409" s="24"/>
      <c r="CH409" s="138"/>
      <c r="CI409" s="24"/>
      <c r="DE409" s="137"/>
      <c r="DG409" s="24"/>
      <c r="DI409" s="137"/>
      <c r="DK409" s="144"/>
      <c r="DL409" s="137"/>
      <c r="DM409" s="145"/>
    </row>
    <row r="410" spans="2:117" ht="15" customHeight="1">
      <c r="B410" s="136"/>
      <c r="C410" s="24"/>
      <c r="D410" s="24"/>
      <c r="E410" s="24"/>
      <c r="F410" s="24"/>
      <c r="G410" s="24"/>
      <c r="H410" s="24"/>
      <c r="I410" s="24"/>
      <c r="J410" s="24"/>
      <c r="K410" s="24"/>
      <c r="M410" s="137"/>
      <c r="P410" s="138"/>
      <c r="AJ410" s="24"/>
      <c r="AP410" s="139"/>
      <c r="AQ410" s="24"/>
      <c r="AW410" s="138"/>
      <c r="BE410" s="140"/>
      <c r="BF410" s="138"/>
      <c r="BJ410" s="141"/>
      <c r="BK410" s="140"/>
      <c r="BL410" s="138"/>
      <c r="BM410" s="24"/>
      <c r="BW410" s="138"/>
      <c r="BX410" s="24"/>
      <c r="CH410" s="138"/>
      <c r="CI410" s="24"/>
      <c r="DE410" s="137"/>
      <c r="DG410" s="24"/>
      <c r="DI410" s="137"/>
      <c r="DK410" s="144"/>
      <c r="DL410" s="137"/>
      <c r="DM410" s="145"/>
    </row>
    <row r="411" spans="2:117" ht="15" customHeight="1">
      <c r="B411" s="136"/>
      <c r="C411" s="24"/>
      <c r="D411" s="24"/>
      <c r="E411" s="24"/>
      <c r="F411" s="24"/>
      <c r="G411" s="24"/>
      <c r="H411" s="24"/>
      <c r="I411" s="24"/>
      <c r="J411" s="24"/>
      <c r="K411" s="24"/>
      <c r="M411" s="137"/>
      <c r="P411" s="138"/>
      <c r="AJ411" s="24"/>
      <c r="AP411" s="139"/>
      <c r="AQ411" s="24"/>
      <c r="AW411" s="138"/>
      <c r="BE411" s="140"/>
      <c r="BF411" s="138"/>
      <c r="BJ411" s="141"/>
      <c r="BK411" s="140"/>
      <c r="BL411" s="138"/>
      <c r="BM411" s="24"/>
      <c r="BW411" s="138"/>
      <c r="BX411" s="24"/>
      <c r="CH411" s="138"/>
      <c r="CI411" s="24"/>
      <c r="DE411" s="137"/>
      <c r="DG411" s="24"/>
      <c r="DI411" s="137"/>
      <c r="DK411" s="144"/>
      <c r="DL411" s="137"/>
      <c r="DM411" s="145"/>
    </row>
    <row r="412" spans="2:117" ht="15" customHeight="1">
      <c r="B412" s="136"/>
      <c r="C412" s="24"/>
      <c r="D412" s="24"/>
      <c r="E412" s="24"/>
      <c r="F412" s="24"/>
      <c r="G412" s="24"/>
      <c r="H412" s="24"/>
      <c r="I412" s="24"/>
      <c r="J412" s="24"/>
      <c r="K412" s="24"/>
      <c r="M412" s="137"/>
      <c r="P412" s="138"/>
      <c r="AJ412" s="24"/>
      <c r="AP412" s="139"/>
      <c r="AQ412" s="24"/>
      <c r="AW412" s="138"/>
      <c r="BE412" s="140"/>
      <c r="BF412" s="138"/>
      <c r="BJ412" s="141"/>
      <c r="BK412" s="140"/>
      <c r="BL412" s="138"/>
      <c r="BM412" s="24"/>
      <c r="BW412" s="138"/>
      <c r="BX412" s="24"/>
      <c r="CH412" s="138"/>
      <c r="CI412" s="24"/>
      <c r="DE412" s="137"/>
      <c r="DG412" s="24"/>
      <c r="DI412" s="137"/>
      <c r="DK412" s="144"/>
      <c r="DL412" s="137"/>
      <c r="DM412" s="145"/>
    </row>
    <row r="413" spans="2:117" ht="15" customHeight="1">
      <c r="B413" s="136"/>
      <c r="C413" s="24"/>
      <c r="D413" s="24"/>
      <c r="E413" s="24"/>
      <c r="F413" s="24"/>
      <c r="G413" s="24"/>
      <c r="H413" s="24"/>
      <c r="I413" s="24"/>
      <c r="J413" s="24"/>
      <c r="K413" s="24"/>
      <c r="M413" s="137"/>
      <c r="P413" s="138"/>
      <c r="AJ413" s="24"/>
      <c r="AP413" s="139"/>
      <c r="AQ413" s="24"/>
      <c r="AW413" s="138"/>
      <c r="BE413" s="140"/>
      <c r="BF413" s="138"/>
      <c r="BJ413" s="141"/>
      <c r="BK413" s="140"/>
      <c r="BL413" s="138"/>
      <c r="BM413" s="24"/>
      <c r="BW413" s="138"/>
      <c r="BX413" s="24"/>
      <c r="CH413" s="138"/>
      <c r="CI413" s="24"/>
      <c r="DE413" s="137"/>
      <c r="DG413" s="24"/>
      <c r="DI413" s="137"/>
      <c r="DK413" s="144"/>
      <c r="DL413" s="137"/>
      <c r="DM413" s="145"/>
    </row>
    <row r="414" spans="2:117" ht="15" customHeight="1">
      <c r="B414" s="136"/>
      <c r="C414" s="24"/>
      <c r="D414" s="24"/>
      <c r="E414" s="24"/>
      <c r="F414" s="24"/>
      <c r="G414" s="24"/>
      <c r="H414" s="24"/>
      <c r="I414" s="24"/>
      <c r="J414" s="24"/>
      <c r="K414" s="24"/>
      <c r="M414" s="137"/>
      <c r="P414" s="138"/>
      <c r="AJ414" s="24"/>
      <c r="AP414" s="139"/>
      <c r="AQ414" s="24"/>
      <c r="AW414" s="138"/>
      <c r="BE414" s="140"/>
      <c r="BF414" s="138"/>
      <c r="BJ414" s="141"/>
      <c r="BK414" s="140"/>
      <c r="BL414" s="138"/>
      <c r="BM414" s="24"/>
      <c r="BW414" s="138"/>
      <c r="BX414" s="24"/>
      <c r="CH414" s="138"/>
      <c r="CI414" s="24"/>
      <c r="DE414" s="137"/>
      <c r="DG414" s="24"/>
      <c r="DI414" s="137"/>
      <c r="DK414" s="144"/>
      <c r="DL414" s="137"/>
      <c r="DM414" s="145"/>
    </row>
    <row r="415" spans="2:117" ht="15" customHeight="1">
      <c r="B415" s="136"/>
      <c r="C415" s="24"/>
      <c r="D415" s="24"/>
      <c r="E415" s="24"/>
      <c r="F415" s="24"/>
      <c r="G415" s="24"/>
      <c r="H415" s="24"/>
      <c r="I415" s="24"/>
      <c r="J415" s="24"/>
      <c r="K415" s="24"/>
      <c r="M415" s="137"/>
      <c r="P415" s="138"/>
      <c r="AJ415" s="24"/>
      <c r="AP415" s="139"/>
      <c r="AQ415" s="24"/>
      <c r="AW415" s="138"/>
      <c r="BE415" s="140"/>
      <c r="BF415" s="138"/>
      <c r="BJ415" s="141"/>
      <c r="BK415" s="140"/>
      <c r="BL415" s="138"/>
      <c r="BM415" s="24"/>
      <c r="BW415" s="138"/>
      <c r="BX415" s="24"/>
      <c r="CH415" s="138"/>
      <c r="CI415" s="24"/>
      <c r="DE415" s="137"/>
      <c r="DG415" s="24"/>
      <c r="DI415" s="137"/>
      <c r="DK415" s="144"/>
      <c r="DL415" s="137"/>
      <c r="DM415" s="145"/>
    </row>
    <row r="416" spans="2:117" ht="15" customHeight="1">
      <c r="B416" s="136"/>
      <c r="C416" s="24"/>
      <c r="D416" s="24"/>
      <c r="E416" s="24"/>
      <c r="F416" s="24"/>
      <c r="G416" s="24"/>
      <c r="H416" s="24"/>
      <c r="I416" s="24"/>
      <c r="J416" s="24"/>
      <c r="K416" s="24"/>
      <c r="M416" s="137"/>
      <c r="P416" s="138"/>
      <c r="AJ416" s="24"/>
      <c r="AP416" s="139"/>
      <c r="AQ416" s="24"/>
      <c r="AW416" s="138"/>
      <c r="BE416" s="140"/>
      <c r="BF416" s="138"/>
      <c r="BJ416" s="141"/>
      <c r="BK416" s="140"/>
      <c r="BL416" s="138"/>
      <c r="BM416" s="24"/>
      <c r="BW416" s="138"/>
      <c r="BX416" s="24"/>
      <c r="CH416" s="138"/>
      <c r="CI416" s="24"/>
      <c r="DE416" s="137"/>
      <c r="DG416" s="24"/>
      <c r="DI416" s="137"/>
      <c r="DK416" s="144"/>
      <c r="DL416" s="137"/>
      <c r="DM416" s="145"/>
    </row>
    <row r="417" spans="2:117" ht="15" customHeight="1">
      <c r="B417" s="136"/>
      <c r="C417" s="24"/>
      <c r="D417" s="24"/>
      <c r="E417" s="24"/>
      <c r="F417" s="24"/>
      <c r="G417" s="24"/>
      <c r="H417" s="24"/>
      <c r="I417" s="24"/>
      <c r="J417" s="24"/>
      <c r="K417" s="24"/>
      <c r="M417" s="137"/>
      <c r="P417" s="138"/>
      <c r="AJ417" s="24"/>
      <c r="AP417" s="139"/>
      <c r="AQ417" s="24"/>
      <c r="AW417" s="138"/>
      <c r="BE417" s="140"/>
      <c r="BF417" s="138"/>
      <c r="BJ417" s="141"/>
      <c r="BK417" s="140"/>
      <c r="BL417" s="138"/>
      <c r="BM417" s="24"/>
      <c r="BW417" s="138"/>
      <c r="BX417" s="24"/>
      <c r="CH417" s="138"/>
      <c r="CI417" s="24"/>
      <c r="DE417" s="137"/>
      <c r="DG417" s="24"/>
      <c r="DI417" s="137"/>
      <c r="DK417" s="144"/>
      <c r="DL417" s="137"/>
      <c r="DM417" s="145"/>
    </row>
    <row r="418" spans="2:117" ht="15" customHeight="1">
      <c r="B418" s="136"/>
      <c r="C418" s="24"/>
      <c r="D418" s="24"/>
      <c r="E418" s="24"/>
      <c r="F418" s="24"/>
      <c r="G418" s="24"/>
      <c r="H418" s="24"/>
      <c r="I418" s="24"/>
      <c r="J418" s="24"/>
      <c r="K418" s="24"/>
      <c r="M418" s="137"/>
      <c r="P418" s="138"/>
      <c r="AJ418" s="24"/>
      <c r="AP418" s="139"/>
      <c r="AQ418" s="24"/>
      <c r="AW418" s="138"/>
      <c r="BE418" s="140"/>
      <c r="BF418" s="138"/>
      <c r="BJ418" s="141"/>
      <c r="BK418" s="140"/>
      <c r="BL418" s="138"/>
      <c r="BM418" s="24"/>
      <c r="BW418" s="138"/>
      <c r="BX418" s="24"/>
      <c r="CH418" s="138"/>
      <c r="CI418" s="24"/>
      <c r="DE418" s="137"/>
      <c r="DG418" s="24"/>
      <c r="DI418" s="137"/>
      <c r="DK418" s="144"/>
      <c r="DL418" s="137"/>
      <c r="DM418" s="145"/>
    </row>
    <row r="419" spans="2:117" ht="15" customHeight="1">
      <c r="B419" s="136"/>
      <c r="C419" s="24"/>
      <c r="D419" s="24"/>
      <c r="E419" s="24"/>
      <c r="F419" s="24"/>
      <c r="G419" s="24"/>
      <c r="H419" s="24"/>
      <c r="I419" s="24"/>
      <c r="J419" s="24"/>
      <c r="K419" s="24"/>
      <c r="M419" s="137"/>
      <c r="P419" s="138"/>
      <c r="AJ419" s="24"/>
      <c r="AP419" s="139"/>
      <c r="AQ419" s="24"/>
      <c r="AW419" s="138"/>
      <c r="BE419" s="140"/>
      <c r="BF419" s="138"/>
      <c r="BJ419" s="141"/>
      <c r="BK419" s="140"/>
      <c r="BL419" s="138"/>
      <c r="BM419" s="24"/>
      <c r="BW419" s="138"/>
      <c r="BX419" s="24"/>
      <c r="CH419" s="138"/>
      <c r="CI419" s="24"/>
      <c r="DE419" s="137"/>
      <c r="DG419" s="24"/>
      <c r="DI419" s="137"/>
      <c r="DK419" s="144"/>
      <c r="DL419" s="137"/>
      <c r="DM419" s="145"/>
    </row>
    <row r="420" spans="2:117" ht="15" customHeight="1">
      <c r="B420" s="136"/>
      <c r="C420" s="24"/>
      <c r="D420" s="24"/>
      <c r="E420" s="24"/>
      <c r="F420" s="24"/>
      <c r="G420" s="24"/>
      <c r="H420" s="24"/>
      <c r="I420" s="24"/>
      <c r="J420" s="24"/>
      <c r="K420" s="24"/>
      <c r="M420" s="137"/>
      <c r="P420" s="138"/>
      <c r="AJ420" s="24"/>
      <c r="AP420" s="139"/>
      <c r="AQ420" s="24"/>
      <c r="AW420" s="138"/>
      <c r="BE420" s="140"/>
      <c r="BF420" s="138"/>
      <c r="BJ420" s="141"/>
      <c r="BK420" s="140"/>
      <c r="BL420" s="138"/>
      <c r="BM420" s="24"/>
      <c r="BW420" s="138"/>
      <c r="BX420" s="24"/>
      <c r="CH420" s="138"/>
      <c r="CI420" s="24"/>
      <c r="DE420" s="137"/>
      <c r="DG420" s="24"/>
      <c r="DI420" s="137"/>
      <c r="DK420" s="144"/>
      <c r="DL420" s="137"/>
      <c r="DM420" s="145"/>
    </row>
    <row r="421" spans="2:117" ht="15" customHeight="1">
      <c r="B421" s="136"/>
      <c r="C421" s="24"/>
      <c r="D421" s="24"/>
      <c r="E421" s="24"/>
      <c r="F421" s="24"/>
      <c r="G421" s="24"/>
      <c r="H421" s="24"/>
      <c r="I421" s="24"/>
      <c r="J421" s="24"/>
      <c r="K421" s="24"/>
      <c r="M421" s="137"/>
      <c r="P421" s="138"/>
      <c r="AJ421" s="24"/>
      <c r="AP421" s="139"/>
      <c r="AQ421" s="24"/>
      <c r="AW421" s="138"/>
      <c r="BE421" s="140"/>
      <c r="BF421" s="138"/>
      <c r="BJ421" s="141"/>
      <c r="BK421" s="140"/>
      <c r="BL421" s="138"/>
      <c r="BM421" s="24"/>
      <c r="BW421" s="138"/>
      <c r="BX421" s="24"/>
      <c r="CH421" s="138"/>
      <c r="CI421" s="24"/>
      <c r="DE421" s="137"/>
      <c r="DG421" s="24"/>
      <c r="DI421" s="137"/>
      <c r="DK421" s="144"/>
      <c r="DL421" s="137"/>
      <c r="DM421" s="145"/>
    </row>
    <row r="422" spans="2:117" ht="15" customHeight="1">
      <c r="B422" s="136"/>
      <c r="C422" s="24"/>
      <c r="D422" s="24"/>
      <c r="E422" s="24"/>
      <c r="F422" s="24"/>
      <c r="G422" s="24"/>
      <c r="H422" s="24"/>
      <c r="I422" s="24"/>
      <c r="J422" s="24"/>
      <c r="K422" s="24"/>
      <c r="M422" s="137"/>
      <c r="P422" s="138"/>
      <c r="AJ422" s="24"/>
      <c r="AP422" s="139"/>
      <c r="AQ422" s="24"/>
      <c r="AW422" s="138"/>
      <c r="BE422" s="140"/>
      <c r="BF422" s="138"/>
      <c r="BJ422" s="141"/>
      <c r="BK422" s="140"/>
      <c r="BL422" s="138"/>
      <c r="BM422" s="24"/>
      <c r="BW422" s="138"/>
      <c r="BX422" s="24"/>
      <c r="CH422" s="138"/>
      <c r="CI422" s="24"/>
      <c r="DE422" s="137"/>
      <c r="DG422" s="24"/>
      <c r="DI422" s="137"/>
      <c r="DK422" s="144"/>
      <c r="DL422" s="137"/>
      <c r="DM422" s="145"/>
    </row>
    <row r="423" spans="2:117" ht="15" customHeight="1">
      <c r="B423" s="136"/>
      <c r="C423" s="24"/>
      <c r="D423" s="24"/>
      <c r="E423" s="24"/>
      <c r="F423" s="24"/>
      <c r="G423" s="24"/>
      <c r="H423" s="24"/>
      <c r="I423" s="24"/>
      <c r="J423" s="24"/>
      <c r="K423" s="24"/>
      <c r="M423" s="137"/>
      <c r="P423" s="138"/>
      <c r="AJ423" s="24"/>
      <c r="AP423" s="139"/>
      <c r="AQ423" s="24"/>
      <c r="AW423" s="138"/>
      <c r="BE423" s="140"/>
      <c r="BF423" s="138"/>
      <c r="BJ423" s="141"/>
      <c r="BK423" s="140"/>
      <c r="BL423" s="138"/>
      <c r="BM423" s="24"/>
      <c r="BW423" s="138"/>
      <c r="BX423" s="24"/>
      <c r="CH423" s="138"/>
      <c r="CI423" s="24"/>
      <c r="DE423" s="137"/>
      <c r="DG423" s="24"/>
      <c r="DI423" s="137"/>
      <c r="DK423" s="144"/>
      <c r="DL423" s="137"/>
      <c r="DM423" s="145"/>
    </row>
    <row r="424" spans="2:117" ht="15" customHeight="1">
      <c r="B424" s="136"/>
      <c r="C424" s="24"/>
      <c r="D424" s="24"/>
      <c r="E424" s="24"/>
      <c r="F424" s="24"/>
      <c r="G424" s="24"/>
      <c r="H424" s="24"/>
      <c r="I424" s="24"/>
      <c r="J424" s="24"/>
      <c r="K424" s="24"/>
      <c r="M424" s="137"/>
      <c r="P424" s="138"/>
      <c r="AJ424" s="24"/>
      <c r="AP424" s="139"/>
      <c r="AQ424" s="24"/>
      <c r="AW424" s="138"/>
      <c r="BE424" s="140"/>
      <c r="BF424" s="138"/>
      <c r="BJ424" s="141"/>
      <c r="BK424" s="140"/>
      <c r="BL424" s="138"/>
      <c r="BM424" s="24"/>
      <c r="BW424" s="138"/>
      <c r="BX424" s="24"/>
      <c r="CH424" s="138"/>
      <c r="CI424" s="24"/>
      <c r="DE424" s="137"/>
      <c r="DG424" s="24"/>
      <c r="DI424" s="137"/>
      <c r="DK424" s="144"/>
      <c r="DL424" s="137"/>
      <c r="DM424" s="145"/>
    </row>
    <row r="425" spans="2:117" ht="15" customHeight="1">
      <c r="B425" s="136"/>
      <c r="C425" s="24"/>
      <c r="D425" s="24"/>
      <c r="E425" s="24"/>
      <c r="F425" s="24"/>
      <c r="G425" s="24"/>
      <c r="H425" s="24"/>
      <c r="I425" s="24"/>
      <c r="J425" s="24"/>
      <c r="K425" s="24"/>
      <c r="M425" s="137"/>
      <c r="P425" s="138"/>
      <c r="AJ425" s="24"/>
      <c r="AP425" s="139"/>
      <c r="AQ425" s="24"/>
      <c r="AW425" s="138"/>
      <c r="BE425" s="140"/>
      <c r="BF425" s="138"/>
      <c r="BJ425" s="141"/>
      <c r="BK425" s="140"/>
      <c r="BL425" s="138"/>
      <c r="BM425" s="24"/>
      <c r="BW425" s="138"/>
      <c r="BX425" s="24"/>
      <c r="CH425" s="138"/>
      <c r="CI425" s="24"/>
      <c r="DE425" s="137"/>
      <c r="DG425" s="24"/>
      <c r="DI425" s="137"/>
      <c r="DK425" s="144"/>
      <c r="DL425" s="137"/>
      <c r="DM425" s="145"/>
    </row>
    <row r="426" spans="2:117" ht="15" customHeight="1">
      <c r="B426" s="136"/>
      <c r="C426" s="24"/>
      <c r="D426" s="24"/>
      <c r="E426" s="24"/>
      <c r="F426" s="24"/>
      <c r="G426" s="24"/>
      <c r="H426" s="24"/>
      <c r="I426" s="24"/>
      <c r="J426" s="24"/>
      <c r="K426" s="24"/>
      <c r="M426" s="137"/>
      <c r="P426" s="138"/>
      <c r="AJ426" s="24"/>
      <c r="AP426" s="139"/>
      <c r="AQ426" s="24"/>
      <c r="AW426" s="138"/>
      <c r="BE426" s="140"/>
      <c r="BF426" s="138"/>
      <c r="BJ426" s="141"/>
      <c r="BK426" s="140"/>
      <c r="BL426" s="138"/>
      <c r="BM426" s="24"/>
      <c r="BW426" s="138"/>
      <c r="BX426" s="24"/>
      <c r="CH426" s="138"/>
      <c r="CI426" s="24"/>
      <c r="DE426" s="137"/>
      <c r="DG426" s="24"/>
      <c r="DI426" s="137"/>
      <c r="DK426" s="144"/>
      <c r="DL426" s="137"/>
      <c r="DM426" s="145"/>
    </row>
    <row r="427" spans="2:117" ht="15" customHeight="1">
      <c r="B427" s="136"/>
      <c r="C427" s="24"/>
      <c r="D427" s="24"/>
      <c r="E427" s="24"/>
      <c r="F427" s="24"/>
      <c r="G427" s="24"/>
      <c r="H427" s="24"/>
      <c r="I427" s="24"/>
      <c r="J427" s="24"/>
      <c r="K427" s="24"/>
      <c r="M427" s="137"/>
      <c r="P427" s="138"/>
      <c r="AJ427" s="24"/>
      <c r="AP427" s="139"/>
      <c r="AQ427" s="24"/>
      <c r="AW427" s="138"/>
      <c r="BE427" s="140"/>
      <c r="BF427" s="138"/>
      <c r="BJ427" s="141"/>
      <c r="BK427" s="140"/>
      <c r="BL427" s="138"/>
      <c r="BM427" s="24"/>
      <c r="BW427" s="138"/>
      <c r="BX427" s="24"/>
      <c r="CH427" s="138"/>
      <c r="CI427" s="24"/>
      <c r="DE427" s="137"/>
      <c r="DG427" s="24"/>
      <c r="DI427" s="137"/>
      <c r="DK427" s="144"/>
      <c r="DL427" s="137"/>
      <c r="DM427" s="145"/>
    </row>
    <row r="428" spans="2:117" ht="15" customHeight="1">
      <c r="B428" s="136"/>
      <c r="C428" s="24"/>
      <c r="D428" s="24"/>
      <c r="E428" s="24"/>
      <c r="F428" s="24"/>
      <c r="G428" s="24"/>
      <c r="H428" s="24"/>
      <c r="I428" s="24"/>
      <c r="J428" s="24"/>
      <c r="K428" s="24"/>
      <c r="M428" s="137"/>
      <c r="P428" s="138"/>
      <c r="AJ428" s="24"/>
      <c r="AP428" s="139"/>
      <c r="AQ428" s="24"/>
      <c r="AW428" s="138"/>
      <c r="BE428" s="140"/>
      <c r="BF428" s="138"/>
      <c r="BJ428" s="141"/>
      <c r="BK428" s="140"/>
      <c r="BL428" s="138"/>
      <c r="BM428" s="24"/>
      <c r="BW428" s="138"/>
      <c r="BX428" s="24"/>
      <c r="CH428" s="138"/>
      <c r="CI428" s="24"/>
      <c r="DE428" s="137"/>
      <c r="DG428" s="24"/>
      <c r="DI428" s="137"/>
      <c r="DK428" s="144"/>
      <c r="DL428" s="137"/>
      <c r="DM428" s="145"/>
    </row>
    <row r="429" spans="2:117" ht="15" customHeight="1">
      <c r="B429" s="136"/>
      <c r="C429" s="24"/>
      <c r="D429" s="24"/>
      <c r="E429" s="24"/>
      <c r="F429" s="24"/>
      <c r="G429" s="24"/>
      <c r="H429" s="24"/>
      <c r="I429" s="24"/>
      <c r="J429" s="24"/>
      <c r="K429" s="24"/>
      <c r="M429" s="137"/>
      <c r="P429" s="138"/>
      <c r="AJ429" s="24"/>
      <c r="AP429" s="139"/>
      <c r="AQ429" s="24"/>
      <c r="AW429" s="138"/>
      <c r="BE429" s="140"/>
      <c r="BF429" s="138"/>
      <c r="BJ429" s="141"/>
      <c r="BK429" s="140"/>
      <c r="BL429" s="138"/>
      <c r="BM429" s="24"/>
      <c r="BW429" s="138"/>
      <c r="BX429" s="24"/>
      <c r="CH429" s="138"/>
      <c r="CI429" s="24"/>
      <c r="DE429" s="137"/>
      <c r="DG429" s="24"/>
      <c r="DI429" s="137"/>
      <c r="DK429" s="144"/>
      <c r="DL429" s="137"/>
      <c r="DM429" s="145"/>
    </row>
    <row r="430" spans="2:117" ht="15" customHeight="1">
      <c r="B430" s="136"/>
      <c r="C430" s="24"/>
      <c r="D430" s="24"/>
      <c r="E430" s="24"/>
      <c r="F430" s="24"/>
      <c r="G430" s="24"/>
      <c r="H430" s="24"/>
      <c r="I430" s="24"/>
      <c r="J430" s="24"/>
      <c r="K430" s="24"/>
      <c r="M430" s="137"/>
      <c r="P430" s="138"/>
      <c r="AJ430" s="24"/>
      <c r="AP430" s="139"/>
      <c r="AQ430" s="24"/>
      <c r="AW430" s="138"/>
      <c r="BE430" s="140"/>
      <c r="BF430" s="138"/>
      <c r="BJ430" s="141"/>
      <c r="BK430" s="140"/>
      <c r="BL430" s="138"/>
      <c r="BM430" s="24"/>
      <c r="BW430" s="138"/>
      <c r="BX430" s="24"/>
      <c r="CH430" s="138"/>
      <c r="CI430" s="24"/>
      <c r="DE430" s="137"/>
      <c r="DG430" s="24"/>
      <c r="DI430" s="137"/>
      <c r="DK430" s="144"/>
      <c r="DL430" s="137"/>
      <c r="DM430" s="145"/>
    </row>
    <row r="431" spans="2:117" ht="15" customHeight="1">
      <c r="B431" s="136"/>
      <c r="C431" s="24"/>
      <c r="D431" s="24"/>
      <c r="E431" s="24"/>
      <c r="F431" s="24"/>
      <c r="G431" s="24"/>
      <c r="H431" s="24"/>
      <c r="I431" s="24"/>
      <c r="J431" s="24"/>
      <c r="K431" s="24"/>
      <c r="M431" s="137"/>
      <c r="P431" s="138"/>
      <c r="AJ431" s="24"/>
      <c r="AP431" s="139"/>
      <c r="AQ431" s="24"/>
      <c r="AW431" s="138"/>
      <c r="BE431" s="140"/>
      <c r="BF431" s="138"/>
      <c r="BJ431" s="141"/>
      <c r="BK431" s="140"/>
      <c r="BL431" s="138"/>
      <c r="BM431" s="24"/>
      <c r="BW431" s="138"/>
      <c r="BX431" s="24"/>
      <c r="CH431" s="138"/>
      <c r="CI431" s="24"/>
      <c r="DE431" s="137"/>
      <c r="DG431" s="24"/>
      <c r="DI431" s="137"/>
      <c r="DK431" s="144"/>
      <c r="DL431" s="137"/>
      <c r="DM431" s="145"/>
    </row>
    <row r="432" spans="2:117" ht="15" customHeight="1">
      <c r="B432" s="136"/>
      <c r="C432" s="24"/>
      <c r="D432" s="24"/>
      <c r="E432" s="24"/>
      <c r="F432" s="24"/>
      <c r="G432" s="24"/>
      <c r="H432" s="24"/>
      <c r="I432" s="24"/>
      <c r="J432" s="24"/>
      <c r="K432" s="24"/>
      <c r="M432" s="137"/>
      <c r="P432" s="138"/>
      <c r="AJ432" s="24"/>
      <c r="AP432" s="139"/>
      <c r="AQ432" s="24"/>
      <c r="AW432" s="138"/>
      <c r="BE432" s="140"/>
      <c r="BF432" s="138"/>
      <c r="BJ432" s="141"/>
      <c r="BK432" s="140"/>
      <c r="BL432" s="138"/>
      <c r="BM432" s="24"/>
      <c r="BW432" s="138"/>
      <c r="BX432" s="24"/>
      <c r="CH432" s="138"/>
      <c r="CI432" s="24"/>
      <c r="DE432" s="137"/>
      <c r="DG432" s="24"/>
      <c r="DI432" s="137"/>
      <c r="DK432" s="144"/>
      <c r="DL432" s="137"/>
      <c r="DM432" s="145"/>
    </row>
    <row r="433" spans="2:117" ht="15" customHeight="1">
      <c r="B433" s="136"/>
      <c r="C433" s="24"/>
      <c r="D433" s="24"/>
      <c r="E433" s="24"/>
      <c r="F433" s="24"/>
      <c r="G433" s="24"/>
      <c r="H433" s="24"/>
      <c r="I433" s="24"/>
      <c r="J433" s="24"/>
      <c r="K433" s="24"/>
      <c r="M433" s="137"/>
      <c r="P433" s="138"/>
      <c r="AJ433" s="24"/>
      <c r="AP433" s="139"/>
      <c r="AQ433" s="24"/>
      <c r="AW433" s="138"/>
      <c r="BE433" s="140"/>
      <c r="BF433" s="138"/>
      <c r="BJ433" s="141"/>
      <c r="BK433" s="140"/>
      <c r="BL433" s="138"/>
      <c r="BM433" s="24"/>
      <c r="BW433" s="138"/>
      <c r="BX433" s="24"/>
      <c r="CH433" s="138"/>
      <c r="CI433" s="24"/>
      <c r="DE433" s="137"/>
      <c r="DG433" s="24"/>
      <c r="DI433" s="137"/>
      <c r="DK433" s="144"/>
      <c r="DL433" s="137"/>
      <c r="DM433" s="145"/>
    </row>
    <row r="434" spans="2:117" ht="15" customHeight="1">
      <c r="B434" s="136"/>
      <c r="C434" s="24"/>
      <c r="D434" s="24"/>
      <c r="E434" s="24"/>
      <c r="F434" s="24"/>
      <c r="G434" s="24"/>
      <c r="H434" s="24"/>
      <c r="I434" s="24"/>
      <c r="J434" s="24"/>
      <c r="K434" s="24"/>
      <c r="M434" s="137"/>
      <c r="P434" s="138"/>
      <c r="AJ434" s="24"/>
      <c r="AP434" s="139"/>
      <c r="AQ434" s="24"/>
      <c r="AW434" s="138"/>
      <c r="BE434" s="140"/>
      <c r="BF434" s="138"/>
      <c r="BJ434" s="141"/>
      <c r="BK434" s="140"/>
      <c r="BL434" s="138"/>
      <c r="BM434" s="24"/>
      <c r="BW434" s="138"/>
      <c r="BX434" s="24"/>
      <c r="CH434" s="138"/>
      <c r="CI434" s="24"/>
      <c r="DE434" s="137"/>
      <c r="DG434" s="24"/>
      <c r="DI434" s="137"/>
      <c r="DK434" s="144"/>
      <c r="DL434" s="137"/>
      <c r="DM434" s="145"/>
    </row>
    <row r="435" spans="2:117" ht="15" customHeight="1">
      <c r="B435" s="136"/>
      <c r="C435" s="24"/>
      <c r="D435" s="24"/>
      <c r="E435" s="24"/>
      <c r="F435" s="24"/>
      <c r="G435" s="24"/>
      <c r="H435" s="24"/>
      <c r="I435" s="24"/>
      <c r="J435" s="24"/>
      <c r="K435" s="24"/>
      <c r="M435" s="137"/>
      <c r="P435" s="138"/>
      <c r="AJ435" s="24"/>
      <c r="AP435" s="139"/>
      <c r="AQ435" s="24"/>
      <c r="AW435" s="138"/>
      <c r="BE435" s="140"/>
      <c r="BF435" s="138"/>
      <c r="BJ435" s="141"/>
      <c r="BK435" s="140"/>
      <c r="BL435" s="138"/>
      <c r="BM435" s="24"/>
      <c r="BW435" s="138"/>
      <c r="BX435" s="24"/>
      <c r="CH435" s="138"/>
      <c r="CI435" s="24"/>
      <c r="DE435" s="137"/>
      <c r="DG435" s="24"/>
      <c r="DI435" s="137"/>
      <c r="DK435" s="144"/>
      <c r="DL435" s="137"/>
      <c r="DM435" s="145"/>
    </row>
    <row r="436" spans="2:117" ht="15" customHeight="1">
      <c r="B436" s="136"/>
      <c r="C436" s="24"/>
      <c r="D436" s="24"/>
      <c r="E436" s="24"/>
      <c r="F436" s="24"/>
      <c r="G436" s="24"/>
      <c r="H436" s="24"/>
      <c r="I436" s="24"/>
      <c r="J436" s="24"/>
      <c r="K436" s="24"/>
      <c r="M436" s="137"/>
      <c r="P436" s="138"/>
      <c r="AJ436" s="24"/>
      <c r="AP436" s="139"/>
      <c r="AQ436" s="24"/>
      <c r="AW436" s="138"/>
      <c r="BE436" s="140"/>
      <c r="BF436" s="138"/>
      <c r="BJ436" s="141"/>
      <c r="BK436" s="140"/>
      <c r="BL436" s="138"/>
      <c r="BM436" s="24"/>
      <c r="BW436" s="138"/>
      <c r="BX436" s="24"/>
      <c r="CH436" s="138"/>
      <c r="CI436" s="24"/>
      <c r="DE436" s="137"/>
      <c r="DG436" s="24"/>
      <c r="DI436" s="137"/>
      <c r="DK436" s="144"/>
      <c r="DL436" s="137"/>
      <c r="DM436" s="145"/>
    </row>
    <row r="437" spans="2:117" ht="15" customHeight="1">
      <c r="B437" s="136"/>
      <c r="C437" s="24"/>
      <c r="D437" s="24"/>
      <c r="E437" s="24"/>
      <c r="F437" s="24"/>
      <c r="G437" s="24"/>
      <c r="H437" s="24"/>
      <c r="I437" s="24"/>
      <c r="J437" s="24"/>
      <c r="K437" s="24"/>
      <c r="M437" s="137"/>
      <c r="P437" s="138"/>
      <c r="AJ437" s="24"/>
      <c r="AP437" s="139"/>
      <c r="AQ437" s="24"/>
      <c r="AW437" s="138"/>
      <c r="BE437" s="140"/>
      <c r="BF437" s="138"/>
      <c r="BJ437" s="141"/>
      <c r="BK437" s="140"/>
      <c r="BL437" s="138"/>
      <c r="BM437" s="24"/>
      <c r="BW437" s="138"/>
      <c r="BX437" s="24"/>
      <c r="CH437" s="138"/>
      <c r="CI437" s="24"/>
      <c r="DE437" s="137"/>
      <c r="DG437" s="24"/>
      <c r="DI437" s="137"/>
      <c r="DK437" s="144"/>
      <c r="DL437" s="137"/>
      <c r="DM437" s="145"/>
    </row>
    <row r="438" spans="2:117" ht="15" customHeight="1">
      <c r="B438" s="136"/>
      <c r="C438" s="24"/>
      <c r="D438" s="24"/>
      <c r="E438" s="24"/>
      <c r="F438" s="24"/>
      <c r="G438" s="24"/>
      <c r="H438" s="24"/>
      <c r="I438" s="24"/>
      <c r="J438" s="24"/>
      <c r="K438" s="24"/>
      <c r="M438" s="137"/>
      <c r="P438" s="138"/>
      <c r="AJ438" s="24"/>
      <c r="AP438" s="139"/>
      <c r="AQ438" s="24"/>
      <c r="AW438" s="138"/>
      <c r="BE438" s="140"/>
      <c r="BF438" s="138"/>
      <c r="BJ438" s="141"/>
      <c r="BK438" s="140"/>
      <c r="BL438" s="138"/>
      <c r="BM438" s="24"/>
      <c r="BW438" s="138"/>
      <c r="BX438" s="24"/>
      <c r="CH438" s="138"/>
      <c r="CI438" s="24"/>
      <c r="DE438" s="137"/>
      <c r="DG438" s="24"/>
      <c r="DI438" s="137"/>
      <c r="DK438" s="144"/>
      <c r="DL438" s="137"/>
      <c r="DM438" s="145"/>
    </row>
    <row r="439" spans="2:117" ht="15" customHeight="1">
      <c r="B439" s="136"/>
      <c r="C439" s="24"/>
      <c r="D439" s="24"/>
      <c r="E439" s="24"/>
      <c r="F439" s="24"/>
      <c r="G439" s="24"/>
      <c r="H439" s="24"/>
      <c r="I439" s="24"/>
      <c r="J439" s="24"/>
      <c r="K439" s="24"/>
      <c r="M439" s="137"/>
      <c r="P439" s="138"/>
      <c r="AJ439" s="24"/>
      <c r="AP439" s="139"/>
      <c r="AQ439" s="24"/>
      <c r="AW439" s="138"/>
      <c r="BE439" s="140"/>
      <c r="BF439" s="138"/>
      <c r="BJ439" s="141"/>
      <c r="BK439" s="140"/>
      <c r="BL439" s="138"/>
      <c r="BM439" s="24"/>
      <c r="BW439" s="138"/>
      <c r="BX439" s="24"/>
      <c r="CH439" s="138"/>
      <c r="CI439" s="24"/>
      <c r="DE439" s="137"/>
      <c r="DG439" s="24"/>
      <c r="DI439" s="137"/>
      <c r="DK439" s="144"/>
      <c r="DL439" s="137"/>
      <c r="DM439" s="145"/>
    </row>
    <row r="440" spans="2:117" ht="15" customHeight="1">
      <c r="B440" s="136"/>
      <c r="C440" s="24"/>
      <c r="D440" s="24"/>
      <c r="E440" s="24"/>
      <c r="F440" s="24"/>
      <c r="G440" s="24"/>
      <c r="H440" s="24"/>
      <c r="I440" s="24"/>
      <c r="J440" s="24"/>
      <c r="K440" s="24"/>
      <c r="M440" s="137"/>
      <c r="P440" s="138"/>
      <c r="AJ440" s="24"/>
      <c r="AP440" s="139"/>
      <c r="AQ440" s="24"/>
      <c r="AW440" s="138"/>
      <c r="BE440" s="140"/>
      <c r="BF440" s="138"/>
      <c r="BJ440" s="141"/>
      <c r="BK440" s="140"/>
      <c r="BL440" s="138"/>
      <c r="BM440" s="24"/>
      <c r="BW440" s="138"/>
      <c r="BX440" s="24"/>
      <c r="CH440" s="138"/>
      <c r="CI440" s="24"/>
      <c r="DE440" s="137"/>
      <c r="DG440" s="24"/>
      <c r="DI440" s="137"/>
      <c r="DK440" s="144"/>
      <c r="DL440" s="137"/>
      <c r="DM440" s="145"/>
    </row>
    <row r="441" spans="2:117" ht="15" customHeight="1">
      <c r="B441" s="136"/>
      <c r="C441" s="24"/>
      <c r="D441" s="24"/>
      <c r="E441" s="24"/>
      <c r="F441" s="24"/>
      <c r="G441" s="24"/>
      <c r="H441" s="24"/>
      <c r="I441" s="24"/>
      <c r="J441" s="24"/>
      <c r="K441" s="24"/>
      <c r="M441" s="137"/>
      <c r="P441" s="138"/>
      <c r="AJ441" s="24"/>
      <c r="AP441" s="139"/>
      <c r="AQ441" s="24"/>
      <c r="AW441" s="138"/>
      <c r="BE441" s="140"/>
      <c r="BF441" s="138"/>
      <c r="BJ441" s="141"/>
      <c r="BK441" s="140"/>
      <c r="BL441" s="138"/>
      <c r="BM441" s="24"/>
      <c r="BW441" s="138"/>
      <c r="BX441" s="24"/>
      <c r="CH441" s="138"/>
      <c r="CI441" s="24"/>
      <c r="DE441" s="137"/>
      <c r="DG441" s="24"/>
      <c r="DI441" s="137"/>
      <c r="DK441" s="144"/>
      <c r="DL441" s="137"/>
      <c r="DM441" s="145"/>
    </row>
    <row r="442" spans="2:117" ht="15" customHeight="1">
      <c r="B442" s="136"/>
      <c r="C442" s="24"/>
      <c r="D442" s="24"/>
      <c r="E442" s="24"/>
      <c r="F442" s="24"/>
      <c r="G442" s="24"/>
      <c r="H442" s="24"/>
      <c r="I442" s="24"/>
      <c r="J442" s="24"/>
      <c r="K442" s="24"/>
      <c r="M442" s="137"/>
      <c r="P442" s="138"/>
      <c r="AJ442" s="24"/>
      <c r="AP442" s="139"/>
      <c r="AQ442" s="24"/>
      <c r="AW442" s="138"/>
      <c r="BE442" s="140"/>
      <c r="BF442" s="138"/>
      <c r="BJ442" s="141"/>
      <c r="BK442" s="140"/>
      <c r="BL442" s="138"/>
      <c r="BM442" s="24"/>
      <c r="BW442" s="138"/>
      <c r="BX442" s="24"/>
      <c r="CH442" s="138"/>
      <c r="CI442" s="24"/>
      <c r="DE442" s="137"/>
      <c r="DG442" s="24"/>
      <c r="DI442" s="137"/>
      <c r="DK442" s="144"/>
      <c r="DL442" s="137"/>
      <c r="DM442" s="145"/>
    </row>
    <row r="443" spans="2:117" ht="15" customHeight="1">
      <c r="B443" s="136"/>
      <c r="C443" s="24"/>
      <c r="D443" s="24"/>
      <c r="E443" s="24"/>
      <c r="F443" s="24"/>
      <c r="G443" s="24"/>
      <c r="H443" s="24"/>
      <c r="I443" s="24"/>
      <c r="J443" s="24"/>
      <c r="K443" s="24"/>
      <c r="M443" s="137"/>
      <c r="P443" s="138"/>
      <c r="AJ443" s="24"/>
      <c r="AP443" s="139"/>
      <c r="AQ443" s="24"/>
      <c r="AW443" s="138"/>
      <c r="BE443" s="140"/>
      <c r="BF443" s="138"/>
      <c r="BJ443" s="141"/>
      <c r="BK443" s="140"/>
      <c r="BL443" s="138"/>
      <c r="BM443" s="24"/>
      <c r="BW443" s="138"/>
      <c r="BX443" s="24"/>
      <c r="CH443" s="138"/>
      <c r="CI443" s="24"/>
      <c r="DE443" s="137"/>
      <c r="DG443" s="24"/>
      <c r="DI443" s="137"/>
      <c r="DK443" s="144"/>
      <c r="DL443" s="137"/>
      <c r="DM443" s="145"/>
    </row>
    <row r="444" spans="2:117" ht="15" customHeight="1">
      <c r="B444" s="136"/>
      <c r="C444" s="24"/>
      <c r="D444" s="24"/>
      <c r="E444" s="24"/>
      <c r="F444" s="24"/>
      <c r="G444" s="24"/>
      <c r="H444" s="24"/>
      <c r="I444" s="24"/>
      <c r="J444" s="24"/>
      <c r="K444" s="24"/>
      <c r="M444" s="137"/>
      <c r="P444" s="138"/>
      <c r="AJ444" s="24"/>
      <c r="AP444" s="139"/>
      <c r="AQ444" s="24"/>
      <c r="AW444" s="138"/>
      <c r="BE444" s="140"/>
      <c r="BF444" s="138"/>
      <c r="BJ444" s="141"/>
      <c r="BK444" s="140"/>
      <c r="BL444" s="138"/>
      <c r="BM444" s="24"/>
      <c r="BW444" s="138"/>
      <c r="BX444" s="24"/>
      <c r="CH444" s="138"/>
      <c r="CI444" s="24"/>
      <c r="DE444" s="137"/>
      <c r="DG444" s="24"/>
      <c r="DI444" s="137"/>
      <c r="DK444" s="144"/>
      <c r="DL444" s="137"/>
      <c r="DM444" s="145"/>
    </row>
    <row r="445" spans="2:117" ht="15" customHeight="1">
      <c r="B445" s="136"/>
      <c r="C445" s="24"/>
      <c r="D445" s="24"/>
      <c r="E445" s="24"/>
      <c r="F445" s="24"/>
      <c r="G445" s="24"/>
      <c r="H445" s="24"/>
      <c r="I445" s="24"/>
      <c r="J445" s="24"/>
      <c r="K445" s="24"/>
      <c r="M445" s="137"/>
      <c r="P445" s="138"/>
      <c r="AJ445" s="24"/>
      <c r="AP445" s="139"/>
      <c r="AQ445" s="24"/>
      <c r="AW445" s="138"/>
      <c r="BE445" s="140"/>
      <c r="BF445" s="138"/>
      <c r="BJ445" s="141"/>
      <c r="BK445" s="140"/>
      <c r="BL445" s="138"/>
      <c r="BM445" s="24"/>
      <c r="BW445" s="138"/>
      <c r="BX445" s="24"/>
      <c r="CH445" s="138"/>
      <c r="CI445" s="24"/>
      <c r="DE445" s="137"/>
      <c r="DG445" s="24"/>
      <c r="DI445" s="137"/>
      <c r="DK445" s="144"/>
      <c r="DL445" s="137"/>
      <c r="DM445" s="145"/>
    </row>
    <row r="446" spans="2:117" ht="15" customHeight="1">
      <c r="B446" s="136"/>
      <c r="C446" s="24"/>
      <c r="D446" s="24"/>
      <c r="E446" s="24"/>
      <c r="F446" s="24"/>
      <c r="G446" s="24"/>
      <c r="H446" s="24"/>
      <c r="I446" s="24"/>
      <c r="J446" s="24"/>
      <c r="K446" s="24"/>
      <c r="M446" s="137"/>
      <c r="P446" s="138"/>
      <c r="AJ446" s="24"/>
      <c r="AP446" s="139"/>
      <c r="AQ446" s="24"/>
      <c r="AW446" s="138"/>
      <c r="BE446" s="140"/>
      <c r="BF446" s="138"/>
      <c r="BJ446" s="141"/>
      <c r="BK446" s="140"/>
      <c r="BL446" s="138"/>
      <c r="BM446" s="24"/>
      <c r="BW446" s="138"/>
      <c r="BX446" s="24"/>
      <c r="CH446" s="138"/>
      <c r="CI446" s="24"/>
      <c r="DE446" s="137"/>
      <c r="DG446" s="24"/>
      <c r="DI446" s="137"/>
      <c r="DK446" s="144"/>
      <c r="DL446" s="137"/>
      <c r="DM446" s="145"/>
    </row>
    <row r="447" spans="2:117" ht="15" customHeight="1">
      <c r="B447" s="136"/>
      <c r="C447" s="24"/>
      <c r="D447" s="24"/>
      <c r="E447" s="24"/>
      <c r="F447" s="24"/>
      <c r="G447" s="24"/>
      <c r="H447" s="24"/>
      <c r="I447" s="24"/>
      <c r="J447" s="24"/>
      <c r="K447" s="24"/>
      <c r="M447" s="137"/>
      <c r="P447" s="138"/>
      <c r="AJ447" s="24"/>
      <c r="AP447" s="139"/>
      <c r="AQ447" s="24"/>
      <c r="AW447" s="138"/>
      <c r="BE447" s="140"/>
      <c r="BF447" s="138"/>
      <c r="BJ447" s="141"/>
      <c r="BK447" s="140"/>
      <c r="BL447" s="138"/>
      <c r="BM447" s="24"/>
      <c r="BW447" s="138"/>
      <c r="BX447" s="24"/>
      <c r="CH447" s="138"/>
      <c r="CI447" s="24"/>
      <c r="DE447" s="137"/>
      <c r="DG447" s="24"/>
      <c r="DI447" s="137"/>
      <c r="DK447" s="144"/>
      <c r="DL447" s="137"/>
      <c r="DM447" s="145"/>
    </row>
    <row r="448" spans="2:117" ht="15" customHeight="1">
      <c r="B448" s="136"/>
      <c r="C448" s="24"/>
      <c r="D448" s="24"/>
      <c r="E448" s="24"/>
      <c r="F448" s="24"/>
      <c r="G448" s="24"/>
      <c r="H448" s="24"/>
      <c r="I448" s="24"/>
      <c r="J448" s="24"/>
      <c r="K448" s="24"/>
      <c r="M448" s="137"/>
      <c r="P448" s="138"/>
      <c r="AJ448" s="24"/>
      <c r="AP448" s="139"/>
      <c r="AQ448" s="24"/>
      <c r="AW448" s="138"/>
      <c r="BE448" s="140"/>
      <c r="BF448" s="138"/>
      <c r="BJ448" s="141"/>
      <c r="BK448" s="140"/>
      <c r="BL448" s="138"/>
      <c r="BM448" s="24"/>
      <c r="BW448" s="138"/>
      <c r="BX448" s="24"/>
      <c r="CH448" s="138"/>
      <c r="CI448" s="24"/>
      <c r="DE448" s="137"/>
      <c r="DG448" s="24"/>
      <c r="DI448" s="137"/>
      <c r="DK448" s="144"/>
      <c r="DL448" s="137"/>
      <c r="DM448" s="145"/>
    </row>
    <row r="449" spans="2:117" ht="15" customHeight="1">
      <c r="B449" s="136"/>
      <c r="C449" s="24"/>
      <c r="D449" s="24"/>
      <c r="E449" s="24"/>
      <c r="F449" s="24"/>
      <c r="G449" s="24"/>
      <c r="H449" s="24"/>
      <c r="I449" s="24"/>
      <c r="J449" s="24"/>
      <c r="K449" s="24"/>
      <c r="M449" s="137"/>
      <c r="P449" s="138"/>
      <c r="AJ449" s="24"/>
      <c r="AP449" s="139"/>
      <c r="AQ449" s="24"/>
      <c r="AW449" s="138"/>
      <c r="BE449" s="140"/>
      <c r="BF449" s="138"/>
      <c r="BJ449" s="141"/>
      <c r="BK449" s="140"/>
      <c r="BL449" s="138"/>
      <c r="BM449" s="24"/>
      <c r="BW449" s="138"/>
      <c r="BX449" s="24"/>
      <c r="CH449" s="138"/>
      <c r="CI449" s="24"/>
      <c r="DE449" s="137"/>
      <c r="DG449" s="24"/>
      <c r="DI449" s="137"/>
      <c r="DK449" s="144"/>
      <c r="DL449" s="137"/>
      <c r="DM449" s="145"/>
    </row>
    <row r="450" spans="2:117" ht="15" customHeight="1">
      <c r="B450" s="136"/>
      <c r="C450" s="24"/>
      <c r="D450" s="24"/>
      <c r="E450" s="24"/>
      <c r="F450" s="24"/>
      <c r="G450" s="24"/>
      <c r="H450" s="24"/>
      <c r="I450" s="24"/>
      <c r="J450" s="24"/>
      <c r="K450" s="24"/>
      <c r="M450" s="137"/>
      <c r="P450" s="138"/>
      <c r="AJ450" s="24"/>
      <c r="AP450" s="139"/>
      <c r="AQ450" s="24"/>
      <c r="AW450" s="138"/>
      <c r="BE450" s="140"/>
      <c r="BF450" s="138"/>
      <c r="BJ450" s="141"/>
      <c r="BK450" s="140"/>
      <c r="BL450" s="138"/>
      <c r="BM450" s="24"/>
      <c r="BW450" s="138"/>
      <c r="BX450" s="24"/>
      <c r="CH450" s="138"/>
      <c r="CI450" s="24"/>
      <c r="DE450" s="137"/>
      <c r="DG450" s="24"/>
      <c r="DI450" s="137"/>
      <c r="DK450" s="144"/>
      <c r="DL450" s="137"/>
      <c r="DM450" s="145"/>
    </row>
    <row r="451" spans="2:117" ht="15" customHeight="1">
      <c r="B451" s="136"/>
      <c r="C451" s="24"/>
      <c r="D451" s="24"/>
      <c r="E451" s="24"/>
      <c r="F451" s="24"/>
      <c r="G451" s="24"/>
      <c r="H451" s="24"/>
      <c r="I451" s="24"/>
      <c r="J451" s="24"/>
      <c r="K451" s="24"/>
      <c r="M451" s="137"/>
      <c r="P451" s="138"/>
      <c r="AJ451" s="24"/>
      <c r="AP451" s="139"/>
      <c r="AQ451" s="24"/>
      <c r="AW451" s="138"/>
      <c r="BE451" s="140"/>
      <c r="BF451" s="138"/>
      <c r="BJ451" s="141"/>
      <c r="BK451" s="140"/>
      <c r="BL451" s="138"/>
      <c r="BM451" s="24"/>
      <c r="BW451" s="138"/>
      <c r="BX451" s="24"/>
      <c r="CH451" s="138"/>
      <c r="CI451" s="24"/>
      <c r="DE451" s="137"/>
      <c r="DG451" s="24"/>
      <c r="DI451" s="137"/>
      <c r="DK451" s="144"/>
      <c r="DL451" s="137"/>
      <c r="DM451" s="145"/>
    </row>
    <row r="452" spans="2:117" ht="15" customHeight="1">
      <c r="B452" s="136"/>
      <c r="C452" s="24"/>
      <c r="D452" s="24"/>
      <c r="E452" s="24"/>
      <c r="F452" s="24"/>
      <c r="G452" s="24"/>
      <c r="H452" s="24"/>
      <c r="I452" s="24"/>
      <c r="J452" s="24"/>
      <c r="K452" s="24"/>
      <c r="M452" s="137"/>
      <c r="P452" s="138"/>
      <c r="AJ452" s="24"/>
      <c r="AP452" s="139"/>
      <c r="AQ452" s="24"/>
      <c r="AW452" s="138"/>
      <c r="BE452" s="140"/>
      <c r="BF452" s="138"/>
      <c r="BJ452" s="141"/>
      <c r="BK452" s="140"/>
      <c r="BL452" s="138"/>
      <c r="BM452" s="24"/>
      <c r="BW452" s="138"/>
      <c r="BX452" s="24"/>
      <c r="CH452" s="138"/>
      <c r="CI452" s="24"/>
      <c r="DE452" s="137"/>
      <c r="DG452" s="24"/>
      <c r="DI452" s="137"/>
      <c r="DK452" s="144"/>
      <c r="DL452" s="137"/>
      <c r="DM452" s="145"/>
    </row>
    <row r="453" spans="2:117" ht="15" customHeight="1">
      <c r="B453" s="136"/>
      <c r="C453" s="24"/>
      <c r="D453" s="24"/>
      <c r="E453" s="24"/>
      <c r="F453" s="24"/>
      <c r="G453" s="24"/>
      <c r="H453" s="24"/>
      <c r="I453" s="24"/>
      <c r="J453" s="24"/>
      <c r="K453" s="24"/>
      <c r="M453" s="137"/>
      <c r="P453" s="138"/>
      <c r="AJ453" s="24"/>
      <c r="AP453" s="139"/>
      <c r="AQ453" s="24"/>
      <c r="AW453" s="138"/>
      <c r="BE453" s="140"/>
      <c r="BF453" s="138"/>
      <c r="BJ453" s="141"/>
      <c r="BK453" s="140"/>
      <c r="BL453" s="138"/>
      <c r="BM453" s="24"/>
      <c r="BW453" s="138"/>
      <c r="BX453" s="24"/>
      <c r="CH453" s="138"/>
      <c r="CI453" s="24"/>
      <c r="DE453" s="137"/>
      <c r="DG453" s="24"/>
      <c r="DI453" s="137"/>
      <c r="DK453" s="144"/>
      <c r="DL453" s="137"/>
      <c r="DM453" s="145"/>
    </row>
    <row r="454" spans="2:117" ht="15" customHeight="1">
      <c r="B454" s="136"/>
      <c r="C454" s="24"/>
      <c r="D454" s="24"/>
      <c r="E454" s="24"/>
      <c r="F454" s="24"/>
      <c r="G454" s="24"/>
      <c r="H454" s="24"/>
      <c r="I454" s="24"/>
      <c r="J454" s="24"/>
      <c r="K454" s="24"/>
      <c r="M454" s="137"/>
      <c r="P454" s="138"/>
      <c r="AJ454" s="24"/>
      <c r="AP454" s="139"/>
      <c r="AQ454" s="24"/>
      <c r="AW454" s="138"/>
      <c r="BE454" s="140"/>
      <c r="BF454" s="138"/>
      <c r="BJ454" s="141"/>
      <c r="BK454" s="140"/>
      <c r="BL454" s="138"/>
      <c r="BM454" s="24"/>
      <c r="BW454" s="138"/>
      <c r="BX454" s="24"/>
      <c r="CH454" s="138"/>
      <c r="CI454" s="24"/>
      <c r="DE454" s="137"/>
      <c r="DG454" s="24"/>
      <c r="DI454" s="137"/>
      <c r="DK454" s="144"/>
      <c r="DL454" s="137"/>
      <c r="DM454" s="145"/>
    </row>
    <row r="455" spans="2:117" ht="15" customHeight="1">
      <c r="B455" s="136"/>
      <c r="C455" s="24"/>
      <c r="D455" s="24"/>
      <c r="E455" s="24"/>
      <c r="F455" s="24"/>
      <c r="G455" s="24"/>
      <c r="H455" s="24"/>
      <c r="I455" s="24"/>
      <c r="J455" s="24"/>
      <c r="K455" s="24"/>
      <c r="M455" s="137"/>
      <c r="P455" s="138"/>
      <c r="AJ455" s="24"/>
      <c r="AP455" s="139"/>
      <c r="AQ455" s="24"/>
      <c r="AW455" s="138"/>
      <c r="BE455" s="140"/>
      <c r="BF455" s="138"/>
      <c r="BJ455" s="141"/>
      <c r="BK455" s="140"/>
      <c r="BL455" s="138"/>
      <c r="BM455" s="24"/>
      <c r="BW455" s="138"/>
      <c r="BX455" s="24"/>
      <c r="CH455" s="138"/>
      <c r="CI455" s="24"/>
      <c r="DE455" s="137"/>
      <c r="DG455" s="24"/>
      <c r="DI455" s="137"/>
      <c r="DK455" s="144"/>
      <c r="DL455" s="137"/>
      <c r="DM455" s="145"/>
    </row>
    <row r="456" spans="2:117" ht="15" customHeight="1">
      <c r="B456" s="136"/>
      <c r="C456" s="24"/>
      <c r="D456" s="24"/>
      <c r="E456" s="24"/>
      <c r="F456" s="24"/>
      <c r="G456" s="24"/>
      <c r="H456" s="24"/>
      <c r="I456" s="24"/>
      <c r="J456" s="24"/>
      <c r="K456" s="24"/>
      <c r="M456" s="137"/>
      <c r="P456" s="138"/>
      <c r="AJ456" s="24"/>
      <c r="AP456" s="139"/>
      <c r="AQ456" s="24"/>
      <c r="AW456" s="138"/>
      <c r="BE456" s="140"/>
      <c r="BF456" s="138"/>
      <c r="BJ456" s="141"/>
      <c r="BK456" s="140"/>
      <c r="BL456" s="138"/>
      <c r="BM456" s="24"/>
      <c r="BW456" s="138"/>
      <c r="BX456" s="24"/>
      <c r="CH456" s="138"/>
      <c r="CI456" s="24"/>
      <c r="DE456" s="137"/>
      <c r="DG456" s="24"/>
      <c r="DI456" s="137"/>
      <c r="DK456" s="144"/>
      <c r="DL456" s="137"/>
      <c r="DM456" s="145"/>
    </row>
    <row r="457" spans="2:117" ht="15" customHeight="1">
      <c r="B457" s="136"/>
      <c r="C457" s="24"/>
      <c r="D457" s="24"/>
      <c r="E457" s="24"/>
      <c r="F457" s="24"/>
      <c r="G457" s="24"/>
      <c r="H457" s="24"/>
      <c r="I457" s="24"/>
      <c r="J457" s="24"/>
      <c r="K457" s="24"/>
      <c r="M457" s="137"/>
      <c r="P457" s="138"/>
      <c r="AJ457" s="24"/>
      <c r="AP457" s="139"/>
      <c r="AQ457" s="24"/>
      <c r="AW457" s="138"/>
      <c r="BE457" s="140"/>
      <c r="BF457" s="138"/>
      <c r="BJ457" s="141"/>
      <c r="BK457" s="140"/>
      <c r="BL457" s="138"/>
      <c r="BM457" s="24"/>
      <c r="BW457" s="138"/>
      <c r="BX457" s="24"/>
      <c r="CH457" s="138"/>
      <c r="CI457" s="24"/>
      <c r="DE457" s="137"/>
      <c r="DG457" s="24"/>
      <c r="DI457" s="137"/>
      <c r="DK457" s="144"/>
      <c r="DL457" s="137"/>
      <c r="DM457" s="145"/>
    </row>
    <row r="458" spans="2:117" ht="15" customHeight="1">
      <c r="B458" s="136"/>
      <c r="C458" s="24"/>
      <c r="D458" s="24"/>
      <c r="E458" s="24"/>
      <c r="F458" s="24"/>
      <c r="G458" s="24"/>
      <c r="H458" s="24"/>
      <c r="I458" s="24"/>
      <c r="J458" s="24"/>
      <c r="K458" s="24"/>
      <c r="M458" s="137"/>
      <c r="P458" s="138"/>
      <c r="AJ458" s="24"/>
      <c r="AP458" s="139"/>
      <c r="AQ458" s="24"/>
      <c r="AW458" s="138"/>
      <c r="BE458" s="140"/>
      <c r="BF458" s="138"/>
      <c r="BJ458" s="141"/>
      <c r="BK458" s="140"/>
      <c r="BL458" s="138"/>
      <c r="BM458" s="24"/>
      <c r="BW458" s="138"/>
      <c r="BX458" s="24"/>
      <c r="CH458" s="138"/>
      <c r="CI458" s="24"/>
      <c r="DE458" s="137"/>
      <c r="DG458" s="24"/>
      <c r="DI458" s="137"/>
      <c r="DK458" s="144"/>
      <c r="DL458" s="137"/>
      <c r="DM458" s="145"/>
    </row>
    <row r="459" spans="2:117" ht="15" customHeight="1">
      <c r="B459" s="136"/>
      <c r="C459" s="24"/>
      <c r="D459" s="24"/>
      <c r="E459" s="24"/>
      <c r="F459" s="24"/>
      <c r="G459" s="24"/>
      <c r="H459" s="24"/>
      <c r="I459" s="24"/>
      <c r="J459" s="24"/>
      <c r="K459" s="24"/>
      <c r="M459" s="137"/>
      <c r="P459" s="138"/>
      <c r="AJ459" s="24"/>
      <c r="AP459" s="139"/>
      <c r="AQ459" s="24"/>
      <c r="AW459" s="138"/>
      <c r="BE459" s="140"/>
      <c r="BF459" s="138"/>
      <c r="BJ459" s="141"/>
      <c r="BK459" s="140"/>
      <c r="BL459" s="138"/>
      <c r="BM459" s="24"/>
      <c r="BW459" s="138"/>
      <c r="BX459" s="24"/>
      <c r="CH459" s="138"/>
      <c r="CI459" s="24"/>
      <c r="DE459" s="137"/>
      <c r="DG459" s="24"/>
      <c r="DI459" s="137"/>
      <c r="DK459" s="144"/>
      <c r="DL459" s="137"/>
      <c r="DM459" s="145"/>
    </row>
    <row r="460" spans="2:117" ht="15" customHeight="1">
      <c r="B460" s="136"/>
      <c r="C460" s="24"/>
      <c r="D460" s="24"/>
      <c r="E460" s="24"/>
      <c r="F460" s="24"/>
      <c r="G460" s="24"/>
      <c r="H460" s="24"/>
      <c r="I460" s="24"/>
      <c r="J460" s="24"/>
      <c r="K460" s="24"/>
      <c r="M460" s="137"/>
      <c r="P460" s="138"/>
      <c r="AJ460" s="24"/>
      <c r="AP460" s="139"/>
      <c r="AQ460" s="24"/>
      <c r="AW460" s="138"/>
      <c r="BE460" s="140"/>
      <c r="BF460" s="138"/>
      <c r="BJ460" s="141"/>
      <c r="BK460" s="140"/>
      <c r="BL460" s="138"/>
      <c r="BM460" s="24"/>
      <c r="BW460" s="138"/>
      <c r="BX460" s="24"/>
      <c r="CH460" s="138"/>
      <c r="CI460" s="24"/>
      <c r="DE460" s="137"/>
      <c r="DG460" s="24"/>
      <c r="DI460" s="137"/>
      <c r="DK460" s="144"/>
      <c r="DL460" s="137"/>
      <c r="DM460" s="145"/>
    </row>
    <row r="461" spans="2:117" ht="15" customHeight="1">
      <c r="B461" s="136"/>
      <c r="C461" s="24"/>
      <c r="D461" s="24"/>
      <c r="E461" s="24"/>
      <c r="F461" s="24"/>
      <c r="G461" s="24"/>
      <c r="H461" s="24"/>
      <c r="I461" s="24"/>
      <c r="J461" s="24"/>
      <c r="K461" s="24"/>
      <c r="M461" s="137"/>
      <c r="P461" s="138"/>
      <c r="AJ461" s="24"/>
      <c r="AP461" s="139"/>
      <c r="AQ461" s="24"/>
      <c r="AW461" s="138"/>
      <c r="BE461" s="140"/>
      <c r="BF461" s="138"/>
      <c r="BJ461" s="141"/>
      <c r="BK461" s="140"/>
      <c r="BL461" s="138"/>
      <c r="BM461" s="24"/>
      <c r="BW461" s="138"/>
      <c r="BX461" s="24"/>
      <c r="CH461" s="138"/>
      <c r="CI461" s="24"/>
      <c r="DE461" s="137"/>
      <c r="DG461" s="24"/>
      <c r="DI461" s="137"/>
      <c r="DK461" s="144"/>
      <c r="DL461" s="137"/>
      <c r="DM461" s="145"/>
    </row>
    <row r="462" spans="2:117" ht="15" customHeight="1">
      <c r="B462" s="136"/>
      <c r="C462" s="24"/>
      <c r="D462" s="24"/>
      <c r="E462" s="24"/>
      <c r="F462" s="24"/>
      <c r="G462" s="24"/>
      <c r="H462" s="24"/>
      <c r="I462" s="24"/>
      <c r="J462" s="24"/>
      <c r="K462" s="24"/>
      <c r="M462" s="137"/>
      <c r="P462" s="138"/>
      <c r="AJ462" s="24"/>
      <c r="AP462" s="139"/>
      <c r="AQ462" s="24"/>
      <c r="AW462" s="138"/>
      <c r="BE462" s="140"/>
      <c r="BF462" s="138"/>
      <c r="BJ462" s="141"/>
      <c r="BK462" s="140"/>
      <c r="BL462" s="138"/>
      <c r="BM462" s="24"/>
      <c r="BW462" s="138"/>
      <c r="BX462" s="24"/>
      <c r="CH462" s="138"/>
      <c r="CI462" s="24"/>
      <c r="DE462" s="137"/>
      <c r="DG462" s="24"/>
      <c r="DI462" s="137"/>
      <c r="DK462" s="144"/>
      <c r="DL462" s="137"/>
      <c r="DM462" s="145"/>
    </row>
    <row r="463" spans="2:117" ht="15" customHeight="1">
      <c r="B463" s="136"/>
      <c r="C463" s="24"/>
      <c r="D463" s="24"/>
      <c r="E463" s="24"/>
      <c r="F463" s="24"/>
      <c r="G463" s="24"/>
      <c r="H463" s="24"/>
      <c r="I463" s="24"/>
      <c r="J463" s="24"/>
      <c r="K463" s="24"/>
      <c r="M463" s="137"/>
      <c r="P463" s="138"/>
      <c r="AJ463" s="24"/>
      <c r="AP463" s="139"/>
      <c r="AQ463" s="24"/>
      <c r="AW463" s="138"/>
      <c r="BE463" s="140"/>
      <c r="BF463" s="138"/>
      <c r="BJ463" s="141"/>
      <c r="BK463" s="140"/>
      <c r="BL463" s="138"/>
      <c r="BM463" s="24"/>
      <c r="BW463" s="138"/>
      <c r="BX463" s="24"/>
      <c r="CH463" s="138"/>
      <c r="CI463" s="24"/>
      <c r="DE463" s="137"/>
      <c r="DG463" s="24"/>
      <c r="DI463" s="137"/>
      <c r="DK463" s="144"/>
      <c r="DL463" s="137"/>
      <c r="DM463" s="145"/>
    </row>
    <row r="464" spans="2:117" ht="15" customHeight="1">
      <c r="B464" s="136"/>
      <c r="C464" s="24"/>
      <c r="D464" s="24"/>
      <c r="E464" s="24"/>
      <c r="F464" s="24"/>
      <c r="G464" s="24"/>
      <c r="H464" s="24"/>
      <c r="I464" s="24"/>
      <c r="J464" s="24"/>
      <c r="K464" s="24"/>
      <c r="M464" s="137"/>
      <c r="P464" s="138"/>
      <c r="AJ464" s="24"/>
      <c r="AP464" s="139"/>
      <c r="AQ464" s="24"/>
      <c r="AW464" s="138"/>
      <c r="BE464" s="140"/>
      <c r="BF464" s="138"/>
      <c r="BJ464" s="141"/>
      <c r="BK464" s="140"/>
      <c r="BL464" s="138"/>
      <c r="BM464" s="24"/>
      <c r="BW464" s="138"/>
      <c r="BX464" s="24"/>
      <c r="CH464" s="138"/>
      <c r="CI464" s="24"/>
      <c r="DE464" s="137"/>
      <c r="DG464" s="24"/>
      <c r="DI464" s="137"/>
      <c r="DK464" s="144"/>
      <c r="DL464" s="137"/>
      <c r="DM464" s="145"/>
    </row>
    <row r="465" spans="2:117" ht="15" customHeight="1">
      <c r="B465" s="136"/>
      <c r="C465" s="24"/>
      <c r="D465" s="24"/>
      <c r="E465" s="24"/>
      <c r="F465" s="24"/>
      <c r="G465" s="24"/>
      <c r="H465" s="24"/>
      <c r="I465" s="24"/>
      <c r="J465" s="24"/>
      <c r="K465" s="24"/>
      <c r="M465" s="137"/>
      <c r="P465" s="138"/>
      <c r="AJ465" s="24"/>
      <c r="AP465" s="139"/>
      <c r="AQ465" s="24"/>
      <c r="AW465" s="138"/>
      <c r="BE465" s="140"/>
      <c r="BF465" s="138"/>
      <c r="BJ465" s="141"/>
      <c r="BK465" s="140"/>
      <c r="BL465" s="138"/>
      <c r="BM465" s="24"/>
      <c r="BW465" s="138"/>
      <c r="BX465" s="24"/>
      <c r="CH465" s="138"/>
      <c r="CI465" s="24"/>
      <c r="DE465" s="137"/>
      <c r="DG465" s="24"/>
      <c r="DI465" s="137"/>
      <c r="DK465" s="144"/>
      <c r="DL465" s="137"/>
      <c r="DM465" s="145"/>
    </row>
    <row r="466" spans="2:117" ht="15" customHeight="1">
      <c r="B466" s="136"/>
      <c r="C466" s="24"/>
      <c r="D466" s="24"/>
      <c r="E466" s="24"/>
      <c r="F466" s="24"/>
      <c r="G466" s="24"/>
      <c r="H466" s="24"/>
      <c r="I466" s="24"/>
      <c r="J466" s="24"/>
      <c r="K466" s="24"/>
      <c r="M466" s="137"/>
      <c r="P466" s="138"/>
      <c r="AJ466" s="24"/>
      <c r="AP466" s="139"/>
      <c r="AQ466" s="24"/>
      <c r="AW466" s="138"/>
      <c r="BE466" s="140"/>
      <c r="BF466" s="138"/>
      <c r="BJ466" s="141"/>
      <c r="BK466" s="140"/>
      <c r="BL466" s="138"/>
      <c r="BM466" s="24"/>
      <c r="BW466" s="138"/>
      <c r="BX466" s="24"/>
      <c r="CH466" s="138"/>
      <c r="CI466" s="24"/>
      <c r="DE466" s="137"/>
      <c r="DG466" s="24"/>
      <c r="DI466" s="137"/>
      <c r="DK466" s="144"/>
      <c r="DL466" s="137"/>
      <c r="DM466" s="145"/>
    </row>
    <row r="467" spans="2:117" ht="15" customHeight="1">
      <c r="B467" s="136"/>
      <c r="C467" s="24"/>
      <c r="D467" s="24"/>
      <c r="E467" s="24"/>
      <c r="F467" s="24"/>
      <c r="G467" s="24"/>
      <c r="H467" s="24"/>
      <c r="I467" s="24"/>
      <c r="J467" s="24"/>
      <c r="K467" s="24"/>
      <c r="M467" s="137"/>
      <c r="P467" s="138"/>
      <c r="AJ467" s="24"/>
      <c r="AP467" s="139"/>
      <c r="AQ467" s="24"/>
      <c r="AW467" s="138"/>
      <c r="BE467" s="140"/>
      <c r="BF467" s="138"/>
      <c r="BJ467" s="141"/>
      <c r="BK467" s="140"/>
      <c r="BL467" s="138"/>
      <c r="BM467" s="24"/>
      <c r="BW467" s="138"/>
      <c r="BX467" s="24"/>
      <c r="CH467" s="138"/>
      <c r="CI467" s="24"/>
      <c r="DE467" s="137"/>
      <c r="DG467" s="24"/>
      <c r="DI467" s="137"/>
      <c r="DK467" s="144"/>
      <c r="DL467" s="137"/>
      <c r="DM467" s="145"/>
    </row>
    <row r="468" spans="2:117" ht="15" customHeight="1">
      <c r="B468" s="136"/>
      <c r="C468" s="24"/>
      <c r="D468" s="24"/>
      <c r="E468" s="24"/>
      <c r="F468" s="24"/>
      <c r="G468" s="24"/>
      <c r="H468" s="24"/>
      <c r="I468" s="24"/>
      <c r="J468" s="24"/>
      <c r="K468" s="24"/>
      <c r="M468" s="137"/>
      <c r="P468" s="138"/>
      <c r="AJ468" s="24"/>
      <c r="AP468" s="139"/>
      <c r="AQ468" s="24"/>
      <c r="AW468" s="138"/>
      <c r="BE468" s="140"/>
      <c r="BF468" s="138"/>
      <c r="BJ468" s="141"/>
      <c r="BK468" s="140"/>
      <c r="BL468" s="138"/>
      <c r="BM468" s="24"/>
      <c r="BW468" s="138"/>
      <c r="BX468" s="24"/>
      <c r="CH468" s="138"/>
      <c r="CI468" s="24"/>
      <c r="DE468" s="137"/>
      <c r="DG468" s="24"/>
      <c r="DI468" s="137"/>
      <c r="DK468" s="144"/>
      <c r="DL468" s="137"/>
      <c r="DM468" s="145"/>
    </row>
    <row r="469" spans="2:117" ht="15" customHeight="1">
      <c r="B469" s="136"/>
      <c r="C469" s="24"/>
      <c r="D469" s="24"/>
      <c r="E469" s="24"/>
      <c r="F469" s="24"/>
      <c r="G469" s="24"/>
      <c r="H469" s="24"/>
      <c r="I469" s="24"/>
      <c r="J469" s="24"/>
      <c r="K469" s="24"/>
      <c r="M469" s="137"/>
      <c r="P469" s="138"/>
      <c r="AJ469" s="24"/>
      <c r="AP469" s="139"/>
      <c r="AQ469" s="24"/>
      <c r="AW469" s="138"/>
      <c r="BE469" s="140"/>
      <c r="BF469" s="138"/>
      <c r="BJ469" s="141"/>
      <c r="BK469" s="140"/>
      <c r="BL469" s="138"/>
      <c r="BM469" s="24"/>
      <c r="BW469" s="138"/>
      <c r="BX469" s="24"/>
      <c r="CH469" s="138"/>
      <c r="CI469" s="24"/>
      <c r="DE469" s="137"/>
      <c r="DG469" s="24"/>
      <c r="DI469" s="137"/>
      <c r="DK469" s="144"/>
      <c r="DL469" s="137"/>
      <c r="DM469" s="145"/>
    </row>
    <row r="470" spans="2:117" ht="15" customHeight="1">
      <c r="B470" s="136"/>
      <c r="C470" s="24"/>
      <c r="D470" s="24"/>
      <c r="E470" s="24"/>
      <c r="F470" s="24"/>
      <c r="G470" s="24"/>
      <c r="H470" s="24"/>
      <c r="I470" s="24"/>
      <c r="J470" s="24"/>
      <c r="K470" s="24"/>
      <c r="M470" s="137"/>
      <c r="P470" s="138"/>
      <c r="AJ470" s="24"/>
      <c r="AP470" s="139"/>
      <c r="AQ470" s="24"/>
      <c r="AW470" s="138"/>
      <c r="BE470" s="140"/>
      <c r="BF470" s="138"/>
      <c r="BJ470" s="141"/>
      <c r="BK470" s="140"/>
      <c r="BL470" s="138"/>
      <c r="BM470" s="24"/>
      <c r="BW470" s="138"/>
      <c r="BX470" s="24"/>
      <c r="CH470" s="138"/>
      <c r="CI470" s="24"/>
      <c r="DE470" s="137"/>
      <c r="DG470" s="24"/>
      <c r="DI470" s="137"/>
      <c r="DK470" s="144"/>
      <c r="DL470" s="137"/>
      <c r="DM470" s="145"/>
    </row>
    <row r="471" spans="2:117" ht="15" customHeight="1">
      <c r="B471" s="136"/>
      <c r="C471" s="24"/>
      <c r="D471" s="24"/>
      <c r="E471" s="24"/>
      <c r="F471" s="24"/>
      <c r="G471" s="24"/>
      <c r="H471" s="24"/>
      <c r="I471" s="24"/>
      <c r="J471" s="24"/>
      <c r="K471" s="24"/>
      <c r="M471" s="137"/>
      <c r="P471" s="138"/>
      <c r="AJ471" s="24"/>
      <c r="AP471" s="139"/>
      <c r="AQ471" s="24"/>
      <c r="AW471" s="138"/>
      <c r="BE471" s="140"/>
      <c r="BF471" s="138"/>
      <c r="BJ471" s="141"/>
      <c r="BK471" s="140"/>
      <c r="BL471" s="138"/>
      <c r="BM471" s="24"/>
      <c r="BW471" s="138"/>
      <c r="BX471" s="24"/>
      <c r="CH471" s="138"/>
      <c r="CI471" s="24"/>
      <c r="DE471" s="137"/>
      <c r="DG471" s="24"/>
      <c r="DI471" s="137"/>
      <c r="DK471" s="144"/>
      <c r="DL471" s="137"/>
      <c r="DM471" s="145"/>
    </row>
    <row r="472" spans="2:117" ht="15" customHeight="1">
      <c r="B472" s="136"/>
      <c r="C472" s="24"/>
      <c r="D472" s="24"/>
      <c r="E472" s="24"/>
      <c r="F472" s="24"/>
      <c r="G472" s="24"/>
      <c r="H472" s="24"/>
      <c r="I472" s="24"/>
      <c r="J472" s="24"/>
      <c r="K472" s="24"/>
      <c r="M472" s="137"/>
      <c r="P472" s="138"/>
      <c r="AJ472" s="24"/>
      <c r="AP472" s="139"/>
      <c r="AQ472" s="24"/>
      <c r="AW472" s="138"/>
      <c r="BE472" s="140"/>
      <c r="BF472" s="138"/>
      <c r="BJ472" s="141"/>
      <c r="BK472" s="140"/>
      <c r="BL472" s="138"/>
      <c r="BM472" s="24"/>
      <c r="BW472" s="138"/>
      <c r="BX472" s="24"/>
      <c r="CH472" s="138"/>
      <c r="CI472" s="24"/>
      <c r="DE472" s="137"/>
      <c r="DG472" s="24"/>
      <c r="DI472" s="137"/>
      <c r="DK472" s="144"/>
      <c r="DL472" s="137"/>
      <c r="DM472" s="145"/>
    </row>
    <row r="473" spans="2:117" ht="15" customHeight="1">
      <c r="B473" s="136"/>
      <c r="C473" s="24"/>
      <c r="D473" s="24"/>
      <c r="E473" s="24"/>
      <c r="F473" s="24"/>
      <c r="G473" s="24"/>
      <c r="H473" s="24"/>
      <c r="I473" s="24"/>
      <c r="J473" s="24"/>
      <c r="K473" s="24"/>
      <c r="M473" s="137"/>
      <c r="P473" s="138"/>
      <c r="AJ473" s="24"/>
      <c r="AP473" s="139"/>
      <c r="AQ473" s="24"/>
      <c r="AW473" s="138"/>
      <c r="BE473" s="140"/>
      <c r="BF473" s="138"/>
      <c r="BJ473" s="141"/>
      <c r="BK473" s="140"/>
      <c r="BL473" s="138"/>
      <c r="BM473" s="24"/>
      <c r="BW473" s="138"/>
      <c r="BX473" s="24"/>
      <c r="CH473" s="138"/>
      <c r="CI473" s="24"/>
      <c r="DE473" s="137"/>
      <c r="DG473" s="24"/>
      <c r="DI473" s="137"/>
      <c r="DK473" s="144"/>
      <c r="DL473" s="137"/>
      <c r="DM473" s="145"/>
    </row>
    <row r="474" spans="2:117" ht="15" customHeight="1">
      <c r="B474" s="136"/>
      <c r="C474" s="24"/>
      <c r="D474" s="24"/>
      <c r="E474" s="24"/>
      <c r="F474" s="24"/>
      <c r="G474" s="24"/>
      <c r="H474" s="24"/>
      <c r="I474" s="24"/>
      <c r="J474" s="24"/>
      <c r="K474" s="24"/>
      <c r="M474" s="137"/>
      <c r="P474" s="138"/>
      <c r="AJ474" s="24"/>
      <c r="AP474" s="139"/>
      <c r="AQ474" s="24"/>
      <c r="AW474" s="138"/>
      <c r="BE474" s="140"/>
      <c r="BF474" s="138"/>
      <c r="BJ474" s="141"/>
      <c r="BK474" s="140"/>
      <c r="BL474" s="138"/>
      <c r="BM474" s="24"/>
      <c r="BW474" s="138"/>
      <c r="BX474" s="24"/>
      <c r="CH474" s="138"/>
      <c r="CI474" s="24"/>
      <c r="DE474" s="137"/>
      <c r="DG474" s="24"/>
      <c r="DI474" s="137"/>
      <c r="DK474" s="144"/>
      <c r="DL474" s="137"/>
      <c r="DM474" s="145"/>
    </row>
    <row r="475" spans="2:117" ht="15" customHeight="1">
      <c r="B475" s="136"/>
      <c r="C475" s="24"/>
      <c r="D475" s="24"/>
      <c r="E475" s="24"/>
      <c r="F475" s="24"/>
      <c r="G475" s="24"/>
      <c r="H475" s="24"/>
      <c r="I475" s="24"/>
      <c r="J475" s="24"/>
      <c r="K475" s="24"/>
      <c r="M475" s="137"/>
      <c r="P475" s="138"/>
      <c r="AJ475" s="24"/>
      <c r="AP475" s="139"/>
      <c r="AQ475" s="24"/>
      <c r="AW475" s="138"/>
      <c r="BE475" s="140"/>
      <c r="BF475" s="138"/>
      <c r="BJ475" s="141"/>
      <c r="BK475" s="140"/>
      <c r="BL475" s="138"/>
      <c r="BM475" s="24"/>
      <c r="BW475" s="138"/>
      <c r="BX475" s="24"/>
      <c r="CH475" s="138"/>
      <c r="CI475" s="24"/>
      <c r="DE475" s="137"/>
      <c r="DG475" s="24"/>
      <c r="DI475" s="137"/>
      <c r="DK475" s="144"/>
      <c r="DL475" s="137"/>
      <c r="DM475" s="145"/>
    </row>
    <row r="476" spans="2:117" ht="15" customHeight="1">
      <c r="B476" s="136"/>
      <c r="C476" s="24"/>
      <c r="D476" s="24"/>
      <c r="E476" s="24"/>
      <c r="F476" s="24"/>
      <c r="G476" s="24"/>
      <c r="H476" s="24"/>
      <c r="I476" s="24"/>
      <c r="J476" s="24"/>
      <c r="K476" s="24"/>
      <c r="M476" s="137"/>
      <c r="P476" s="138"/>
      <c r="AJ476" s="24"/>
      <c r="AP476" s="139"/>
      <c r="AQ476" s="24"/>
      <c r="AW476" s="138"/>
      <c r="BE476" s="140"/>
      <c r="BF476" s="138"/>
      <c r="BJ476" s="141"/>
      <c r="BK476" s="140"/>
      <c r="BL476" s="138"/>
      <c r="BM476" s="24"/>
      <c r="BW476" s="138"/>
      <c r="BX476" s="24"/>
      <c r="CH476" s="138"/>
      <c r="CI476" s="24"/>
      <c r="DE476" s="137"/>
      <c r="DG476" s="24"/>
      <c r="DI476" s="137"/>
      <c r="DK476" s="144"/>
      <c r="DL476" s="137"/>
      <c r="DM476" s="145"/>
    </row>
    <row r="477" spans="2:117" ht="15" customHeight="1">
      <c r="B477" s="136"/>
      <c r="C477" s="24"/>
      <c r="D477" s="24"/>
      <c r="E477" s="24"/>
      <c r="F477" s="24"/>
      <c r="G477" s="24"/>
      <c r="H477" s="24"/>
      <c r="I477" s="24"/>
      <c r="J477" s="24"/>
      <c r="K477" s="24"/>
      <c r="M477" s="137"/>
      <c r="P477" s="138"/>
      <c r="AJ477" s="24"/>
      <c r="AP477" s="139"/>
      <c r="AQ477" s="24"/>
      <c r="AW477" s="138"/>
      <c r="BE477" s="140"/>
      <c r="BF477" s="138"/>
      <c r="BJ477" s="141"/>
      <c r="BK477" s="140"/>
      <c r="BL477" s="138"/>
      <c r="BM477" s="24"/>
      <c r="BW477" s="138"/>
      <c r="BX477" s="24"/>
      <c r="CH477" s="138"/>
      <c r="CI477" s="24"/>
      <c r="DE477" s="137"/>
      <c r="DG477" s="24"/>
      <c r="DI477" s="137"/>
      <c r="DK477" s="144"/>
      <c r="DL477" s="137"/>
      <c r="DM477" s="145"/>
    </row>
    <row r="478" spans="2:117" ht="15" customHeight="1">
      <c r="B478" s="136"/>
      <c r="C478" s="24"/>
      <c r="D478" s="24"/>
      <c r="E478" s="24"/>
      <c r="F478" s="24"/>
      <c r="G478" s="24"/>
      <c r="H478" s="24"/>
      <c r="I478" s="24"/>
      <c r="J478" s="24"/>
      <c r="K478" s="24"/>
      <c r="M478" s="137"/>
      <c r="P478" s="138"/>
      <c r="AJ478" s="24"/>
      <c r="AP478" s="139"/>
      <c r="AQ478" s="24"/>
      <c r="AW478" s="138"/>
      <c r="BE478" s="140"/>
      <c r="BF478" s="138"/>
      <c r="BJ478" s="141"/>
      <c r="BK478" s="140"/>
      <c r="BL478" s="138"/>
      <c r="BM478" s="24"/>
      <c r="BW478" s="138"/>
      <c r="BX478" s="24"/>
      <c r="CH478" s="138"/>
      <c r="CI478" s="24"/>
      <c r="DE478" s="137"/>
      <c r="DG478" s="24"/>
      <c r="DI478" s="137"/>
      <c r="DK478" s="144"/>
      <c r="DL478" s="137"/>
      <c r="DM478" s="145"/>
    </row>
    <row r="479" spans="2:117" ht="15" customHeight="1">
      <c r="B479" s="136"/>
      <c r="C479" s="24"/>
      <c r="D479" s="24"/>
      <c r="E479" s="24"/>
      <c r="F479" s="24"/>
      <c r="G479" s="24"/>
      <c r="H479" s="24"/>
      <c r="I479" s="24"/>
      <c r="J479" s="24"/>
      <c r="K479" s="24"/>
      <c r="M479" s="137"/>
      <c r="P479" s="138"/>
      <c r="AJ479" s="24"/>
      <c r="AP479" s="139"/>
      <c r="AQ479" s="24"/>
      <c r="AW479" s="138"/>
      <c r="BE479" s="140"/>
      <c r="BF479" s="138"/>
      <c r="BJ479" s="141"/>
      <c r="BK479" s="140"/>
      <c r="BL479" s="138"/>
      <c r="BM479" s="24"/>
      <c r="BW479" s="138"/>
      <c r="BX479" s="24"/>
      <c r="CH479" s="138"/>
      <c r="CI479" s="24"/>
      <c r="DE479" s="137"/>
      <c r="DG479" s="24"/>
      <c r="DI479" s="137"/>
      <c r="DK479" s="144"/>
      <c r="DL479" s="137"/>
      <c r="DM479" s="145"/>
    </row>
    <row r="480" spans="2:117" ht="15" customHeight="1">
      <c r="B480" s="136"/>
      <c r="C480" s="24"/>
      <c r="D480" s="24"/>
      <c r="E480" s="24"/>
      <c r="F480" s="24"/>
      <c r="G480" s="24"/>
      <c r="H480" s="24"/>
      <c r="I480" s="24"/>
      <c r="J480" s="24"/>
      <c r="K480" s="24"/>
      <c r="M480" s="137"/>
      <c r="P480" s="138"/>
      <c r="AJ480" s="24"/>
      <c r="AP480" s="139"/>
      <c r="AQ480" s="24"/>
      <c r="AW480" s="138"/>
      <c r="BE480" s="140"/>
      <c r="BF480" s="138"/>
      <c r="BJ480" s="141"/>
      <c r="BK480" s="140"/>
      <c r="BL480" s="138"/>
      <c r="BM480" s="24"/>
      <c r="BW480" s="138"/>
      <c r="BX480" s="24"/>
      <c r="CH480" s="138"/>
      <c r="CI480" s="24"/>
      <c r="DE480" s="137"/>
      <c r="DG480" s="24"/>
      <c r="DI480" s="137"/>
      <c r="DK480" s="144"/>
      <c r="DL480" s="137"/>
      <c r="DM480" s="145"/>
    </row>
    <row r="481" spans="2:117" ht="15" customHeight="1">
      <c r="B481" s="136"/>
      <c r="C481" s="24"/>
      <c r="D481" s="24"/>
      <c r="E481" s="24"/>
      <c r="F481" s="24"/>
      <c r="G481" s="24"/>
      <c r="H481" s="24"/>
      <c r="I481" s="24"/>
      <c r="J481" s="24"/>
      <c r="K481" s="24"/>
      <c r="M481" s="137"/>
      <c r="P481" s="138"/>
      <c r="AJ481" s="24"/>
      <c r="AP481" s="139"/>
      <c r="AQ481" s="24"/>
      <c r="AW481" s="138"/>
      <c r="BE481" s="140"/>
      <c r="BF481" s="138"/>
      <c r="BJ481" s="141"/>
      <c r="BK481" s="140"/>
      <c r="BL481" s="138"/>
      <c r="BM481" s="24"/>
      <c r="BW481" s="138"/>
      <c r="BX481" s="24"/>
      <c r="CH481" s="138"/>
      <c r="CI481" s="24"/>
      <c r="DE481" s="137"/>
      <c r="DG481" s="24"/>
      <c r="DI481" s="137"/>
      <c r="DK481" s="144"/>
      <c r="DL481" s="137"/>
      <c r="DM481" s="145"/>
    </row>
    <row r="482" spans="2:117" ht="15" customHeight="1">
      <c r="B482" s="136"/>
      <c r="C482" s="24"/>
      <c r="D482" s="24"/>
      <c r="E482" s="24"/>
      <c r="F482" s="24"/>
      <c r="G482" s="24"/>
      <c r="H482" s="24"/>
      <c r="I482" s="24"/>
      <c r="J482" s="24"/>
      <c r="K482" s="24"/>
      <c r="M482" s="137"/>
      <c r="P482" s="138"/>
      <c r="AJ482" s="24"/>
      <c r="AP482" s="139"/>
      <c r="AQ482" s="24"/>
      <c r="AW482" s="138"/>
      <c r="BE482" s="140"/>
      <c r="BF482" s="138"/>
      <c r="BJ482" s="141"/>
      <c r="BK482" s="140"/>
      <c r="BL482" s="138"/>
      <c r="BM482" s="24"/>
      <c r="BW482" s="138"/>
      <c r="BX482" s="24"/>
      <c r="CH482" s="138"/>
      <c r="CI482" s="24"/>
      <c r="DE482" s="137"/>
      <c r="DG482" s="24"/>
      <c r="DI482" s="137"/>
      <c r="DK482" s="144"/>
      <c r="DL482" s="137"/>
      <c r="DM482" s="145"/>
    </row>
    <row r="483" spans="2:117" ht="15" customHeight="1">
      <c r="B483" s="136"/>
      <c r="C483" s="24"/>
      <c r="D483" s="24"/>
      <c r="E483" s="24"/>
      <c r="F483" s="24"/>
      <c r="G483" s="24"/>
      <c r="H483" s="24"/>
      <c r="I483" s="24"/>
      <c r="J483" s="24"/>
      <c r="K483" s="24"/>
      <c r="M483" s="137"/>
      <c r="P483" s="138"/>
      <c r="AJ483" s="24"/>
      <c r="AP483" s="139"/>
      <c r="AQ483" s="24"/>
      <c r="AW483" s="138"/>
      <c r="BE483" s="140"/>
      <c r="BF483" s="138"/>
      <c r="BJ483" s="141"/>
      <c r="BK483" s="140"/>
      <c r="BL483" s="138"/>
      <c r="BM483" s="24"/>
      <c r="BW483" s="138"/>
      <c r="BX483" s="24"/>
      <c r="CH483" s="138"/>
      <c r="CI483" s="24"/>
      <c r="DE483" s="137"/>
      <c r="DG483" s="24"/>
      <c r="DI483" s="137"/>
      <c r="DK483" s="144"/>
      <c r="DL483" s="137"/>
      <c r="DM483" s="145"/>
    </row>
    <row r="484" spans="2:117" ht="15" customHeight="1">
      <c r="B484" s="136"/>
      <c r="C484" s="24"/>
      <c r="D484" s="24"/>
      <c r="E484" s="24"/>
      <c r="F484" s="24"/>
      <c r="G484" s="24"/>
      <c r="H484" s="24"/>
      <c r="I484" s="24"/>
      <c r="J484" s="24"/>
      <c r="K484" s="24"/>
      <c r="M484" s="137"/>
      <c r="P484" s="138"/>
      <c r="AJ484" s="24"/>
      <c r="AP484" s="139"/>
      <c r="AQ484" s="24"/>
      <c r="AW484" s="138"/>
      <c r="BE484" s="140"/>
      <c r="BF484" s="138"/>
      <c r="BJ484" s="141"/>
      <c r="BK484" s="140"/>
      <c r="BL484" s="138"/>
      <c r="BM484" s="24"/>
      <c r="BW484" s="138"/>
      <c r="BX484" s="24"/>
      <c r="CH484" s="138"/>
      <c r="CI484" s="24"/>
      <c r="DE484" s="137"/>
      <c r="DG484" s="24"/>
      <c r="DI484" s="137"/>
      <c r="DK484" s="144"/>
      <c r="DL484" s="137"/>
      <c r="DM484" s="145"/>
    </row>
    <row r="485" spans="2:117" ht="15" customHeight="1">
      <c r="B485" s="136"/>
      <c r="C485" s="24"/>
      <c r="D485" s="24"/>
      <c r="E485" s="24"/>
      <c r="F485" s="24"/>
      <c r="G485" s="24"/>
      <c r="H485" s="24"/>
      <c r="I485" s="24"/>
      <c r="J485" s="24"/>
      <c r="K485" s="24"/>
      <c r="M485" s="137"/>
      <c r="P485" s="138"/>
      <c r="AJ485" s="24"/>
      <c r="AP485" s="139"/>
      <c r="AQ485" s="24"/>
      <c r="AW485" s="138"/>
      <c r="BE485" s="140"/>
      <c r="BF485" s="138"/>
      <c r="BJ485" s="141"/>
      <c r="BK485" s="140"/>
      <c r="BL485" s="138"/>
      <c r="BM485" s="24"/>
      <c r="BW485" s="138"/>
      <c r="BX485" s="24"/>
      <c r="CH485" s="138"/>
      <c r="CI485" s="24"/>
      <c r="DE485" s="137"/>
      <c r="DG485" s="24"/>
      <c r="DI485" s="137"/>
      <c r="DK485" s="144"/>
      <c r="DL485" s="137"/>
      <c r="DM485" s="145"/>
    </row>
    <row r="486" spans="2:117" ht="15" customHeight="1">
      <c r="B486" s="136"/>
      <c r="C486" s="24"/>
      <c r="D486" s="24"/>
      <c r="E486" s="24"/>
      <c r="F486" s="24"/>
      <c r="G486" s="24"/>
      <c r="H486" s="24"/>
      <c r="I486" s="24"/>
      <c r="J486" s="24"/>
      <c r="K486" s="24"/>
      <c r="M486" s="137"/>
      <c r="P486" s="138"/>
      <c r="AJ486" s="24"/>
      <c r="AP486" s="139"/>
      <c r="AQ486" s="24"/>
      <c r="AW486" s="138"/>
      <c r="BE486" s="140"/>
      <c r="BF486" s="138"/>
      <c r="BJ486" s="141"/>
      <c r="BK486" s="140"/>
      <c r="BL486" s="138"/>
      <c r="BM486" s="24"/>
      <c r="BW486" s="138"/>
      <c r="BX486" s="24"/>
      <c r="CH486" s="138"/>
      <c r="CI486" s="24"/>
      <c r="DE486" s="137"/>
      <c r="DG486" s="24"/>
      <c r="DI486" s="137"/>
      <c r="DK486" s="144"/>
      <c r="DL486" s="137"/>
      <c r="DM486" s="145"/>
    </row>
    <row r="487" spans="2:117" ht="15" customHeight="1">
      <c r="B487" s="136"/>
      <c r="C487" s="24"/>
      <c r="D487" s="24"/>
      <c r="E487" s="24"/>
      <c r="F487" s="24"/>
      <c r="G487" s="24"/>
      <c r="H487" s="24"/>
      <c r="I487" s="24"/>
      <c r="J487" s="24"/>
      <c r="K487" s="24"/>
      <c r="M487" s="137"/>
      <c r="P487" s="138"/>
      <c r="AJ487" s="24"/>
      <c r="AP487" s="139"/>
      <c r="AQ487" s="24"/>
      <c r="AW487" s="138"/>
      <c r="BE487" s="140"/>
      <c r="BF487" s="138"/>
      <c r="BJ487" s="141"/>
      <c r="BK487" s="140"/>
      <c r="BL487" s="138"/>
      <c r="BM487" s="24"/>
      <c r="BW487" s="138"/>
      <c r="BX487" s="24"/>
      <c r="CH487" s="138"/>
      <c r="CI487" s="24"/>
      <c r="DE487" s="137"/>
      <c r="DG487" s="24"/>
      <c r="DI487" s="137"/>
      <c r="DK487" s="144"/>
      <c r="DL487" s="137"/>
      <c r="DM487" s="145"/>
    </row>
    <row r="488" spans="2:117" ht="15" customHeight="1">
      <c r="B488" s="136"/>
      <c r="C488" s="24"/>
      <c r="D488" s="24"/>
      <c r="E488" s="24"/>
      <c r="F488" s="24"/>
      <c r="G488" s="24"/>
      <c r="H488" s="24"/>
      <c r="I488" s="24"/>
      <c r="J488" s="24"/>
      <c r="K488" s="24"/>
      <c r="M488" s="137"/>
      <c r="P488" s="138"/>
      <c r="AJ488" s="24"/>
      <c r="AP488" s="139"/>
      <c r="AQ488" s="24"/>
      <c r="AW488" s="138"/>
      <c r="BE488" s="140"/>
      <c r="BF488" s="138"/>
      <c r="BJ488" s="141"/>
      <c r="BK488" s="140"/>
      <c r="BL488" s="138"/>
      <c r="BM488" s="24"/>
      <c r="BW488" s="138"/>
      <c r="BX488" s="24"/>
      <c r="CH488" s="138"/>
      <c r="CI488" s="24"/>
      <c r="DE488" s="137"/>
      <c r="DG488" s="24"/>
      <c r="DI488" s="137"/>
      <c r="DK488" s="144"/>
      <c r="DL488" s="137"/>
      <c r="DM488" s="145"/>
    </row>
    <row r="489" spans="2:117" ht="15" customHeight="1">
      <c r="B489" s="136"/>
      <c r="C489" s="24"/>
      <c r="D489" s="24"/>
      <c r="E489" s="24"/>
      <c r="F489" s="24"/>
      <c r="G489" s="24"/>
      <c r="H489" s="24"/>
      <c r="I489" s="24"/>
      <c r="J489" s="24"/>
      <c r="K489" s="24"/>
      <c r="M489" s="137"/>
      <c r="P489" s="138"/>
      <c r="AJ489" s="24"/>
      <c r="AP489" s="139"/>
      <c r="AQ489" s="24"/>
      <c r="AW489" s="138"/>
      <c r="BE489" s="140"/>
      <c r="BF489" s="138"/>
      <c r="BJ489" s="141"/>
      <c r="BK489" s="140"/>
      <c r="BL489" s="138"/>
      <c r="BM489" s="24"/>
      <c r="BW489" s="138"/>
      <c r="BX489" s="24"/>
      <c r="CH489" s="138"/>
      <c r="CI489" s="24"/>
      <c r="DE489" s="137"/>
      <c r="DG489" s="24"/>
      <c r="DI489" s="137"/>
      <c r="DK489" s="144"/>
      <c r="DL489" s="137"/>
      <c r="DM489" s="145"/>
    </row>
    <row r="490" spans="2:117" ht="15" customHeight="1">
      <c r="B490" s="136"/>
      <c r="C490" s="24"/>
      <c r="D490" s="24"/>
      <c r="E490" s="24"/>
      <c r="F490" s="24"/>
      <c r="G490" s="24"/>
      <c r="H490" s="24"/>
      <c r="I490" s="24"/>
      <c r="J490" s="24"/>
      <c r="K490" s="24"/>
      <c r="M490" s="137"/>
      <c r="P490" s="138"/>
      <c r="AJ490" s="24"/>
      <c r="AP490" s="139"/>
      <c r="AQ490" s="24"/>
      <c r="AW490" s="138"/>
      <c r="BE490" s="140"/>
      <c r="BF490" s="138"/>
      <c r="BJ490" s="141"/>
      <c r="BK490" s="140"/>
      <c r="BL490" s="138"/>
      <c r="BM490" s="24"/>
      <c r="BW490" s="138"/>
      <c r="BX490" s="24"/>
      <c r="CH490" s="138"/>
      <c r="CI490" s="24"/>
      <c r="DE490" s="137"/>
      <c r="DG490" s="24"/>
      <c r="DI490" s="137"/>
      <c r="DK490" s="144"/>
      <c r="DL490" s="137"/>
      <c r="DM490" s="145"/>
    </row>
    <row r="491" spans="2:117" ht="15" customHeight="1">
      <c r="B491" s="136"/>
      <c r="C491" s="24"/>
      <c r="D491" s="24"/>
      <c r="E491" s="24"/>
      <c r="F491" s="24"/>
      <c r="G491" s="24"/>
      <c r="H491" s="24"/>
      <c r="I491" s="24"/>
      <c r="J491" s="24"/>
      <c r="K491" s="24"/>
      <c r="M491" s="137"/>
      <c r="P491" s="138"/>
      <c r="AJ491" s="24"/>
      <c r="AP491" s="139"/>
      <c r="AQ491" s="24"/>
      <c r="AW491" s="138"/>
      <c r="BE491" s="140"/>
      <c r="BF491" s="138"/>
      <c r="BJ491" s="141"/>
      <c r="BK491" s="140"/>
      <c r="BL491" s="138"/>
      <c r="BM491" s="24"/>
      <c r="BW491" s="138"/>
      <c r="BX491" s="24"/>
      <c r="CH491" s="138"/>
      <c r="CI491" s="24"/>
      <c r="DE491" s="137"/>
      <c r="DG491" s="24"/>
      <c r="DI491" s="137"/>
      <c r="DK491" s="144"/>
      <c r="DL491" s="137"/>
      <c r="DM491" s="145"/>
    </row>
    <row r="492" spans="2:117" ht="15" customHeight="1">
      <c r="B492" s="136"/>
      <c r="C492" s="24"/>
      <c r="D492" s="24"/>
      <c r="E492" s="24"/>
      <c r="F492" s="24"/>
      <c r="G492" s="24"/>
      <c r="H492" s="24"/>
      <c r="I492" s="24"/>
      <c r="J492" s="24"/>
      <c r="K492" s="24"/>
      <c r="M492" s="137"/>
      <c r="P492" s="138"/>
      <c r="AJ492" s="24"/>
      <c r="AP492" s="139"/>
      <c r="AQ492" s="24"/>
      <c r="AW492" s="138"/>
      <c r="BE492" s="140"/>
      <c r="BF492" s="138"/>
      <c r="BJ492" s="141"/>
      <c r="BK492" s="140"/>
      <c r="BL492" s="138"/>
      <c r="BM492" s="24"/>
      <c r="BW492" s="138"/>
      <c r="BX492" s="24"/>
      <c r="CH492" s="138"/>
      <c r="CI492" s="24"/>
      <c r="DE492" s="137"/>
      <c r="DG492" s="24"/>
      <c r="DI492" s="137"/>
      <c r="DK492" s="144"/>
      <c r="DL492" s="137"/>
      <c r="DM492" s="145"/>
    </row>
    <row r="493" spans="2:117" ht="15" customHeight="1">
      <c r="B493" s="136"/>
      <c r="C493" s="24"/>
      <c r="D493" s="24"/>
      <c r="E493" s="24"/>
      <c r="F493" s="24"/>
      <c r="G493" s="24"/>
      <c r="H493" s="24"/>
      <c r="I493" s="24"/>
      <c r="J493" s="24"/>
      <c r="K493" s="24"/>
      <c r="M493" s="137"/>
      <c r="P493" s="138"/>
      <c r="AJ493" s="24"/>
      <c r="AP493" s="139"/>
      <c r="AQ493" s="24"/>
      <c r="AW493" s="138"/>
      <c r="BE493" s="140"/>
      <c r="BF493" s="138"/>
      <c r="BJ493" s="141"/>
      <c r="BK493" s="140"/>
      <c r="BL493" s="138"/>
      <c r="BM493" s="24"/>
      <c r="BW493" s="138"/>
      <c r="BX493" s="24"/>
      <c r="CH493" s="138"/>
      <c r="CI493" s="24"/>
      <c r="DE493" s="137"/>
      <c r="DG493" s="24"/>
      <c r="DI493" s="137"/>
      <c r="DK493" s="144"/>
      <c r="DL493" s="137"/>
      <c r="DM493" s="145"/>
    </row>
    <row r="494" spans="2:117" ht="15" customHeight="1">
      <c r="B494" s="136"/>
      <c r="C494" s="24"/>
      <c r="D494" s="24"/>
      <c r="E494" s="24"/>
      <c r="F494" s="24"/>
      <c r="G494" s="24"/>
      <c r="H494" s="24"/>
      <c r="I494" s="24"/>
      <c r="J494" s="24"/>
      <c r="K494" s="24"/>
      <c r="M494" s="137"/>
      <c r="P494" s="138"/>
      <c r="AJ494" s="24"/>
      <c r="AP494" s="139"/>
      <c r="AQ494" s="24"/>
      <c r="AW494" s="138"/>
      <c r="BE494" s="140"/>
      <c r="BF494" s="138"/>
      <c r="BJ494" s="141"/>
      <c r="BK494" s="140"/>
      <c r="BL494" s="138"/>
      <c r="BM494" s="24"/>
      <c r="BW494" s="138"/>
      <c r="BX494" s="24"/>
      <c r="CH494" s="138"/>
      <c r="CI494" s="24"/>
      <c r="DE494" s="137"/>
      <c r="DG494" s="24"/>
      <c r="DI494" s="137"/>
      <c r="DK494" s="144"/>
      <c r="DL494" s="137"/>
      <c r="DM494" s="145"/>
    </row>
    <row r="495" spans="2:117" ht="15" customHeight="1">
      <c r="B495" s="136"/>
      <c r="C495" s="24"/>
      <c r="D495" s="24"/>
      <c r="E495" s="24"/>
      <c r="F495" s="24"/>
      <c r="G495" s="24"/>
      <c r="H495" s="24"/>
      <c r="I495" s="24"/>
      <c r="J495" s="24"/>
      <c r="K495" s="24"/>
      <c r="M495" s="137"/>
      <c r="P495" s="138"/>
      <c r="AJ495" s="24"/>
      <c r="AP495" s="139"/>
      <c r="AQ495" s="24"/>
      <c r="AW495" s="138"/>
      <c r="BE495" s="140"/>
      <c r="BF495" s="138"/>
      <c r="BJ495" s="141"/>
      <c r="BK495" s="140"/>
      <c r="BL495" s="138"/>
      <c r="BM495" s="24"/>
      <c r="BW495" s="138"/>
      <c r="BX495" s="24"/>
      <c r="CH495" s="138"/>
      <c r="CI495" s="24"/>
      <c r="DE495" s="137"/>
      <c r="DG495" s="24"/>
      <c r="DI495" s="137"/>
      <c r="DK495" s="144"/>
      <c r="DL495" s="137"/>
      <c r="DM495" s="145"/>
    </row>
    <row r="496" spans="2:117" ht="15" customHeight="1">
      <c r="B496" s="136"/>
      <c r="C496" s="24"/>
      <c r="D496" s="24"/>
      <c r="E496" s="24"/>
      <c r="F496" s="24"/>
      <c r="G496" s="24"/>
      <c r="H496" s="24"/>
      <c r="I496" s="24"/>
      <c r="J496" s="24"/>
      <c r="K496" s="24"/>
      <c r="M496" s="137"/>
      <c r="P496" s="138"/>
      <c r="AJ496" s="24"/>
      <c r="AP496" s="139"/>
      <c r="AQ496" s="24"/>
      <c r="AW496" s="138"/>
      <c r="BE496" s="140"/>
      <c r="BF496" s="138"/>
      <c r="BJ496" s="141"/>
      <c r="BK496" s="140"/>
      <c r="BL496" s="138"/>
      <c r="BM496" s="24"/>
      <c r="BW496" s="138"/>
      <c r="BX496" s="24"/>
      <c r="CH496" s="138"/>
      <c r="CI496" s="24"/>
      <c r="DE496" s="137"/>
      <c r="DG496" s="24"/>
      <c r="DI496" s="137"/>
      <c r="DK496" s="144"/>
      <c r="DL496" s="137"/>
      <c r="DM496" s="145"/>
    </row>
    <row r="497" spans="2:117" ht="15" customHeight="1">
      <c r="B497" s="136"/>
      <c r="C497" s="24"/>
      <c r="D497" s="24"/>
      <c r="E497" s="24"/>
      <c r="F497" s="24"/>
      <c r="G497" s="24"/>
      <c r="H497" s="24"/>
      <c r="I497" s="24"/>
      <c r="J497" s="24"/>
      <c r="K497" s="24"/>
      <c r="M497" s="137"/>
      <c r="P497" s="138"/>
      <c r="AJ497" s="24"/>
      <c r="AP497" s="139"/>
      <c r="AQ497" s="24"/>
      <c r="AW497" s="138"/>
      <c r="BE497" s="140"/>
      <c r="BF497" s="138"/>
      <c r="BJ497" s="141"/>
      <c r="BK497" s="140"/>
      <c r="BL497" s="138"/>
      <c r="BM497" s="24"/>
      <c r="BW497" s="138"/>
      <c r="BX497" s="24"/>
      <c r="CH497" s="138"/>
      <c r="CI497" s="24"/>
      <c r="DE497" s="137"/>
      <c r="DG497" s="24"/>
      <c r="DI497" s="137"/>
      <c r="DK497" s="144"/>
      <c r="DL497" s="137"/>
      <c r="DM497" s="145"/>
    </row>
    <row r="498" spans="2:117" ht="15" customHeight="1">
      <c r="B498" s="136"/>
      <c r="C498" s="24"/>
      <c r="D498" s="24"/>
      <c r="E498" s="24"/>
      <c r="F498" s="24"/>
      <c r="G498" s="24"/>
      <c r="H498" s="24"/>
      <c r="I498" s="24"/>
      <c r="J498" s="24"/>
      <c r="K498" s="24"/>
      <c r="M498" s="137"/>
      <c r="P498" s="138"/>
      <c r="AJ498" s="24"/>
      <c r="AP498" s="139"/>
      <c r="AQ498" s="24"/>
      <c r="AW498" s="138"/>
      <c r="BE498" s="140"/>
      <c r="BF498" s="138"/>
      <c r="BJ498" s="141"/>
      <c r="BK498" s="140"/>
      <c r="BL498" s="138"/>
      <c r="BM498" s="24"/>
      <c r="BW498" s="138"/>
      <c r="BX498" s="24"/>
      <c r="CH498" s="138"/>
      <c r="CI498" s="24"/>
      <c r="DE498" s="137"/>
      <c r="DG498" s="24"/>
      <c r="DI498" s="137"/>
      <c r="DK498" s="144"/>
      <c r="DL498" s="137"/>
      <c r="DM498" s="145"/>
    </row>
    <row r="499" spans="2:117" ht="15" customHeight="1">
      <c r="B499" s="136"/>
      <c r="C499" s="24"/>
      <c r="D499" s="24"/>
      <c r="E499" s="24"/>
      <c r="F499" s="24"/>
      <c r="G499" s="24"/>
      <c r="H499" s="24"/>
      <c r="I499" s="24"/>
      <c r="J499" s="24"/>
      <c r="K499" s="24"/>
      <c r="M499" s="137"/>
      <c r="P499" s="138"/>
      <c r="AJ499" s="24"/>
      <c r="AP499" s="139"/>
      <c r="AQ499" s="24"/>
      <c r="AW499" s="138"/>
      <c r="BE499" s="140"/>
      <c r="BF499" s="138"/>
      <c r="BJ499" s="141"/>
      <c r="BK499" s="140"/>
      <c r="BL499" s="138"/>
      <c r="BM499" s="24"/>
      <c r="BW499" s="138"/>
      <c r="BX499" s="24"/>
      <c r="CH499" s="138"/>
      <c r="CI499" s="24"/>
      <c r="DE499" s="137"/>
      <c r="DG499" s="24"/>
      <c r="DI499" s="137"/>
      <c r="DK499" s="144"/>
      <c r="DL499" s="137"/>
      <c r="DM499" s="145"/>
    </row>
    <row r="500" spans="2:117" ht="15" customHeight="1">
      <c r="B500" s="136"/>
      <c r="C500" s="24"/>
      <c r="D500" s="24"/>
      <c r="E500" s="24"/>
      <c r="F500" s="24"/>
      <c r="G500" s="24"/>
      <c r="H500" s="24"/>
      <c r="I500" s="24"/>
      <c r="J500" s="24"/>
      <c r="K500" s="24"/>
      <c r="M500" s="137"/>
      <c r="P500" s="138"/>
      <c r="AJ500" s="24"/>
      <c r="AP500" s="139"/>
      <c r="AQ500" s="24"/>
      <c r="AW500" s="138"/>
      <c r="BE500" s="140"/>
      <c r="BF500" s="138"/>
      <c r="BJ500" s="141"/>
      <c r="BK500" s="140"/>
      <c r="BL500" s="138"/>
      <c r="BM500" s="24"/>
      <c r="BW500" s="138"/>
      <c r="BX500" s="24"/>
      <c r="CH500" s="138"/>
      <c r="CI500" s="24"/>
      <c r="DE500" s="137"/>
      <c r="DG500" s="24"/>
      <c r="DI500" s="137"/>
      <c r="DK500" s="144"/>
      <c r="DL500" s="137"/>
      <c r="DM500" s="145"/>
    </row>
    <row r="501" spans="2:117" ht="15" customHeight="1">
      <c r="B501" s="136"/>
      <c r="C501" s="24"/>
      <c r="D501" s="24"/>
      <c r="E501" s="24"/>
      <c r="F501" s="24"/>
      <c r="G501" s="24"/>
      <c r="H501" s="24"/>
      <c r="I501" s="24"/>
      <c r="J501" s="24"/>
      <c r="K501" s="24"/>
      <c r="M501" s="137"/>
      <c r="P501" s="138"/>
      <c r="AJ501" s="24"/>
      <c r="AP501" s="139"/>
      <c r="AQ501" s="24"/>
      <c r="AW501" s="138"/>
      <c r="BE501" s="140"/>
      <c r="BF501" s="138"/>
      <c r="BJ501" s="141"/>
      <c r="BK501" s="140"/>
      <c r="BL501" s="138"/>
      <c r="BM501" s="24"/>
      <c r="BW501" s="138"/>
      <c r="BX501" s="24"/>
      <c r="CH501" s="138"/>
      <c r="CI501" s="24"/>
      <c r="DE501" s="137"/>
      <c r="DG501" s="24"/>
      <c r="DI501" s="137"/>
      <c r="DK501" s="144"/>
      <c r="DL501" s="137"/>
      <c r="DM501" s="145"/>
    </row>
    <row r="502" spans="2:117" ht="15" customHeight="1">
      <c r="B502" s="136"/>
      <c r="C502" s="24"/>
      <c r="D502" s="24"/>
      <c r="E502" s="24"/>
      <c r="F502" s="24"/>
      <c r="G502" s="24"/>
      <c r="H502" s="24"/>
      <c r="I502" s="24"/>
      <c r="J502" s="24"/>
      <c r="K502" s="24"/>
      <c r="M502" s="137"/>
      <c r="P502" s="138"/>
      <c r="AJ502" s="24"/>
      <c r="AP502" s="139"/>
      <c r="AQ502" s="24"/>
      <c r="AW502" s="138"/>
      <c r="BE502" s="140"/>
      <c r="BF502" s="138"/>
      <c r="BJ502" s="141"/>
      <c r="BK502" s="140"/>
      <c r="BL502" s="138"/>
      <c r="BM502" s="24"/>
      <c r="BW502" s="138"/>
      <c r="BX502" s="24"/>
      <c r="CH502" s="138"/>
      <c r="CI502" s="24"/>
      <c r="DE502" s="137"/>
      <c r="DG502" s="24"/>
      <c r="DI502" s="137"/>
      <c r="DK502" s="144"/>
      <c r="DL502" s="137"/>
      <c r="DM502" s="145"/>
    </row>
    <row r="503" spans="2:117" ht="15" customHeight="1">
      <c r="B503" s="136"/>
      <c r="C503" s="24"/>
      <c r="D503" s="24"/>
      <c r="E503" s="24"/>
      <c r="F503" s="24"/>
      <c r="G503" s="24"/>
      <c r="H503" s="24"/>
      <c r="I503" s="24"/>
      <c r="J503" s="24"/>
      <c r="K503" s="24"/>
      <c r="M503" s="137"/>
      <c r="P503" s="138"/>
      <c r="AJ503" s="24"/>
      <c r="AP503" s="139"/>
      <c r="AQ503" s="24"/>
      <c r="AW503" s="138"/>
      <c r="BE503" s="140"/>
      <c r="BF503" s="138"/>
      <c r="BJ503" s="141"/>
      <c r="BK503" s="140"/>
      <c r="BL503" s="138"/>
      <c r="BM503" s="24"/>
      <c r="BW503" s="138"/>
      <c r="BX503" s="24"/>
      <c r="CH503" s="138"/>
      <c r="CI503" s="24"/>
      <c r="DE503" s="137"/>
      <c r="DG503" s="24"/>
      <c r="DI503" s="137"/>
      <c r="DK503" s="144"/>
      <c r="DL503" s="137"/>
      <c r="DM503" s="145"/>
    </row>
    <row r="504" spans="2:117" ht="15" customHeight="1">
      <c r="B504" s="136"/>
      <c r="C504" s="24"/>
      <c r="D504" s="24"/>
      <c r="E504" s="24"/>
      <c r="F504" s="24"/>
      <c r="G504" s="24"/>
      <c r="H504" s="24"/>
      <c r="I504" s="24"/>
      <c r="J504" s="24"/>
      <c r="K504" s="24"/>
      <c r="M504" s="137"/>
      <c r="P504" s="138"/>
      <c r="AJ504" s="24"/>
      <c r="AP504" s="139"/>
      <c r="AQ504" s="24"/>
      <c r="AW504" s="138"/>
      <c r="BE504" s="140"/>
      <c r="BF504" s="138"/>
      <c r="BJ504" s="141"/>
      <c r="BK504" s="140"/>
      <c r="BL504" s="138"/>
      <c r="BM504" s="24"/>
      <c r="BW504" s="138"/>
      <c r="BX504" s="24"/>
      <c r="CH504" s="138"/>
      <c r="CI504" s="24"/>
      <c r="DE504" s="137"/>
      <c r="DG504" s="24"/>
      <c r="DI504" s="137"/>
      <c r="DK504" s="144"/>
      <c r="DL504" s="137"/>
      <c r="DM504" s="145"/>
    </row>
    <row r="505" spans="2:117" ht="15" customHeight="1">
      <c r="B505" s="136"/>
      <c r="C505" s="24"/>
      <c r="D505" s="24"/>
      <c r="E505" s="24"/>
      <c r="F505" s="24"/>
      <c r="G505" s="24"/>
      <c r="H505" s="24"/>
      <c r="I505" s="24"/>
      <c r="J505" s="24"/>
      <c r="K505" s="24"/>
      <c r="M505" s="137"/>
      <c r="P505" s="138"/>
      <c r="AJ505" s="24"/>
      <c r="AP505" s="139"/>
      <c r="AQ505" s="24"/>
      <c r="AW505" s="138"/>
      <c r="BE505" s="140"/>
      <c r="BF505" s="138"/>
      <c r="BJ505" s="141"/>
      <c r="BK505" s="140"/>
      <c r="BL505" s="138"/>
      <c r="BM505" s="24"/>
      <c r="BW505" s="138"/>
      <c r="BX505" s="24"/>
      <c r="CH505" s="138"/>
      <c r="CI505" s="24"/>
      <c r="DE505" s="137"/>
      <c r="DG505" s="24"/>
      <c r="DI505" s="137"/>
      <c r="DK505" s="144"/>
      <c r="DL505" s="137"/>
      <c r="DM505" s="145"/>
    </row>
    <row r="506" spans="2:117" ht="15" customHeight="1">
      <c r="B506" s="136"/>
      <c r="C506" s="24"/>
      <c r="D506" s="24"/>
      <c r="E506" s="24"/>
      <c r="F506" s="24"/>
      <c r="G506" s="24"/>
      <c r="H506" s="24"/>
      <c r="I506" s="24"/>
      <c r="J506" s="24"/>
      <c r="K506" s="24"/>
      <c r="M506" s="137"/>
      <c r="P506" s="138"/>
      <c r="AJ506" s="24"/>
      <c r="AP506" s="139"/>
      <c r="AQ506" s="24"/>
      <c r="AW506" s="138"/>
      <c r="BE506" s="140"/>
      <c r="BF506" s="138"/>
      <c r="BJ506" s="141"/>
      <c r="BK506" s="140"/>
      <c r="BL506" s="138"/>
      <c r="BM506" s="24"/>
      <c r="BW506" s="138"/>
      <c r="BX506" s="24"/>
      <c r="CH506" s="138"/>
      <c r="CI506" s="24"/>
      <c r="DE506" s="137"/>
      <c r="DG506" s="24"/>
      <c r="DI506" s="137"/>
      <c r="DK506" s="144"/>
      <c r="DL506" s="137"/>
      <c r="DM506" s="145"/>
    </row>
    <row r="507" spans="2:117" ht="15" customHeight="1">
      <c r="B507" s="136"/>
      <c r="C507" s="24"/>
      <c r="D507" s="24"/>
      <c r="E507" s="24"/>
      <c r="F507" s="24"/>
      <c r="G507" s="24"/>
      <c r="H507" s="24"/>
      <c r="I507" s="24"/>
      <c r="J507" s="24"/>
      <c r="K507" s="24"/>
      <c r="M507" s="137"/>
      <c r="P507" s="138"/>
      <c r="AJ507" s="24"/>
      <c r="AP507" s="139"/>
      <c r="AQ507" s="24"/>
      <c r="AW507" s="138"/>
      <c r="BE507" s="140"/>
      <c r="BF507" s="138"/>
      <c r="BJ507" s="141"/>
      <c r="BK507" s="140"/>
      <c r="BL507" s="138"/>
      <c r="BM507" s="24"/>
      <c r="BW507" s="138"/>
      <c r="BX507" s="24"/>
      <c r="CH507" s="138"/>
      <c r="CI507" s="24"/>
      <c r="DE507" s="137"/>
      <c r="DG507" s="24"/>
      <c r="DI507" s="137"/>
      <c r="DK507" s="144"/>
      <c r="DL507" s="137"/>
      <c r="DM507" s="145"/>
    </row>
    <row r="508" spans="2:117" ht="15" customHeight="1">
      <c r="B508" s="136"/>
      <c r="C508" s="24"/>
      <c r="D508" s="24"/>
      <c r="E508" s="24"/>
      <c r="F508" s="24"/>
      <c r="G508" s="24"/>
      <c r="H508" s="24"/>
      <c r="I508" s="24"/>
      <c r="J508" s="24"/>
      <c r="K508" s="24"/>
      <c r="M508" s="137"/>
      <c r="P508" s="138"/>
      <c r="AJ508" s="24"/>
      <c r="AP508" s="139"/>
      <c r="AQ508" s="24"/>
      <c r="AW508" s="138"/>
      <c r="BE508" s="140"/>
      <c r="BF508" s="138"/>
      <c r="BJ508" s="141"/>
      <c r="BK508" s="140"/>
      <c r="BL508" s="138"/>
      <c r="BM508" s="24"/>
      <c r="BW508" s="138"/>
      <c r="BX508" s="24"/>
      <c r="CH508" s="138"/>
      <c r="CI508" s="24"/>
      <c r="DE508" s="137"/>
      <c r="DG508" s="24"/>
      <c r="DI508" s="137"/>
      <c r="DK508" s="144"/>
      <c r="DL508" s="137"/>
      <c r="DM508" s="145"/>
    </row>
    <row r="509" spans="2:117" ht="15" customHeight="1">
      <c r="B509" s="136"/>
      <c r="C509" s="24"/>
      <c r="D509" s="24"/>
      <c r="E509" s="24"/>
      <c r="F509" s="24"/>
      <c r="G509" s="24"/>
      <c r="H509" s="24"/>
      <c r="I509" s="24"/>
      <c r="J509" s="24"/>
      <c r="K509" s="24"/>
      <c r="M509" s="137"/>
      <c r="P509" s="138"/>
      <c r="AJ509" s="24"/>
      <c r="AP509" s="139"/>
      <c r="AQ509" s="24"/>
      <c r="AW509" s="138"/>
      <c r="BE509" s="140"/>
      <c r="BF509" s="138"/>
      <c r="BJ509" s="141"/>
      <c r="BK509" s="140"/>
      <c r="BL509" s="138"/>
      <c r="BM509" s="24"/>
      <c r="BW509" s="138"/>
      <c r="BX509" s="24"/>
      <c r="CH509" s="138"/>
      <c r="CI509" s="24"/>
      <c r="DE509" s="137"/>
      <c r="DG509" s="24"/>
      <c r="DI509" s="137"/>
      <c r="DK509" s="144"/>
      <c r="DL509" s="137"/>
      <c r="DM509" s="145"/>
    </row>
    <row r="510" spans="2:117" ht="15" customHeight="1">
      <c r="B510" s="136"/>
      <c r="C510" s="24"/>
      <c r="D510" s="24"/>
      <c r="E510" s="24"/>
      <c r="F510" s="24"/>
      <c r="G510" s="24"/>
      <c r="H510" s="24"/>
      <c r="I510" s="24"/>
      <c r="J510" s="24"/>
      <c r="K510" s="24"/>
      <c r="M510" s="137"/>
      <c r="P510" s="138"/>
      <c r="AJ510" s="24"/>
      <c r="AP510" s="139"/>
      <c r="AQ510" s="24"/>
      <c r="AW510" s="138"/>
      <c r="BE510" s="140"/>
      <c r="BF510" s="138"/>
      <c r="BJ510" s="141"/>
      <c r="BK510" s="140"/>
      <c r="BL510" s="138"/>
      <c r="BM510" s="24"/>
      <c r="BW510" s="138"/>
      <c r="BX510" s="24"/>
      <c r="CH510" s="138"/>
      <c r="CI510" s="24"/>
      <c r="DE510" s="137"/>
      <c r="DG510" s="24"/>
      <c r="DI510" s="137"/>
      <c r="DK510" s="144"/>
      <c r="DL510" s="137"/>
      <c r="DM510" s="145"/>
    </row>
    <row r="511" spans="2:117" ht="15" customHeight="1">
      <c r="B511" s="136"/>
      <c r="C511" s="24"/>
      <c r="D511" s="24"/>
      <c r="E511" s="24"/>
      <c r="F511" s="24"/>
      <c r="G511" s="24"/>
      <c r="H511" s="24"/>
      <c r="I511" s="24"/>
      <c r="J511" s="24"/>
      <c r="K511" s="24"/>
      <c r="M511" s="137"/>
      <c r="P511" s="138"/>
      <c r="AJ511" s="24"/>
      <c r="AP511" s="139"/>
      <c r="AQ511" s="24"/>
      <c r="AW511" s="138"/>
      <c r="BE511" s="140"/>
      <c r="BF511" s="138"/>
      <c r="BJ511" s="141"/>
      <c r="BK511" s="140"/>
      <c r="BL511" s="138"/>
      <c r="BM511" s="24"/>
      <c r="BW511" s="138"/>
      <c r="BX511" s="24"/>
      <c r="CH511" s="138"/>
      <c r="CI511" s="24"/>
      <c r="DE511" s="137"/>
      <c r="DG511" s="24"/>
      <c r="DI511" s="137"/>
      <c r="DK511" s="144"/>
      <c r="DL511" s="137"/>
      <c r="DM511" s="145"/>
    </row>
    <row r="512" spans="2:117" ht="15" customHeight="1">
      <c r="B512" s="136"/>
      <c r="C512" s="24"/>
      <c r="D512" s="24"/>
      <c r="E512" s="24"/>
      <c r="F512" s="24"/>
      <c r="G512" s="24"/>
      <c r="H512" s="24"/>
      <c r="I512" s="24"/>
      <c r="J512" s="24"/>
      <c r="K512" s="24"/>
      <c r="M512" s="137"/>
      <c r="P512" s="138"/>
      <c r="AJ512" s="24"/>
      <c r="AP512" s="139"/>
      <c r="AQ512" s="24"/>
      <c r="AW512" s="138"/>
      <c r="BE512" s="140"/>
      <c r="BF512" s="138"/>
      <c r="BJ512" s="141"/>
      <c r="BK512" s="140"/>
      <c r="BL512" s="138"/>
      <c r="BM512" s="24"/>
      <c r="BW512" s="138"/>
      <c r="BX512" s="24"/>
      <c r="CH512" s="138"/>
      <c r="CI512" s="24"/>
      <c r="DE512" s="137"/>
      <c r="DG512" s="24"/>
      <c r="DI512" s="137"/>
      <c r="DK512" s="144"/>
      <c r="DL512" s="137"/>
      <c r="DM512" s="145"/>
    </row>
    <row r="513" spans="2:117" ht="15" customHeight="1">
      <c r="B513" s="136"/>
      <c r="C513" s="24"/>
      <c r="D513" s="24"/>
      <c r="E513" s="24"/>
      <c r="F513" s="24"/>
      <c r="G513" s="24"/>
      <c r="H513" s="24"/>
      <c r="I513" s="24"/>
      <c r="J513" s="24"/>
      <c r="K513" s="24"/>
      <c r="M513" s="137"/>
      <c r="P513" s="138"/>
      <c r="AJ513" s="24"/>
      <c r="AP513" s="139"/>
      <c r="AQ513" s="24"/>
      <c r="AW513" s="138"/>
      <c r="BE513" s="140"/>
      <c r="BF513" s="138"/>
      <c r="BJ513" s="141"/>
      <c r="BK513" s="140"/>
      <c r="BL513" s="138"/>
      <c r="BM513" s="24"/>
      <c r="BW513" s="138"/>
      <c r="BX513" s="24"/>
      <c r="CH513" s="138"/>
      <c r="CI513" s="24"/>
      <c r="DE513" s="137"/>
      <c r="DG513" s="24"/>
      <c r="DI513" s="137"/>
      <c r="DK513" s="144"/>
      <c r="DL513" s="137"/>
      <c r="DM513" s="145"/>
    </row>
    <row r="514" spans="2:117" ht="15" customHeight="1">
      <c r="B514" s="136"/>
      <c r="C514" s="24"/>
      <c r="D514" s="24"/>
      <c r="E514" s="24"/>
      <c r="F514" s="24"/>
      <c r="G514" s="24"/>
      <c r="H514" s="24"/>
      <c r="I514" s="24"/>
      <c r="J514" s="24"/>
      <c r="K514" s="24"/>
      <c r="M514" s="137"/>
      <c r="P514" s="138"/>
      <c r="AJ514" s="24"/>
      <c r="AP514" s="139"/>
      <c r="AQ514" s="24"/>
      <c r="AW514" s="138"/>
      <c r="BE514" s="140"/>
      <c r="BF514" s="138"/>
      <c r="BJ514" s="141"/>
      <c r="BK514" s="140"/>
      <c r="BL514" s="138"/>
      <c r="BM514" s="24"/>
      <c r="BW514" s="138"/>
      <c r="BX514" s="24"/>
      <c r="CH514" s="138"/>
      <c r="CI514" s="24"/>
      <c r="DE514" s="137"/>
      <c r="DG514" s="24"/>
      <c r="DI514" s="137"/>
      <c r="DK514" s="144"/>
      <c r="DL514" s="137"/>
      <c r="DM514" s="145"/>
    </row>
    <row r="515" spans="2:117" ht="15" customHeight="1">
      <c r="B515" s="136"/>
      <c r="C515" s="24"/>
      <c r="D515" s="24"/>
      <c r="E515" s="24"/>
      <c r="F515" s="24"/>
      <c r="G515" s="24"/>
      <c r="H515" s="24"/>
      <c r="I515" s="24"/>
      <c r="J515" s="24"/>
      <c r="K515" s="24"/>
      <c r="M515" s="137"/>
      <c r="P515" s="138"/>
      <c r="AJ515" s="24"/>
      <c r="AP515" s="139"/>
      <c r="AQ515" s="24"/>
      <c r="AW515" s="138"/>
      <c r="BE515" s="140"/>
      <c r="BF515" s="138"/>
      <c r="BJ515" s="141"/>
      <c r="BK515" s="140"/>
      <c r="BL515" s="138"/>
      <c r="BM515" s="24"/>
      <c r="BW515" s="138"/>
      <c r="BX515" s="24"/>
      <c r="CH515" s="138"/>
      <c r="CI515" s="24"/>
      <c r="DE515" s="137"/>
      <c r="DG515" s="24"/>
      <c r="DI515" s="137"/>
      <c r="DK515" s="144"/>
      <c r="DL515" s="137"/>
      <c r="DM515" s="145"/>
    </row>
    <row r="516" spans="2:117" ht="15" customHeight="1">
      <c r="B516" s="136"/>
      <c r="C516" s="24"/>
      <c r="D516" s="24"/>
      <c r="E516" s="24"/>
      <c r="F516" s="24"/>
      <c r="G516" s="24"/>
      <c r="H516" s="24"/>
      <c r="I516" s="24"/>
      <c r="J516" s="24"/>
      <c r="K516" s="24"/>
      <c r="M516" s="137"/>
      <c r="P516" s="138"/>
      <c r="AJ516" s="24"/>
      <c r="AP516" s="139"/>
      <c r="AQ516" s="24"/>
      <c r="AW516" s="138"/>
      <c r="BE516" s="140"/>
      <c r="BF516" s="138"/>
      <c r="BJ516" s="141"/>
      <c r="BK516" s="140"/>
      <c r="BL516" s="138"/>
      <c r="BM516" s="24"/>
      <c r="BW516" s="138"/>
      <c r="BX516" s="24"/>
      <c r="CH516" s="138"/>
      <c r="CI516" s="24"/>
      <c r="DE516" s="137"/>
      <c r="DG516" s="24"/>
      <c r="DI516" s="137"/>
      <c r="DK516" s="144"/>
      <c r="DL516" s="137"/>
      <c r="DM516" s="145"/>
    </row>
    <row r="517" spans="2:117" ht="15" customHeight="1">
      <c r="B517" s="136"/>
      <c r="C517" s="24"/>
      <c r="D517" s="24"/>
      <c r="E517" s="24"/>
      <c r="F517" s="24"/>
      <c r="G517" s="24"/>
      <c r="H517" s="24"/>
      <c r="I517" s="24"/>
      <c r="J517" s="24"/>
      <c r="K517" s="24"/>
      <c r="M517" s="137"/>
      <c r="P517" s="138"/>
      <c r="AJ517" s="24"/>
      <c r="AP517" s="139"/>
      <c r="AQ517" s="24"/>
      <c r="AW517" s="138"/>
      <c r="BE517" s="140"/>
      <c r="BF517" s="138"/>
      <c r="BJ517" s="141"/>
      <c r="BK517" s="140"/>
      <c r="BL517" s="138"/>
      <c r="BM517" s="24"/>
      <c r="BW517" s="138"/>
      <c r="BX517" s="24"/>
      <c r="CH517" s="138"/>
      <c r="CI517" s="24"/>
      <c r="DE517" s="137"/>
      <c r="DG517" s="24"/>
      <c r="DI517" s="137"/>
      <c r="DK517" s="144"/>
      <c r="DL517" s="137"/>
      <c r="DM517" s="145"/>
    </row>
    <row r="518" spans="2:117" ht="15" customHeight="1">
      <c r="B518" s="136"/>
      <c r="C518" s="24"/>
      <c r="D518" s="24"/>
      <c r="E518" s="24"/>
      <c r="F518" s="24"/>
      <c r="G518" s="24"/>
      <c r="H518" s="24"/>
      <c r="I518" s="24"/>
      <c r="J518" s="24"/>
      <c r="K518" s="24"/>
      <c r="M518" s="137"/>
      <c r="P518" s="138"/>
      <c r="AJ518" s="24"/>
      <c r="AP518" s="139"/>
      <c r="AQ518" s="24"/>
      <c r="AW518" s="138"/>
      <c r="BE518" s="140"/>
      <c r="BF518" s="138"/>
      <c r="BJ518" s="141"/>
      <c r="BK518" s="140"/>
      <c r="BL518" s="138"/>
      <c r="BM518" s="24"/>
      <c r="BW518" s="138"/>
      <c r="BX518" s="24"/>
      <c r="CH518" s="138"/>
      <c r="CI518" s="24"/>
      <c r="DE518" s="137"/>
      <c r="DG518" s="24"/>
      <c r="DI518" s="137"/>
      <c r="DK518" s="144"/>
      <c r="DL518" s="137"/>
      <c r="DM518" s="145"/>
    </row>
    <row r="519" spans="2:117" ht="15" customHeight="1">
      <c r="B519" s="136"/>
      <c r="C519" s="24"/>
      <c r="D519" s="24"/>
      <c r="E519" s="24"/>
      <c r="F519" s="24"/>
      <c r="G519" s="24"/>
      <c r="H519" s="24"/>
      <c r="I519" s="24"/>
      <c r="J519" s="24"/>
      <c r="K519" s="24"/>
      <c r="M519" s="137"/>
      <c r="P519" s="138"/>
      <c r="AJ519" s="24"/>
      <c r="AP519" s="139"/>
      <c r="AQ519" s="24"/>
      <c r="AW519" s="138"/>
      <c r="BE519" s="140"/>
      <c r="BF519" s="138"/>
      <c r="BJ519" s="141"/>
      <c r="BK519" s="140"/>
      <c r="BL519" s="138"/>
      <c r="BM519" s="24"/>
      <c r="BW519" s="138"/>
      <c r="BX519" s="24"/>
      <c r="CH519" s="138"/>
      <c r="CI519" s="24"/>
      <c r="DE519" s="137"/>
      <c r="DG519" s="24"/>
      <c r="DI519" s="137"/>
      <c r="DK519" s="144"/>
      <c r="DL519" s="137"/>
      <c r="DM519" s="145"/>
    </row>
    <row r="520" spans="2:117" ht="15" customHeight="1">
      <c r="B520" s="136"/>
      <c r="C520" s="24"/>
      <c r="D520" s="24"/>
      <c r="E520" s="24"/>
      <c r="F520" s="24"/>
      <c r="G520" s="24"/>
      <c r="H520" s="24"/>
      <c r="I520" s="24"/>
      <c r="J520" s="24"/>
      <c r="K520" s="24"/>
      <c r="M520" s="137"/>
      <c r="P520" s="138"/>
      <c r="AJ520" s="24"/>
      <c r="AP520" s="139"/>
      <c r="AQ520" s="24"/>
      <c r="AW520" s="138"/>
      <c r="BE520" s="140"/>
      <c r="BF520" s="138"/>
      <c r="BJ520" s="141"/>
      <c r="BK520" s="140"/>
      <c r="BL520" s="138"/>
      <c r="BM520" s="24"/>
      <c r="BW520" s="138"/>
      <c r="BX520" s="24"/>
      <c r="CH520" s="138"/>
      <c r="CI520" s="24"/>
      <c r="DE520" s="137"/>
      <c r="DG520" s="24"/>
      <c r="DI520" s="137"/>
      <c r="DK520" s="144"/>
      <c r="DL520" s="137"/>
      <c r="DM520" s="145"/>
    </row>
    <row r="521" spans="2:117" ht="15" customHeight="1">
      <c r="B521" s="136"/>
      <c r="C521" s="24"/>
      <c r="D521" s="24"/>
      <c r="E521" s="24"/>
      <c r="F521" s="24"/>
      <c r="G521" s="24"/>
      <c r="H521" s="24"/>
      <c r="I521" s="24"/>
      <c r="J521" s="24"/>
      <c r="K521" s="24"/>
      <c r="M521" s="137"/>
      <c r="P521" s="138"/>
      <c r="AJ521" s="24"/>
      <c r="AP521" s="139"/>
      <c r="AQ521" s="24"/>
      <c r="AW521" s="138"/>
      <c r="BE521" s="140"/>
      <c r="BF521" s="138"/>
      <c r="BJ521" s="141"/>
      <c r="BK521" s="140"/>
      <c r="BL521" s="138"/>
      <c r="BM521" s="24"/>
      <c r="BW521" s="138"/>
      <c r="BX521" s="24"/>
      <c r="CH521" s="138"/>
      <c r="CI521" s="24"/>
      <c r="DE521" s="137"/>
      <c r="DG521" s="24"/>
      <c r="DI521" s="137"/>
      <c r="DK521" s="144"/>
      <c r="DL521" s="137"/>
      <c r="DM521" s="145"/>
    </row>
    <row r="522" spans="2:117" ht="15" customHeight="1">
      <c r="B522" s="136"/>
      <c r="C522" s="24"/>
      <c r="D522" s="24"/>
      <c r="E522" s="24"/>
      <c r="F522" s="24"/>
      <c r="G522" s="24"/>
      <c r="H522" s="24"/>
      <c r="I522" s="24"/>
      <c r="J522" s="24"/>
      <c r="K522" s="24"/>
      <c r="M522" s="137"/>
      <c r="P522" s="138"/>
      <c r="AJ522" s="24"/>
      <c r="AP522" s="139"/>
      <c r="AQ522" s="24"/>
      <c r="AW522" s="138"/>
      <c r="BE522" s="140"/>
      <c r="BF522" s="138"/>
      <c r="BJ522" s="141"/>
      <c r="BK522" s="140"/>
      <c r="BL522" s="138"/>
      <c r="BM522" s="24"/>
      <c r="BW522" s="138"/>
      <c r="BX522" s="24"/>
      <c r="CH522" s="138"/>
      <c r="CI522" s="24"/>
      <c r="DE522" s="137"/>
      <c r="DG522" s="24"/>
      <c r="DI522" s="137"/>
      <c r="DK522" s="144"/>
      <c r="DL522" s="137"/>
      <c r="DM522" s="145"/>
    </row>
    <row r="523" spans="2:117" ht="15" customHeight="1">
      <c r="B523" s="136"/>
      <c r="C523" s="24"/>
      <c r="D523" s="24"/>
      <c r="E523" s="24"/>
      <c r="F523" s="24"/>
      <c r="G523" s="24"/>
      <c r="H523" s="24"/>
      <c r="I523" s="24"/>
      <c r="J523" s="24"/>
      <c r="K523" s="24"/>
      <c r="M523" s="137"/>
      <c r="P523" s="138"/>
      <c r="AJ523" s="24"/>
      <c r="AP523" s="139"/>
      <c r="AQ523" s="24"/>
      <c r="AW523" s="138"/>
      <c r="BE523" s="140"/>
      <c r="BF523" s="138"/>
      <c r="BJ523" s="141"/>
      <c r="BK523" s="140"/>
      <c r="BL523" s="138"/>
      <c r="BM523" s="24"/>
      <c r="BW523" s="138"/>
      <c r="BX523" s="24"/>
      <c r="CH523" s="138"/>
      <c r="CI523" s="24"/>
      <c r="DE523" s="137"/>
      <c r="DG523" s="24"/>
      <c r="DI523" s="137"/>
      <c r="DK523" s="144"/>
      <c r="DL523" s="137"/>
      <c r="DM523" s="145"/>
    </row>
    <row r="524" spans="2:117" ht="15" customHeight="1">
      <c r="B524" s="136"/>
      <c r="C524" s="24"/>
      <c r="D524" s="24"/>
      <c r="E524" s="24"/>
      <c r="F524" s="24"/>
      <c r="G524" s="24"/>
      <c r="H524" s="24"/>
      <c r="I524" s="24"/>
      <c r="J524" s="24"/>
      <c r="K524" s="24"/>
      <c r="M524" s="137"/>
      <c r="P524" s="138"/>
      <c r="AJ524" s="24"/>
      <c r="AP524" s="139"/>
      <c r="AQ524" s="24"/>
      <c r="AW524" s="138"/>
      <c r="BE524" s="140"/>
      <c r="BF524" s="138"/>
      <c r="BJ524" s="141"/>
      <c r="BK524" s="140"/>
      <c r="BL524" s="138"/>
      <c r="BM524" s="24"/>
      <c r="BW524" s="138"/>
      <c r="BX524" s="24"/>
      <c r="CH524" s="138"/>
      <c r="CI524" s="24"/>
      <c r="DE524" s="137"/>
      <c r="DG524" s="24"/>
      <c r="DI524" s="137"/>
      <c r="DK524" s="144"/>
      <c r="DL524" s="137"/>
      <c r="DM524" s="145"/>
    </row>
    <row r="525" spans="2:117" ht="15" customHeight="1">
      <c r="B525" s="136"/>
      <c r="C525" s="24"/>
      <c r="D525" s="24"/>
      <c r="E525" s="24"/>
      <c r="F525" s="24"/>
      <c r="G525" s="24"/>
      <c r="H525" s="24"/>
      <c r="I525" s="24"/>
      <c r="J525" s="24"/>
      <c r="K525" s="24"/>
      <c r="M525" s="137"/>
      <c r="P525" s="138"/>
      <c r="AJ525" s="24"/>
      <c r="AP525" s="139"/>
      <c r="AQ525" s="24"/>
      <c r="AW525" s="138"/>
      <c r="BE525" s="140"/>
      <c r="BF525" s="138"/>
      <c r="BJ525" s="141"/>
      <c r="BK525" s="140"/>
      <c r="BL525" s="138"/>
      <c r="BM525" s="24"/>
      <c r="BW525" s="138"/>
      <c r="BX525" s="24"/>
      <c r="CH525" s="138"/>
      <c r="CI525" s="24"/>
      <c r="DE525" s="137"/>
      <c r="DG525" s="24"/>
      <c r="DI525" s="137"/>
      <c r="DK525" s="144"/>
      <c r="DL525" s="137"/>
      <c r="DM525" s="145"/>
    </row>
    <row r="526" spans="2:117" ht="15" customHeight="1">
      <c r="B526" s="136"/>
      <c r="C526" s="24"/>
      <c r="D526" s="24"/>
      <c r="E526" s="24"/>
      <c r="F526" s="24"/>
      <c r="G526" s="24"/>
      <c r="H526" s="24"/>
      <c r="I526" s="24"/>
      <c r="J526" s="24"/>
      <c r="K526" s="24"/>
      <c r="M526" s="137"/>
      <c r="P526" s="138"/>
      <c r="AJ526" s="24"/>
      <c r="AP526" s="139"/>
      <c r="AQ526" s="24"/>
      <c r="AW526" s="138"/>
      <c r="BE526" s="140"/>
      <c r="BF526" s="138"/>
      <c r="BJ526" s="141"/>
      <c r="BK526" s="140"/>
      <c r="BL526" s="138"/>
      <c r="BM526" s="24"/>
      <c r="BW526" s="138"/>
      <c r="BX526" s="24"/>
      <c r="CH526" s="138"/>
      <c r="CI526" s="24"/>
      <c r="DE526" s="137"/>
      <c r="DG526" s="24"/>
      <c r="DI526" s="137"/>
      <c r="DK526" s="144"/>
      <c r="DL526" s="137"/>
      <c r="DM526" s="145"/>
    </row>
    <row r="527" spans="2:117" ht="15" customHeight="1">
      <c r="B527" s="136"/>
      <c r="C527" s="24"/>
      <c r="D527" s="24"/>
      <c r="E527" s="24"/>
      <c r="F527" s="24"/>
      <c r="G527" s="24"/>
      <c r="H527" s="24"/>
      <c r="I527" s="24"/>
      <c r="J527" s="24"/>
      <c r="K527" s="24"/>
      <c r="M527" s="137"/>
      <c r="P527" s="138"/>
      <c r="AJ527" s="24"/>
      <c r="AP527" s="139"/>
      <c r="AQ527" s="24"/>
      <c r="AW527" s="138"/>
      <c r="BE527" s="140"/>
      <c r="BF527" s="138"/>
      <c r="BJ527" s="141"/>
      <c r="BK527" s="140"/>
      <c r="BL527" s="138"/>
      <c r="BM527" s="24"/>
      <c r="BW527" s="138"/>
      <c r="BX527" s="24"/>
      <c r="CH527" s="138"/>
      <c r="CI527" s="24"/>
      <c r="DE527" s="137"/>
      <c r="DG527" s="24"/>
      <c r="DI527" s="137"/>
      <c r="DK527" s="144"/>
      <c r="DL527" s="137"/>
      <c r="DM527" s="145"/>
    </row>
    <row r="528" spans="2:117" ht="15" customHeight="1">
      <c r="B528" s="136"/>
      <c r="C528" s="24"/>
      <c r="D528" s="24"/>
      <c r="E528" s="24"/>
      <c r="F528" s="24"/>
      <c r="G528" s="24"/>
      <c r="H528" s="24"/>
      <c r="I528" s="24"/>
      <c r="J528" s="24"/>
      <c r="K528" s="24"/>
      <c r="M528" s="137"/>
      <c r="P528" s="138"/>
      <c r="AJ528" s="24"/>
      <c r="AP528" s="139"/>
      <c r="AQ528" s="24"/>
      <c r="AW528" s="138"/>
      <c r="BE528" s="140"/>
      <c r="BF528" s="138"/>
      <c r="BJ528" s="141"/>
      <c r="BK528" s="140"/>
      <c r="BL528" s="138"/>
      <c r="BM528" s="24"/>
      <c r="BW528" s="138"/>
      <c r="BX528" s="24"/>
      <c r="CH528" s="138"/>
      <c r="CI528" s="24"/>
      <c r="DE528" s="137"/>
      <c r="DG528" s="24"/>
      <c r="DI528" s="137"/>
      <c r="DK528" s="144"/>
      <c r="DL528" s="137"/>
      <c r="DM528" s="145"/>
    </row>
    <row r="529" spans="2:117" ht="15" customHeight="1">
      <c r="B529" s="136"/>
      <c r="C529" s="24"/>
      <c r="D529" s="24"/>
      <c r="E529" s="24"/>
      <c r="F529" s="24"/>
      <c r="G529" s="24"/>
      <c r="H529" s="24"/>
      <c r="I529" s="24"/>
      <c r="J529" s="24"/>
      <c r="K529" s="24"/>
      <c r="M529" s="137"/>
      <c r="P529" s="138"/>
      <c r="AJ529" s="24"/>
      <c r="AP529" s="139"/>
      <c r="AQ529" s="24"/>
      <c r="AW529" s="138"/>
      <c r="BE529" s="140"/>
      <c r="BF529" s="138"/>
      <c r="BJ529" s="141"/>
      <c r="BK529" s="140"/>
      <c r="BL529" s="138"/>
      <c r="BM529" s="24"/>
      <c r="BW529" s="138"/>
      <c r="BX529" s="24"/>
      <c r="CH529" s="138"/>
      <c r="CI529" s="24"/>
      <c r="DE529" s="137"/>
      <c r="DG529" s="24"/>
      <c r="DI529" s="137"/>
      <c r="DK529" s="144"/>
      <c r="DL529" s="137"/>
      <c r="DM529" s="145"/>
    </row>
    <row r="530" spans="2:117" ht="15" customHeight="1">
      <c r="B530" s="136"/>
      <c r="C530" s="24"/>
      <c r="D530" s="24"/>
      <c r="E530" s="24"/>
      <c r="F530" s="24"/>
      <c r="G530" s="24"/>
      <c r="H530" s="24"/>
      <c r="I530" s="24"/>
      <c r="J530" s="24"/>
      <c r="K530" s="24"/>
      <c r="M530" s="137"/>
      <c r="P530" s="138"/>
      <c r="AJ530" s="24"/>
      <c r="AP530" s="139"/>
      <c r="AQ530" s="24"/>
      <c r="AW530" s="138"/>
      <c r="BE530" s="140"/>
      <c r="BF530" s="138"/>
      <c r="BJ530" s="141"/>
      <c r="BK530" s="140"/>
      <c r="BL530" s="138"/>
      <c r="BM530" s="24"/>
      <c r="BW530" s="138"/>
      <c r="BX530" s="24"/>
      <c r="CH530" s="138"/>
      <c r="CI530" s="24"/>
      <c r="DE530" s="137"/>
      <c r="DG530" s="24"/>
      <c r="DI530" s="137"/>
      <c r="DK530" s="144"/>
      <c r="DL530" s="137"/>
      <c r="DM530" s="145"/>
    </row>
    <row r="531" spans="2:117" ht="15" customHeight="1">
      <c r="B531" s="136"/>
      <c r="C531" s="24"/>
      <c r="D531" s="24"/>
      <c r="E531" s="24"/>
      <c r="F531" s="24"/>
      <c r="G531" s="24"/>
      <c r="H531" s="24"/>
      <c r="I531" s="24"/>
      <c r="J531" s="24"/>
      <c r="K531" s="24"/>
      <c r="M531" s="137"/>
      <c r="P531" s="138"/>
      <c r="AJ531" s="24"/>
      <c r="AP531" s="139"/>
      <c r="AQ531" s="24"/>
      <c r="AW531" s="138"/>
      <c r="BE531" s="140"/>
      <c r="BF531" s="138"/>
      <c r="BJ531" s="141"/>
      <c r="BK531" s="140"/>
      <c r="BL531" s="138"/>
      <c r="BM531" s="24"/>
      <c r="BW531" s="138"/>
      <c r="BX531" s="24"/>
      <c r="CH531" s="138"/>
      <c r="CI531" s="24"/>
      <c r="DE531" s="137"/>
      <c r="DG531" s="24"/>
      <c r="DI531" s="137"/>
      <c r="DK531" s="144"/>
      <c r="DL531" s="137"/>
      <c r="DM531" s="145"/>
    </row>
    <row r="532" spans="2:117" ht="15" customHeight="1">
      <c r="B532" s="136"/>
      <c r="C532" s="24"/>
      <c r="D532" s="24"/>
      <c r="E532" s="24"/>
      <c r="F532" s="24"/>
      <c r="G532" s="24"/>
      <c r="H532" s="24"/>
      <c r="I532" s="24"/>
      <c r="J532" s="24"/>
      <c r="K532" s="24"/>
      <c r="M532" s="137"/>
      <c r="P532" s="138"/>
      <c r="AJ532" s="24"/>
      <c r="AP532" s="139"/>
      <c r="AQ532" s="24"/>
      <c r="AW532" s="138"/>
      <c r="BE532" s="140"/>
      <c r="BF532" s="138"/>
      <c r="BJ532" s="141"/>
      <c r="BK532" s="140"/>
      <c r="BL532" s="138"/>
      <c r="BM532" s="24"/>
      <c r="BW532" s="138"/>
      <c r="BX532" s="24"/>
      <c r="CH532" s="138"/>
      <c r="CI532" s="24"/>
      <c r="DE532" s="137"/>
      <c r="DG532" s="24"/>
      <c r="DI532" s="137"/>
      <c r="DK532" s="144"/>
      <c r="DL532" s="137"/>
      <c r="DM532" s="145"/>
    </row>
    <row r="533" spans="2:117" ht="15" customHeight="1">
      <c r="B533" s="136"/>
      <c r="C533" s="24"/>
      <c r="D533" s="24"/>
      <c r="E533" s="24"/>
      <c r="F533" s="24"/>
      <c r="G533" s="24"/>
      <c r="H533" s="24"/>
      <c r="I533" s="24"/>
      <c r="J533" s="24"/>
      <c r="K533" s="24"/>
      <c r="M533" s="137"/>
      <c r="P533" s="138"/>
      <c r="AJ533" s="24"/>
      <c r="AP533" s="139"/>
      <c r="AQ533" s="24"/>
      <c r="AW533" s="138"/>
      <c r="BE533" s="140"/>
      <c r="BF533" s="138"/>
      <c r="BJ533" s="141"/>
      <c r="BK533" s="140"/>
      <c r="BL533" s="138"/>
      <c r="BM533" s="24"/>
      <c r="BW533" s="138"/>
      <c r="BX533" s="24"/>
      <c r="CH533" s="138"/>
      <c r="CI533" s="24"/>
      <c r="DE533" s="137"/>
      <c r="DG533" s="24"/>
      <c r="DI533" s="137"/>
      <c r="DK533" s="144"/>
      <c r="DL533" s="137"/>
      <c r="DM533" s="145"/>
    </row>
    <row r="534" spans="2:117" ht="15" customHeight="1">
      <c r="B534" s="136"/>
      <c r="C534" s="24"/>
      <c r="D534" s="24"/>
      <c r="E534" s="24"/>
      <c r="F534" s="24"/>
      <c r="G534" s="24"/>
      <c r="H534" s="24"/>
      <c r="I534" s="24"/>
      <c r="J534" s="24"/>
      <c r="K534" s="24"/>
      <c r="M534" s="137"/>
      <c r="P534" s="138"/>
      <c r="AJ534" s="24"/>
      <c r="AP534" s="139"/>
      <c r="AQ534" s="24"/>
      <c r="AW534" s="138"/>
      <c r="BE534" s="140"/>
      <c r="BF534" s="138"/>
      <c r="BJ534" s="141"/>
      <c r="BK534" s="140"/>
      <c r="BL534" s="138"/>
      <c r="BM534" s="24"/>
      <c r="BW534" s="138"/>
      <c r="BX534" s="24"/>
      <c r="CH534" s="138"/>
      <c r="CI534" s="24"/>
      <c r="DE534" s="137"/>
      <c r="DG534" s="24"/>
      <c r="DI534" s="137"/>
      <c r="DK534" s="144"/>
      <c r="DL534" s="137"/>
      <c r="DM534" s="145"/>
    </row>
    <row r="535" spans="2:117" ht="15" customHeight="1">
      <c r="B535" s="136"/>
      <c r="C535" s="24"/>
      <c r="D535" s="24"/>
      <c r="E535" s="24"/>
      <c r="F535" s="24"/>
      <c r="G535" s="24"/>
      <c r="H535" s="24"/>
      <c r="I535" s="24"/>
      <c r="J535" s="24"/>
      <c r="K535" s="24"/>
      <c r="M535" s="137"/>
      <c r="P535" s="138"/>
      <c r="AJ535" s="24"/>
      <c r="AP535" s="139"/>
      <c r="AQ535" s="24"/>
      <c r="AW535" s="138"/>
      <c r="BE535" s="140"/>
      <c r="BF535" s="138"/>
      <c r="BJ535" s="141"/>
      <c r="BK535" s="140"/>
      <c r="BL535" s="138"/>
      <c r="BM535" s="24"/>
      <c r="BW535" s="138"/>
      <c r="BX535" s="24"/>
      <c r="CH535" s="138"/>
      <c r="CI535" s="24"/>
      <c r="DE535" s="137"/>
      <c r="DG535" s="24"/>
      <c r="DI535" s="137"/>
      <c r="DK535" s="144"/>
      <c r="DL535" s="137"/>
      <c r="DM535" s="145"/>
    </row>
    <row r="536" spans="2:117" ht="15" customHeight="1">
      <c r="B536" s="136"/>
      <c r="C536" s="24"/>
      <c r="D536" s="24"/>
      <c r="E536" s="24"/>
      <c r="F536" s="24"/>
      <c r="G536" s="24"/>
      <c r="H536" s="24"/>
      <c r="I536" s="24"/>
      <c r="J536" s="24"/>
      <c r="K536" s="24"/>
      <c r="M536" s="137"/>
      <c r="P536" s="138"/>
      <c r="AJ536" s="24"/>
      <c r="AP536" s="139"/>
      <c r="AQ536" s="24"/>
      <c r="AW536" s="138"/>
      <c r="BE536" s="140"/>
      <c r="BF536" s="138"/>
      <c r="BJ536" s="141"/>
      <c r="BK536" s="140"/>
      <c r="BL536" s="138"/>
      <c r="BM536" s="24"/>
      <c r="BW536" s="138"/>
      <c r="BX536" s="24"/>
      <c r="CH536" s="138"/>
      <c r="CI536" s="24"/>
      <c r="DE536" s="137"/>
      <c r="DG536" s="24"/>
      <c r="DI536" s="137"/>
      <c r="DK536" s="144"/>
      <c r="DL536" s="137"/>
      <c r="DM536" s="145"/>
    </row>
    <row r="537" spans="2:117" ht="15" customHeight="1">
      <c r="B537" s="136"/>
      <c r="C537" s="24"/>
      <c r="D537" s="24"/>
      <c r="E537" s="24"/>
      <c r="F537" s="24"/>
      <c r="G537" s="24"/>
      <c r="H537" s="24"/>
      <c r="I537" s="24"/>
      <c r="J537" s="24"/>
      <c r="K537" s="24"/>
      <c r="M537" s="137"/>
      <c r="P537" s="138"/>
      <c r="AJ537" s="24"/>
      <c r="AP537" s="139"/>
      <c r="AQ537" s="24"/>
      <c r="AW537" s="138"/>
      <c r="BE537" s="140"/>
      <c r="BF537" s="138"/>
      <c r="BJ537" s="141"/>
      <c r="BK537" s="140"/>
      <c r="BL537" s="138"/>
      <c r="BM537" s="24"/>
      <c r="BW537" s="138"/>
      <c r="BX537" s="24"/>
      <c r="CH537" s="138"/>
      <c r="CI537" s="24"/>
      <c r="DE537" s="137"/>
      <c r="DG537" s="24"/>
      <c r="DI537" s="137"/>
      <c r="DK537" s="144"/>
      <c r="DL537" s="137"/>
      <c r="DM537" s="145"/>
    </row>
    <row r="538" spans="2:117" ht="15" customHeight="1">
      <c r="B538" s="136"/>
      <c r="C538" s="24"/>
      <c r="D538" s="24"/>
      <c r="E538" s="24"/>
      <c r="F538" s="24"/>
      <c r="G538" s="24"/>
      <c r="H538" s="24"/>
      <c r="I538" s="24"/>
      <c r="J538" s="24"/>
      <c r="K538" s="24"/>
      <c r="M538" s="137"/>
      <c r="P538" s="138"/>
      <c r="AJ538" s="24"/>
      <c r="AP538" s="139"/>
      <c r="AQ538" s="24"/>
      <c r="AW538" s="138"/>
      <c r="BE538" s="140"/>
      <c r="BF538" s="138"/>
      <c r="BJ538" s="141"/>
      <c r="BK538" s="140"/>
      <c r="BL538" s="138"/>
      <c r="BM538" s="24"/>
      <c r="BW538" s="138"/>
      <c r="BX538" s="24"/>
      <c r="CH538" s="138"/>
      <c r="CI538" s="24"/>
      <c r="DE538" s="137"/>
      <c r="DG538" s="24"/>
      <c r="DI538" s="137"/>
      <c r="DK538" s="144"/>
      <c r="DL538" s="137"/>
      <c r="DM538" s="145"/>
    </row>
    <row r="539" spans="2:117" ht="15" customHeight="1">
      <c r="B539" s="136"/>
      <c r="C539" s="24"/>
      <c r="D539" s="24"/>
      <c r="E539" s="24"/>
      <c r="F539" s="24"/>
      <c r="G539" s="24"/>
      <c r="H539" s="24"/>
      <c r="I539" s="24"/>
      <c r="J539" s="24"/>
      <c r="K539" s="24"/>
      <c r="M539" s="137"/>
      <c r="P539" s="138"/>
      <c r="AJ539" s="24"/>
      <c r="AP539" s="139"/>
      <c r="AQ539" s="24"/>
      <c r="AW539" s="138"/>
      <c r="BE539" s="140"/>
      <c r="BF539" s="138"/>
      <c r="BJ539" s="141"/>
      <c r="BK539" s="140"/>
      <c r="BL539" s="138"/>
      <c r="BM539" s="24"/>
      <c r="BW539" s="138"/>
      <c r="BX539" s="24"/>
      <c r="CH539" s="138"/>
      <c r="CI539" s="24"/>
      <c r="DE539" s="137"/>
      <c r="DG539" s="24"/>
      <c r="DI539" s="137"/>
      <c r="DK539" s="144"/>
      <c r="DL539" s="137"/>
      <c r="DM539" s="145"/>
    </row>
    <row r="540" spans="2:117" ht="15" customHeight="1">
      <c r="B540" s="136"/>
      <c r="C540" s="24"/>
      <c r="D540" s="24"/>
      <c r="E540" s="24"/>
      <c r="F540" s="24"/>
      <c r="G540" s="24"/>
      <c r="H540" s="24"/>
      <c r="I540" s="24"/>
      <c r="J540" s="24"/>
      <c r="K540" s="24"/>
      <c r="M540" s="137"/>
      <c r="P540" s="138"/>
      <c r="AJ540" s="24"/>
      <c r="AP540" s="139"/>
      <c r="AQ540" s="24"/>
      <c r="AW540" s="138"/>
      <c r="BE540" s="140"/>
      <c r="BF540" s="138"/>
      <c r="BJ540" s="141"/>
      <c r="BK540" s="140"/>
      <c r="BL540" s="138"/>
      <c r="BM540" s="24"/>
      <c r="BW540" s="138"/>
      <c r="BX540" s="24"/>
      <c r="CH540" s="138"/>
      <c r="CI540" s="24"/>
      <c r="DE540" s="137"/>
      <c r="DG540" s="24"/>
      <c r="DI540" s="137"/>
      <c r="DK540" s="144"/>
      <c r="DL540" s="137"/>
      <c r="DM540" s="145"/>
    </row>
    <row r="541" spans="2:117" ht="15" customHeight="1">
      <c r="B541" s="136"/>
      <c r="C541" s="24"/>
      <c r="D541" s="24"/>
      <c r="E541" s="24"/>
      <c r="F541" s="24"/>
      <c r="G541" s="24"/>
      <c r="H541" s="24"/>
      <c r="I541" s="24"/>
      <c r="J541" s="24"/>
      <c r="K541" s="24"/>
      <c r="M541" s="137"/>
      <c r="P541" s="138"/>
      <c r="AJ541" s="24"/>
      <c r="AP541" s="139"/>
      <c r="AQ541" s="24"/>
      <c r="AW541" s="138"/>
      <c r="BE541" s="140"/>
      <c r="BF541" s="138"/>
      <c r="BJ541" s="141"/>
      <c r="BK541" s="140"/>
      <c r="BL541" s="138"/>
      <c r="BM541" s="24"/>
      <c r="BW541" s="138"/>
      <c r="BX541" s="24"/>
      <c r="CH541" s="138"/>
      <c r="CI541" s="24"/>
      <c r="DE541" s="137"/>
      <c r="DG541" s="24"/>
      <c r="DI541" s="137"/>
      <c r="DK541" s="144"/>
      <c r="DL541" s="137"/>
      <c r="DM541" s="145"/>
    </row>
    <row r="542" spans="2:117" ht="15" customHeight="1">
      <c r="B542" s="136"/>
      <c r="C542" s="24"/>
      <c r="D542" s="24"/>
      <c r="E542" s="24"/>
      <c r="F542" s="24"/>
      <c r="G542" s="24"/>
      <c r="H542" s="24"/>
      <c r="I542" s="24"/>
      <c r="J542" s="24"/>
      <c r="K542" s="24"/>
      <c r="M542" s="137"/>
      <c r="P542" s="138"/>
      <c r="AJ542" s="24"/>
      <c r="AP542" s="139"/>
      <c r="AQ542" s="24"/>
      <c r="AW542" s="138"/>
      <c r="BE542" s="140"/>
      <c r="BF542" s="138"/>
      <c r="BJ542" s="141"/>
      <c r="BK542" s="140"/>
      <c r="BL542" s="138"/>
      <c r="BM542" s="24"/>
      <c r="BW542" s="138"/>
      <c r="BX542" s="24"/>
      <c r="CH542" s="138"/>
      <c r="CI542" s="24"/>
      <c r="DE542" s="137"/>
      <c r="DG542" s="24"/>
      <c r="DI542" s="137"/>
      <c r="DK542" s="144"/>
      <c r="DL542" s="137"/>
      <c r="DM542" s="145"/>
    </row>
    <row r="543" spans="2:117" ht="15" customHeight="1">
      <c r="B543" s="136"/>
      <c r="C543" s="24"/>
      <c r="D543" s="24"/>
      <c r="E543" s="24"/>
      <c r="F543" s="24"/>
      <c r="G543" s="24"/>
      <c r="H543" s="24"/>
      <c r="I543" s="24"/>
      <c r="J543" s="24"/>
      <c r="K543" s="24"/>
      <c r="M543" s="137"/>
      <c r="P543" s="138"/>
      <c r="AJ543" s="24"/>
      <c r="AP543" s="139"/>
      <c r="AQ543" s="24"/>
      <c r="AW543" s="138"/>
      <c r="BE543" s="140"/>
      <c r="BF543" s="138"/>
      <c r="BJ543" s="141"/>
      <c r="BK543" s="140"/>
      <c r="BL543" s="138"/>
      <c r="BM543" s="24"/>
      <c r="BW543" s="138"/>
      <c r="BX543" s="24"/>
      <c r="CH543" s="138"/>
      <c r="CI543" s="24"/>
      <c r="DE543" s="137"/>
      <c r="DG543" s="24"/>
      <c r="DI543" s="137"/>
      <c r="DK543" s="144"/>
      <c r="DL543" s="137"/>
      <c r="DM543" s="145"/>
    </row>
    <row r="544" spans="2:117" ht="15" customHeight="1">
      <c r="B544" s="136"/>
      <c r="C544" s="24"/>
      <c r="D544" s="24"/>
      <c r="E544" s="24"/>
      <c r="F544" s="24"/>
      <c r="G544" s="24"/>
      <c r="H544" s="24"/>
      <c r="I544" s="24"/>
      <c r="J544" s="24"/>
      <c r="K544" s="24"/>
      <c r="M544" s="137"/>
      <c r="P544" s="138"/>
      <c r="AJ544" s="24"/>
      <c r="AP544" s="139"/>
      <c r="AQ544" s="24"/>
      <c r="AW544" s="138"/>
      <c r="BE544" s="140"/>
      <c r="BF544" s="138"/>
      <c r="BJ544" s="141"/>
      <c r="BK544" s="140"/>
      <c r="BL544" s="138"/>
      <c r="BM544" s="24"/>
      <c r="BW544" s="138"/>
      <c r="BX544" s="24"/>
      <c r="CH544" s="138"/>
      <c r="CI544" s="24"/>
      <c r="DE544" s="137"/>
      <c r="DG544" s="24"/>
      <c r="DI544" s="137"/>
      <c r="DK544" s="144"/>
      <c r="DL544" s="137"/>
      <c r="DM544" s="145"/>
    </row>
    <row r="545" spans="2:117" ht="15" customHeight="1">
      <c r="B545" s="136"/>
      <c r="C545" s="24"/>
      <c r="D545" s="24"/>
      <c r="E545" s="24"/>
      <c r="F545" s="24"/>
      <c r="G545" s="24"/>
      <c r="H545" s="24"/>
      <c r="I545" s="24"/>
      <c r="J545" s="24"/>
      <c r="K545" s="24"/>
      <c r="M545" s="137"/>
      <c r="P545" s="138"/>
      <c r="AJ545" s="24"/>
      <c r="AP545" s="139"/>
      <c r="AQ545" s="24"/>
      <c r="AW545" s="138"/>
      <c r="BE545" s="140"/>
      <c r="BF545" s="138"/>
      <c r="BJ545" s="141"/>
      <c r="BK545" s="140"/>
      <c r="BL545" s="138"/>
      <c r="BM545" s="24"/>
      <c r="BW545" s="138"/>
      <c r="BX545" s="24"/>
      <c r="CH545" s="138"/>
      <c r="CI545" s="24"/>
      <c r="DE545" s="137"/>
      <c r="DG545" s="24"/>
      <c r="DI545" s="137"/>
      <c r="DK545" s="144"/>
      <c r="DL545" s="137"/>
      <c r="DM545" s="145"/>
    </row>
    <row r="546" spans="2:117" ht="15" customHeight="1">
      <c r="B546" s="136"/>
      <c r="C546" s="24"/>
      <c r="D546" s="24"/>
      <c r="E546" s="24"/>
      <c r="F546" s="24"/>
      <c r="G546" s="24"/>
      <c r="H546" s="24"/>
      <c r="I546" s="24"/>
      <c r="J546" s="24"/>
      <c r="K546" s="24"/>
      <c r="M546" s="137"/>
      <c r="P546" s="138"/>
      <c r="AJ546" s="24"/>
      <c r="AP546" s="139"/>
      <c r="AQ546" s="24"/>
      <c r="AW546" s="138"/>
      <c r="BE546" s="140"/>
      <c r="BF546" s="138"/>
      <c r="BJ546" s="141"/>
      <c r="BK546" s="140"/>
      <c r="BL546" s="138"/>
      <c r="BM546" s="24"/>
      <c r="BW546" s="138"/>
      <c r="BX546" s="24"/>
      <c r="CH546" s="138"/>
      <c r="CI546" s="24"/>
      <c r="DE546" s="137"/>
      <c r="DG546" s="24"/>
      <c r="DI546" s="137"/>
      <c r="DK546" s="144"/>
      <c r="DL546" s="137"/>
      <c r="DM546" s="145"/>
    </row>
  </sheetData>
  <autoFilter ref="A2:DM2" xr:uid="{57227C7D-BBD6-42C6-A4D5-79F5EDB102F9}">
    <sortState xmlns:xlrd2="http://schemas.microsoft.com/office/spreadsheetml/2017/richdata2" ref="A3:DM246">
      <sortCondition ref="B2"/>
    </sortState>
  </autoFilter>
  <phoneticPr fontId="5" type="noConversion"/>
  <conditionalFormatting sqref="B248:K252 A253:K546 A547:A1048576 C547:K1048576 A3:C246 D3:K247">
    <cfRule type="expression" dxfId="253" priority="254">
      <formula>#REF!="계약직"</formula>
    </cfRule>
  </conditionalFormatting>
  <conditionalFormatting sqref="B248:K252 A253:K546 L248:DD546">
    <cfRule type="expression" dxfId="252" priority="253">
      <formula>$P248&lt;&gt;""</formula>
    </cfRule>
  </conditionalFormatting>
  <conditionalFormatting sqref="C547:DE1048576 A547:A1048576">
    <cfRule type="expression" dxfId="251" priority="46">
      <formula>$Q547&lt;&gt;""</formula>
    </cfRule>
  </conditionalFormatting>
  <conditionalFormatting sqref="L154:L155">
    <cfRule type="expression" dxfId="250" priority="4">
      <formula>#REF!&lt;&gt;""</formula>
    </cfRule>
  </conditionalFormatting>
  <conditionalFormatting sqref="L110:M123">
    <cfRule type="expression" dxfId="249" priority="43">
      <formula>#REF!&lt;&gt;""</formula>
    </cfRule>
  </conditionalFormatting>
  <conditionalFormatting sqref="L140:M161">
    <cfRule type="expression" dxfId="248" priority="5">
      <formula>#REF!&lt;&gt;""</formula>
    </cfRule>
  </conditionalFormatting>
  <conditionalFormatting sqref="L211:M246 N228:AC230 AD202:BD221 N222:BK227 AE228:BK228 AK229:AX231 N236:DC246 BL143:BR143 BT143 BV143:CC143 CE143:DC143 BL144:BT220 BV144:DC220 BE201:BK221 L202:AC202 L203:W210 X203:AC221 N211:W221 BL221:DC235 AD228:AD231 R231:AC231 N231:Q235 R232:BK235 BL3:BT142 BV69:DD69 BV3:DC68 BV70:DC142 BU3:BU220 A3:C246 D3:K247 L3:BK200">
    <cfRule type="expression" dxfId="247" priority="3">
      <formula>$O3&lt;&gt;""</formula>
    </cfRule>
  </conditionalFormatting>
  <conditionalFormatting sqref="L201:BD201">
    <cfRule type="expression" dxfId="246" priority="71">
      <formula>$O201&lt;&gt;""</formula>
    </cfRule>
  </conditionalFormatting>
  <conditionalFormatting sqref="V107:W108">
    <cfRule type="expression" dxfId="245" priority="44">
      <formula>$O107&lt;&gt;""</formula>
    </cfRule>
  </conditionalFormatting>
  <conditionalFormatting sqref="X51:AJ51">
    <cfRule type="expression" dxfId="244" priority="166">
      <formula>$O51&lt;&gt;""</formula>
    </cfRule>
  </conditionalFormatting>
  <conditionalFormatting sqref="AB30:AM37">
    <cfRule type="expression" dxfId="243" priority="213">
      <formula>$O30&lt;&gt;""</formula>
    </cfRule>
  </conditionalFormatting>
  <conditionalFormatting sqref="AC79:AK80">
    <cfRule type="expression" dxfId="242" priority="47">
      <formula>$O79&lt;&gt;""</formula>
    </cfRule>
  </conditionalFormatting>
  <conditionalFormatting sqref="AE229:AJ231">
    <cfRule type="expression" dxfId="241" priority="2">
      <formula>$O229&lt;&gt;""</formula>
    </cfRule>
  </conditionalFormatting>
  <conditionalFormatting sqref="AK48:AL48">
    <cfRule type="expression" dxfId="240" priority="186">
      <formula>$O48&lt;&gt;""</formula>
    </cfRule>
  </conditionalFormatting>
  <conditionalFormatting sqref="AK53:AM54">
    <cfRule type="expression" dxfId="239" priority="181">
      <formula>$O53&lt;&gt;""</formula>
    </cfRule>
  </conditionalFormatting>
  <conditionalFormatting sqref="AK55:AM56">
    <cfRule type="expression" dxfId="238" priority="146">
      <formula>$O55&lt;&gt;""</formula>
    </cfRule>
  </conditionalFormatting>
  <conditionalFormatting sqref="AK135:AM136">
    <cfRule type="containsText" dxfId="237" priority="234" operator="containsText" text="고급">
      <formula>NOT(ISERROR(SEARCH("고급",AK135)))</formula>
    </cfRule>
  </conditionalFormatting>
  <conditionalFormatting sqref="AK135:AM138 AK179:AM179 AK223:AM223 AK225:AM225 AK230:AM231 AL3:AM134 AL139:AM178 AL180:AM222 AL224:AM224 AL226:AM229 AL232:AM235">
    <cfRule type="containsText" dxfId="236" priority="209" operator="containsText" text="중급">
      <formula>NOT(ISERROR(SEARCH(("중급"),(AK3))))</formula>
    </cfRule>
  </conditionalFormatting>
  <conditionalFormatting sqref="AK135:AM246">
    <cfRule type="containsText" dxfId="235" priority="94" operator="containsText" text="특급">
      <formula>NOT(ISERROR(SEARCH("특급",AK135)))</formula>
    </cfRule>
    <cfRule type="containsText" dxfId="234" priority="230" operator="containsText" text="초급">
      <formula>NOT(ISERROR(SEARCH(("초급"),(AK135))))</formula>
    </cfRule>
  </conditionalFormatting>
  <conditionalFormatting sqref="AK137:AM138 AK139">
    <cfRule type="containsText" dxfId="233" priority="204" operator="containsText" text="고급">
      <formula>NOT(ISERROR(SEARCH("고급",AK137)))</formula>
    </cfRule>
  </conditionalFormatting>
  <conditionalFormatting sqref="AK140:AM146 AK151:AM151 AK154:AL155">
    <cfRule type="containsText" dxfId="232" priority="236" operator="containsText" text="고급">
      <formula>NOT(ISERROR(SEARCH("고급",AK140)))</formula>
    </cfRule>
  </conditionalFormatting>
  <conditionalFormatting sqref="AK171:AM171 AK173:AM180 AK223:AM223 AK225:AM225 AK230:AM231 AL3:AM170 AL172:AM172 AL181:AM222 AL224:AM224 AL226:AM229 AL232:AM235">
    <cfRule type="containsText" dxfId="231" priority="194" operator="containsText" text="특급">
      <formula>NOT(ISERROR(SEARCH("특급",AK3)))</formula>
    </cfRule>
  </conditionalFormatting>
  <conditionalFormatting sqref="AK137:AL246 AK135:AK136 AL3:AL136">
    <cfRule type="containsText" dxfId="230" priority="150" operator="containsText" text="고급">
      <formula>NOT(ISERROR(SEARCH("고급",AK3)))</formula>
    </cfRule>
  </conditionalFormatting>
  <conditionalFormatting sqref="AL3:AL246">
    <cfRule type="containsText" dxfId="229" priority="168" operator="containsText" text="특급">
      <formula>NOT(ISERROR(SEARCH("특급",AL3)))</formula>
    </cfRule>
    <cfRule type="containsText" dxfId="228" priority="169" operator="containsText" text="고급">
      <formula>NOT(ISERROR(SEARCH("고급",AL3)))</formula>
    </cfRule>
    <cfRule type="expression" dxfId="227" priority="170">
      <formula>$O3&lt;&gt;""</formula>
    </cfRule>
    <cfRule type="containsText" dxfId="226" priority="171" operator="containsText" text="특급">
      <formula>NOT(ISERROR(SEARCH("특급",AL3)))</formula>
    </cfRule>
    <cfRule type="containsText" dxfId="225" priority="172" operator="containsText" text="초급">
      <formula>NOT(ISERROR(SEARCH(("초급"),(AL3))))</formula>
    </cfRule>
    <cfRule type="expression" dxfId="224" priority="173">
      <formula>$O3&lt;&gt;""</formula>
    </cfRule>
    <cfRule type="containsText" dxfId="223" priority="174" operator="containsText" text="초급">
      <formula>NOT(ISERROR(SEARCH(("초급"),(AL3))))</formula>
    </cfRule>
    <cfRule type="containsText" dxfId="222" priority="175" operator="containsText" text="특급">
      <formula>NOT(ISERROR(SEARCH("특급",AL3)))</formula>
    </cfRule>
    <cfRule type="containsText" dxfId="221" priority="177" operator="containsText" text="고급">
      <formula>NOT(ISERROR(SEARCH("고급",AL3)))</formula>
    </cfRule>
  </conditionalFormatting>
  <conditionalFormatting sqref="AL22">
    <cfRule type="containsText" dxfId="220" priority="214" operator="containsText" text="특급">
      <formula>NOT(ISERROR(SEARCH("특급",AL22)))</formula>
    </cfRule>
    <cfRule type="containsText" dxfId="219" priority="215" operator="containsText" text="초급">
      <formula>NOT(ISERROR(SEARCH(("초급"),(AL22))))</formula>
    </cfRule>
    <cfRule type="containsText" dxfId="218" priority="216" operator="containsText" text="고급">
      <formula>NOT(ISERROR(SEARCH("고급",AL22)))</formula>
    </cfRule>
    <cfRule type="containsText" dxfId="217" priority="217" operator="containsText" text="초급">
      <formula>NOT(ISERROR(SEARCH(("초급"),(AL22))))</formula>
    </cfRule>
  </conditionalFormatting>
  <conditionalFormatting sqref="AL25">
    <cfRule type="containsText" dxfId="216" priority="25" operator="containsText" text="특급">
      <formula>NOT(ISERROR(SEARCH("특급",AL25)))</formula>
    </cfRule>
    <cfRule type="containsText" dxfId="215" priority="26" operator="containsText" text="초급">
      <formula>NOT(ISERROR(SEARCH(("초급"),(AL25))))</formula>
    </cfRule>
    <cfRule type="containsText" dxfId="214" priority="27" operator="containsText" text="고급">
      <formula>NOT(ISERROR(SEARCH("고급",AL25)))</formula>
    </cfRule>
    <cfRule type="containsText" dxfId="213" priority="28" operator="containsText" text="초급">
      <formula>NOT(ISERROR(SEARCH(("초급"),(AL25))))</formula>
    </cfRule>
  </conditionalFormatting>
  <conditionalFormatting sqref="AL40">
    <cfRule type="expression" dxfId="212" priority="208">
      <formula>$O40&lt;&gt;""</formula>
    </cfRule>
    <cfRule type="containsText" dxfId="211" priority="212" operator="containsText" text="고급">
      <formula>NOT(ISERROR(SEARCH("고급",AL40)))</formula>
    </cfRule>
  </conditionalFormatting>
  <conditionalFormatting sqref="AL41:AL54 AM45:AM52">
    <cfRule type="containsText" dxfId="210" priority="200" operator="containsText" text="고급">
      <formula>NOT(ISERROR(SEARCH("고급",AL41)))</formula>
    </cfRule>
  </conditionalFormatting>
  <conditionalFormatting sqref="AL45:AL47">
    <cfRule type="containsText" dxfId="209" priority="197" operator="containsText" text="중급">
      <formula>NOT(ISERROR(SEARCH(("중급"),(AL45))))</formula>
    </cfRule>
    <cfRule type="containsText" dxfId="208" priority="198" operator="containsText" text="특급">
      <formula>NOT(ISERROR(SEARCH("특급",AL45)))</formula>
    </cfRule>
  </conditionalFormatting>
  <conditionalFormatting sqref="AL47:AL48">
    <cfRule type="expression" dxfId="207" priority="191">
      <formula>$O47&lt;&gt;""</formula>
    </cfRule>
    <cfRule type="containsText" dxfId="206" priority="193" operator="containsText" text="고급">
      <formula>NOT(ISERROR(SEARCH("고급",AL47)))</formula>
    </cfRule>
    <cfRule type="containsText" dxfId="205" priority="196" operator="containsText" text="고급">
      <formula>NOT(ISERROR(SEARCH("고급",AL47)))</formula>
    </cfRule>
  </conditionalFormatting>
  <conditionalFormatting sqref="AL48">
    <cfRule type="containsText" dxfId="204" priority="183" operator="containsText" text="중급">
      <formula>NOT(ISERROR(SEARCH(("중급"),(AL48))))</formula>
    </cfRule>
    <cfRule type="containsText" dxfId="203" priority="184" operator="containsText" text="특급">
      <formula>NOT(ISERROR(SEARCH("특급",AL48)))</formula>
    </cfRule>
    <cfRule type="containsText" dxfId="202" priority="185" operator="containsText" text="고급">
      <formula>NOT(ISERROR(SEARCH("고급",AL48)))</formula>
    </cfRule>
    <cfRule type="containsText" dxfId="201" priority="187" operator="containsText" text="중급">
      <formula>NOT(ISERROR(SEARCH(("중급"),(AL48))))</formula>
    </cfRule>
    <cfRule type="containsText" dxfId="200" priority="188" operator="containsText" text="특급">
      <formula>NOT(ISERROR(SEARCH("특급",AL48)))</formula>
    </cfRule>
    <cfRule type="containsText" dxfId="199" priority="189" operator="containsText" text="고급">
      <formula>NOT(ISERROR(SEARCH("고급",AL48)))</formula>
    </cfRule>
    <cfRule type="containsText" dxfId="198" priority="190" operator="containsText" text="초급">
      <formula>NOT(ISERROR(SEARCH(("초급"),(AL48))))</formula>
    </cfRule>
    <cfRule type="containsText" dxfId="197" priority="192" operator="containsText" text="특급">
      <formula>NOT(ISERROR(SEARCH("특급",AL48)))</formula>
    </cfRule>
  </conditionalFormatting>
  <conditionalFormatting sqref="AL49:AL51">
    <cfRule type="containsText" dxfId="196" priority="235" operator="containsText" text="고급">
      <formula>NOT(ISERROR(SEARCH("고급",AL49)))</formula>
    </cfRule>
  </conditionalFormatting>
  <conditionalFormatting sqref="AL52:AL54">
    <cfRule type="containsText" dxfId="195" priority="157" operator="containsText" text="초급">
      <formula>NOT(ISERROR(SEARCH(("초급"),(AL52))))</formula>
    </cfRule>
    <cfRule type="containsText" dxfId="194" priority="159" operator="containsText" text="중급">
      <formula>NOT(ISERROR(SEARCH(("중급"),(AL52))))</formula>
    </cfRule>
    <cfRule type="containsText" dxfId="193" priority="160" operator="containsText" text="초급">
      <formula>NOT(ISERROR(SEARCH(("초급"),(AL52))))</formula>
    </cfRule>
    <cfRule type="containsText" dxfId="192" priority="161" operator="containsText" text="특급">
      <formula>NOT(ISERROR(SEARCH("특급",AL52)))</formula>
    </cfRule>
    <cfRule type="containsText" dxfId="191" priority="162" operator="containsText" text="고급">
      <formula>NOT(ISERROR(SEARCH("고급",AL52)))</formula>
    </cfRule>
    <cfRule type="containsText" dxfId="190" priority="163" operator="containsText" text="특급">
      <formula>NOT(ISERROR(SEARCH("특급",AL52)))</formula>
    </cfRule>
    <cfRule type="containsText" dxfId="189" priority="165" operator="containsText" text="고급">
      <formula>NOT(ISERROR(SEARCH("고급",AL52)))</formula>
    </cfRule>
  </conditionalFormatting>
  <conditionalFormatting sqref="AL52:AL56 AL58:AL67">
    <cfRule type="containsText" dxfId="188" priority="144" operator="containsText" text="특급">
      <formula>NOT(ISERROR(SEARCH("특급",AL52)))</formula>
    </cfRule>
    <cfRule type="containsText" dxfId="187" priority="145" operator="containsText" text="고급">
      <formula>NOT(ISERROR(SEARCH("고급",AL52)))</formula>
    </cfRule>
  </conditionalFormatting>
  <conditionalFormatting sqref="AL53:AL54">
    <cfRule type="containsText" dxfId="186" priority="164" operator="containsText" text="중급">
      <formula>NOT(ISERROR(SEARCH(("중급"),(AL53))))</formula>
    </cfRule>
    <cfRule type="containsText" dxfId="185" priority="167" operator="containsText" text="중급">
      <formula>NOT(ISERROR(SEARCH(("중급"),(AL53))))</formula>
    </cfRule>
    <cfRule type="containsText" dxfId="184" priority="178" operator="containsText" text="중급">
      <formula>NOT(ISERROR(SEARCH(("중급"),(AL53))))</formula>
    </cfRule>
  </conditionalFormatting>
  <conditionalFormatting sqref="AL55:AL56 AL58:AL67 AL70:AL76">
    <cfRule type="containsText" dxfId="183" priority="134" operator="containsText" text="중급">
      <formula>NOT(ISERROR(SEARCH(("중급"),(AL55))))</formula>
    </cfRule>
    <cfRule type="containsText" dxfId="182" priority="135" operator="containsText" text="특급">
      <formula>NOT(ISERROR(SEARCH("특급",AL55)))</formula>
    </cfRule>
    <cfRule type="containsText" dxfId="181" priority="136" operator="containsText" text="고급">
      <formula>NOT(ISERROR(SEARCH("고급",AL55)))</formula>
    </cfRule>
    <cfRule type="expression" dxfId="180" priority="141">
      <formula>$O55&lt;&gt;""</formula>
    </cfRule>
    <cfRule type="containsText" dxfId="179" priority="142" operator="containsText" text="중급">
      <formula>NOT(ISERROR(SEARCH(("중급"),(AL55))))</formula>
    </cfRule>
    <cfRule type="containsText" dxfId="178" priority="143" operator="containsText" text="초급">
      <formula>NOT(ISERROR(SEARCH(("초급"),(AL55))))</formula>
    </cfRule>
  </conditionalFormatting>
  <conditionalFormatting sqref="AL55:AL56">
    <cfRule type="containsText" dxfId="177" priority="129" operator="containsText" text="중급">
      <formula>NOT(ISERROR(SEARCH(("중급"),(AL55))))</formula>
    </cfRule>
    <cfRule type="expression" dxfId="176" priority="130">
      <formula>$O55&lt;&gt;""</formula>
    </cfRule>
    <cfRule type="containsText" dxfId="175" priority="131" operator="containsText" text="특급">
      <formula>NOT(ISERROR(SEARCH("특급",AL55)))</formula>
    </cfRule>
    <cfRule type="containsText" dxfId="174" priority="132" operator="containsText" text="고급">
      <formula>NOT(ISERROR(SEARCH("고급",AL55)))</formula>
    </cfRule>
    <cfRule type="containsText" dxfId="173" priority="133" operator="containsText" text="고급">
      <formula>NOT(ISERROR(SEARCH("고급",AL55)))</formula>
    </cfRule>
  </conditionalFormatting>
  <conditionalFormatting sqref="AL59 AL65:AL67 AL70:AL76">
    <cfRule type="containsText" dxfId="172" priority="96" operator="containsText" text="초급">
      <formula>NOT(ISERROR(SEARCH(("초급"),(AL59))))</formula>
    </cfRule>
    <cfRule type="containsText" dxfId="171" priority="97" operator="containsText" text="중급">
      <formula>NOT(ISERROR(SEARCH(("중급"),(AL59))))</formula>
    </cfRule>
    <cfRule type="containsText" dxfId="170" priority="98" operator="containsText" text="초급">
      <formula>NOT(ISERROR(SEARCH(("초급"),(AL59))))</formula>
    </cfRule>
    <cfRule type="containsText" dxfId="169" priority="99" operator="containsText" text="특급">
      <formula>NOT(ISERROR(SEARCH("특급",AL59)))</formula>
    </cfRule>
    <cfRule type="containsText" dxfId="168" priority="100" operator="containsText" text="고급">
      <formula>NOT(ISERROR(SEARCH("고급",AL59)))</formula>
    </cfRule>
    <cfRule type="containsText" dxfId="167" priority="101" operator="containsText" text="특급">
      <formula>NOT(ISERROR(SEARCH("특급",AL59)))</formula>
    </cfRule>
    <cfRule type="containsText" dxfId="166" priority="102" operator="containsText" text="중급">
      <formula>NOT(ISERROR(SEARCH(("중급"),(AL59))))</formula>
    </cfRule>
    <cfRule type="containsText" dxfId="165" priority="103" operator="containsText" text="고급">
      <formula>NOT(ISERROR(SEARCH("고급",AL59)))</formula>
    </cfRule>
    <cfRule type="containsText" dxfId="164" priority="104" operator="containsText" text="중급">
      <formula>NOT(ISERROR(SEARCH(("중급"),(AL59))))</formula>
    </cfRule>
    <cfRule type="containsText" dxfId="163" priority="105" operator="containsText" text="특급">
      <formula>NOT(ISERROR(SEARCH("특급",AL59)))</formula>
    </cfRule>
    <cfRule type="containsText" dxfId="162" priority="106" operator="containsText" text="중급">
      <formula>NOT(ISERROR(SEARCH(("중급"),(AL59))))</formula>
    </cfRule>
    <cfRule type="expression" dxfId="161" priority="107">
      <formula>$O59&lt;&gt;""</formula>
    </cfRule>
  </conditionalFormatting>
  <conditionalFormatting sqref="AL61">
    <cfRule type="containsText" dxfId="160" priority="108" operator="containsText" text="특급">
      <formula>NOT(ISERROR(SEARCH("특급",AL61)))</formula>
    </cfRule>
    <cfRule type="containsText" dxfId="159" priority="109" operator="containsText" text="고급">
      <formula>NOT(ISERROR(SEARCH("고급",AL61)))</formula>
    </cfRule>
    <cfRule type="containsText" dxfId="158" priority="110" operator="containsText" text="초급">
      <formula>NOT(ISERROR(SEARCH(("초급"),(AL61))))</formula>
    </cfRule>
    <cfRule type="containsText" dxfId="157" priority="111" operator="containsText" text="중급">
      <formula>NOT(ISERROR(SEARCH(("중급"),(AL61))))</formula>
    </cfRule>
    <cfRule type="containsText" dxfId="156" priority="112" operator="containsText" text="초급">
      <formula>NOT(ISERROR(SEARCH(("초급"),(AL61))))</formula>
    </cfRule>
    <cfRule type="containsText" dxfId="155" priority="113" operator="containsText" text="특급">
      <formula>NOT(ISERROR(SEARCH("특급",AL61)))</formula>
    </cfRule>
    <cfRule type="containsText" dxfId="154" priority="114" operator="containsText" text="고급">
      <formula>NOT(ISERROR(SEARCH("고급",AL61)))</formula>
    </cfRule>
    <cfRule type="containsText" dxfId="153" priority="115" operator="containsText" text="특급">
      <formula>NOT(ISERROR(SEARCH("특급",AL61)))</formula>
    </cfRule>
    <cfRule type="containsText" dxfId="152" priority="116" operator="containsText" text="중급">
      <formula>NOT(ISERROR(SEARCH(("중급"),(AL61))))</formula>
    </cfRule>
    <cfRule type="containsText" dxfId="151" priority="117" operator="containsText" text="고급">
      <formula>NOT(ISERROR(SEARCH("고급",AL61)))</formula>
    </cfRule>
    <cfRule type="containsText" dxfId="150" priority="118" operator="containsText" text="중급">
      <formula>NOT(ISERROR(SEARCH(("중급"),(AL61))))</formula>
    </cfRule>
    <cfRule type="containsText" dxfId="149" priority="119" operator="containsText" text="특급">
      <formula>NOT(ISERROR(SEARCH("특급",AL61)))</formula>
    </cfRule>
    <cfRule type="containsText" dxfId="148" priority="120" operator="containsText" text="중급">
      <formula>NOT(ISERROR(SEARCH(("중급"),(AL61))))</formula>
    </cfRule>
    <cfRule type="expression" dxfId="147" priority="121">
      <formula>$O61&lt;&gt;""</formula>
    </cfRule>
  </conditionalFormatting>
  <conditionalFormatting sqref="AL65:AL67 AL70:AL76 AL59">
    <cfRule type="containsText" dxfId="146" priority="95" operator="containsText" text="고급">
      <formula>NOT(ISERROR(SEARCH("고급",AL59)))</formula>
    </cfRule>
  </conditionalFormatting>
  <conditionalFormatting sqref="AL66">
    <cfRule type="containsText" dxfId="145" priority="84" operator="containsText" text="중급">
      <formula>NOT(ISERROR(SEARCH(("중급"),(AL66))))</formula>
    </cfRule>
    <cfRule type="containsText" dxfId="144" priority="85" operator="containsText" text="특급">
      <formula>NOT(ISERROR(SEARCH("특급",AL66)))</formula>
    </cfRule>
    <cfRule type="containsText" dxfId="143" priority="89" operator="containsText" text="초급">
      <formula>NOT(ISERROR(SEARCH(("초급"),(AL66))))</formula>
    </cfRule>
    <cfRule type="containsText" dxfId="142" priority="90" operator="containsText" text="특급">
      <formula>NOT(ISERROR(SEARCH("특급",AL66)))</formula>
    </cfRule>
    <cfRule type="containsText" dxfId="141" priority="91" operator="containsText" text="고급">
      <formula>NOT(ISERROR(SEARCH("고급",AL66)))</formula>
    </cfRule>
    <cfRule type="containsText" dxfId="140" priority="93" operator="containsText" text="고급">
      <formula>NOT(ISERROR(SEARCH("고급",AL66)))</formula>
    </cfRule>
  </conditionalFormatting>
  <conditionalFormatting sqref="AL71">
    <cfRule type="containsText" dxfId="139" priority="78" operator="containsText" text="특급">
      <formula>NOT(ISERROR(SEARCH("특급",AL71)))</formula>
    </cfRule>
    <cfRule type="containsText" dxfId="138" priority="79" operator="containsText" text="고급">
      <formula>NOT(ISERROR(SEARCH("고급",AL71)))</formula>
    </cfRule>
    <cfRule type="containsText" dxfId="137" priority="80" operator="containsText" text="초급">
      <formula>NOT(ISERROR(SEARCH(("초급"),(AL71))))</formula>
    </cfRule>
    <cfRule type="containsText" dxfId="136" priority="81" operator="containsText" text="특급">
      <formula>NOT(ISERROR(SEARCH("특급",AL71)))</formula>
    </cfRule>
    <cfRule type="containsText" dxfId="135" priority="82" operator="containsText" text="중급">
      <formula>NOT(ISERROR(SEARCH(("중급"),(AL71))))</formula>
    </cfRule>
    <cfRule type="containsText" dxfId="134" priority="83" operator="containsText" text="고급">
      <formula>NOT(ISERROR(SEARCH("고급",AL71)))</formula>
    </cfRule>
  </conditionalFormatting>
  <conditionalFormatting sqref="AL76 AL70:AM75">
    <cfRule type="containsText" dxfId="133" priority="77" operator="containsText" text="중급">
      <formula>NOT(ISERROR(SEARCH(("중급"),(AL70))))</formula>
    </cfRule>
  </conditionalFormatting>
  <conditionalFormatting sqref="AL76">
    <cfRule type="containsText" dxfId="132" priority="76" operator="containsText" text="초급">
      <formula>NOT(ISERROR(SEARCH(("초급"),(AL76))))</formula>
    </cfRule>
  </conditionalFormatting>
  <conditionalFormatting sqref="AL97">
    <cfRule type="expression" dxfId="131" priority="45">
      <formula>$O97&lt;&gt;""</formula>
    </cfRule>
  </conditionalFormatting>
  <conditionalFormatting sqref="AL115:AL118">
    <cfRule type="containsText" dxfId="130" priority="31" operator="containsText" text="특급">
      <formula>NOT(ISERROR(SEARCH("특급",AL115)))</formula>
    </cfRule>
    <cfRule type="containsText" dxfId="129" priority="32" operator="containsText" text="고급">
      <formula>NOT(ISERROR(SEARCH("고급",AL115)))</formula>
    </cfRule>
    <cfRule type="expression" dxfId="128" priority="33">
      <formula>$O115&lt;&gt;""</formula>
    </cfRule>
    <cfRule type="containsText" dxfId="127" priority="34" operator="containsText" text="중급">
      <formula>NOT(ISERROR(SEARCH(("중급"),(AL115))))</formula>
    </cfRule>
    <cfRule type="containsText" dxfId="126" priority="35" operator="containsText" text="특급">
      <formula>NOT(ISERROR(SEARCH("특급",AL115)))</formula>
    </cfRule>
    <cfRule type="containsText" dxfId="125" priority="36" operator="containsText" text="초급">
      <formula>NOT(ISERROR(SEARCH(("초급"),(AL115))))</formula>
    </cfRule>
    <cfRule type="expression" dxfId="124" priority="37">
      <formula>$O115&lt;&gt;""</formula>
    </cfRule>
    <cfRule type="containsText" dxfId="123" priority="38" operator="containsText" text="초급">
      <formula>NOT(ISERROR(SEARCH(("초급"),(AL115))))</formula>
    </cfRule>
    <cfRule type="containsText" dxfId="122" priority="39" operator="containsText" text="특급">
      <formula>NOT(ISERROR(SEARCH("특급",AL115)))</formula>
    </cfRule>
    <cfRule type="containsText" dxfId="121" priority="40" operator="containsText" text="고급">
      <formula>NOT(ISERROR(SEARCH("고급",AL115)))</formula>
    </cfRule>
  </conditionalFormatting>
  <conditionalFormatting sqref="AL131:AL135 AK135:AK138 AL137:AL138 AK139:AL246">
    <cfRule type="containsText" dxfId="120" priority="240" operator="containsText" text="고급">
      <formula>NOT(ISERROR(SEARCH("고급",AK131)))</formula>
    </cfRule>
    <cfRule type="expression" dxfId="119" priority="241">
      <formula>$O131&lt;&gt;""</formula>
    </cfRule>
    <cfRule type="containsText" dxfId="118" priority="242" operator="containsText" text="중급">
      <formula>NOT(ISERROR(SEARCH(("중급"),(AK131))))</formula>
    </cfRule>
    <cfRule type="containsText" dxfId="117" priority="243" operator="containsText" text="특급">
      <formula>NOT(ISERROR(SEARCH("특급",AK131)))</formula>
    </cfRule>
    <cfRule type="containsText" dxfId="116" priority="244" operator="containsText" text="고급">
      <formula>NOT(ISERROR(SEARCH("고급",AK131)))</formula>
    </cfRule>
    <cfRule type="containsText" dxfId="115" priority="245" operator="containsText" text="초급">
      <formula>NOT(ISERROR(SEARCH(("초급"),(AK131))))</formula>
    </cfRule>
    <cfRule type="expression" dxfId="114" priority="246">
      <formula>$O131&lt;&gt;""</formula>
    </cfRule>
    <cfRule type="containsText" dxfId="113" priority="247" operator="containsText" text="중급">
      <formula>NOT(ISERROR(SEARCH(("중급"),(AK131))))</formula>
    </cfRule>
    <cfRule type="containsText" dxfId="112" priority="248" operator="containsText" text="초급">
      <formula>NOT(ISERROR(SEARCH(("초급"),(AK131))))</formula>
    </cfRule>
    <cfRule type="containsText" dxfId="111" priority="249" operator="containsText" text="특급">
      <formula>NOT(ISERROR(SEARCH("특급",AK131)))</formula>
    </cfRule>
    <cfRule type="containsText" dxfId="110" priority="250" operator="containsText" text="고급">
      <formula>NOT(ISERROR(SEARCH("고급",AK131)))</formula>
    </cfRule>
    <cfRule type="containsText" dxfId="109" priority="251" operator="containsText" text="특급">
      <formula>NOT(ISERROR(SEARCH("특급",AK131)))</formula>
    </cfRule>
    <cfRule type="containsText" dxfId="108" priority="252" operator="containsText" text="고급">
      <formula>NOT(ISERROR(SEARCH("고급",AK131)))</formula>
    </cfRule>
  </conditionalFormatting>
  <conditionalFormatting sqref="AL139:AL140">
    <cfRule type="containsText" dxfId="107" priority="6" operator="containsText" text="고급">
      <formula>NOT(ISERROR(SEARCH("고급",AL139)))</formula>
    </cfRule>
    <cfRule type="containsText" dxfId="106" priority="12" operator="containsText" text="고급">
      <formula>NOT(ISERROR(SEARCH("고급",AL139)))</formula>
    </cfRule>
    <cfRule type="containsText" dxfId="105" priority="13" operator="containsText" text="고급">
      <formula>NOT(ISERROR(SEARCH("고급",AL139)))</formula>
    </cfRule>
    <cfRule type="containsText" dxfId="104" priority="14" operator="containsText" text="특급">
      <formula>NOT(ISERROR(SEARCH("특급",AL139)))</formula>
    </cfRule>
    <cfRule type="containsText" dxfId="103" priority="15" operator="containsText" text="고급">
      <formula>NOT(ISERROR(SEARCH("고급",AL139)))</formula>
    </cfRule>
    <cfRule type="expression" dxfId="102" priority="16">
      <formula>$O139&lt;&gt;""</formula>
    </cfRule>
    <cfRule type="containsText" dxfId="101" priority="17" operator="containsText" text="중급">
      <formula>NOT(ISERROR(SEARCH(("중급"),(AL139))))</formula>
    </cfRule>
    <cfRule type="containsText" dxfId="100" priority="18" operator="containsText" text="초급">
      <formula>NOT(ISERROR(SEARCH(("초급"),(AL139))))</formula>
    </cfRule>
    <cfRule type="containsText" dxfId="99" priority="20" operator="containsText" text="고급">
      <formula>NOT(ISERROR(SEARCH("고급",AL139)))</formula>
    </cfRule>
    <cfRule type="containsText" dxfId="98" priority="21" operator="containsText" text="초급">
      <formula>NOT(ISERROR(SEARCH(("초급"),(AL139))))</formula>
    </cfRule>
  </conditionalFormatting>
  <conditionalFormatting sqref="AL145:AL246">
    <cfRule type="containsText" dxfId="97" priority="23" operator="containsText" text="고급">
      <formula>NOT(ISERROR(SEARCH("고급",AL145)))</formula>
    </cfRule>
    <cfRule type="containsText" dxfId="96" priority="24" operator="containsText" text="고급">
      <formula>NOT(ISERROR(SEARCH("고급",AL145)))</formula>
    </cfRule>
    <cfRule type="containsText" dxfId="95" priority="67" operator="containsText" text="특급">
      <formula>NOT(ISERROR(SEARCH("특급",AL145)))</formula>
    </cfRule>
  </conditionalFormatting>
  <conditionalFormatting sqref="AL170:AL246">
    <cfRule type="containsText" dxfId="94" priority="55" operator="containsText" text="고급">
      <formula>NOT(ISERROR(SEARCH("고급",AL170)))</formula>
    </cfRule>
    <cfRule type="containsText" dxfId="93" priority="56" operator="containsText" text="고급">
      <formula>NOT(ISERROR(SEARCH("고급",AL170)))</formula>
    </cfRule>
    <cfRule type="containsText" dxfId="92" priority="57" operator="containsText" text="특급">
      <formula>NOT(ISERROR(SEARCH("특급",AL170)))</formula>
    </cfRule>
    <cfRule type="containsText" dxfId="91" priority="58" operator="containsText" text="고급">
      <formula>NOT(ISERROR(SEARCH("고급",AL170)))</formula>
    </cfRule>
    <cfRule type="expression" dxfId="90" priority="59">
      <formula>$O170&lt;&gt;""</formula>
    </cfRule>
    <cfRule type="containsText" dxfId="89" priority="60" operator="containsText" text="중급">
      <formula>NOT(ISERROR(SEARCH(("중급"),(AL170))))</formula>
    </cfRule>
    <cfRule type="containsText" dxfId="88" priority="61" operator="containsText" text="초급">
      <formula>NOT(ISERROR(SEARCH(("초급"),(AL170))))</formula>
    </cfRule>
    <cfRule type="containsText" dxfId="87" priority="63" operator="containsText" text="고급">
      <formula>NOT(ISERROR(SEARCH("고급",AL170)))</formula>
    </cfRule>
  </conditionalFormatting>
  <conditionalFormatting sqref="AK135:AK138 AK139:AL235 AM167 AM227 AK236:AM246">
    <cfRule type="containsText" dxfId="86" priority="239" operator="containsText" text="특급">
      <formula>NOT(ISERROR(SEARCH("특급",AK135)))</formula>
    </cfRule>
  </conditionalFormatting>
  <conditionalFormatting sqref="AK139:AL235 AM140:AM146 AM151 AK135:AK138 AM167 AM227 AK236:AM246">
    <cfRule type="containsText" dxfId="85" priority="238" operator="containsText" text="중급">
      <formula>NOT(ISERROR(SEARCH(("중급"),(AK135))))</formula>
    </cfRule>
  </conditionalFormatting>
  <conditionalFormatting sqref="AL3:AM246">
    <cfRule type="containsText" dxfId="84" priority="122" operator="containsText" text="초급">
      <formula>NOT(ISERROR(SEARCH(("초급"),(AL3))))</formula>
    </cfRule>
    <cfRule type="containsText" dxfId="83" priority="233" operator="containsText" text="고급">
      <formula>NOT(ISERROR(SEARCH("고급",AL3)))</formula>
    </cfRule>
  </conditionalFormatting>
  <conditionalFormatting sqref="AL3:AM6 AL8:AM8">
    <cfRule type="containsText" dxfId="82" priority="219" operator="containsText" text="초급">
      <formula>NOT(ISERROR(SEARCH(("초급"),(AL3))))</formula>
    </cfRule>
    <cfRule type="containsText" dxfId="81" priority="229" operator="containsText" text="중급">
      <formula>NOT(ISERROR(SEARCH(("중급"),(AL3))))</formula>
    </cfRule>
  </conditionalFormatting>
  <conditionalFormatting sqref="AL3:AM6">
    <cfRule type="containsText" dxfId="80" priority="232" operator="containsText" text="특급">
      <formula>NOT(ISERROR(SEARCH("특급",AL3)))</formula>
    </cfRule>
  </conditionalFormatting>
  <conditionalFormatting sqref="AL9:AM9">
    <cfRule type="containsText" dxfId="79" priority="224" operator="containsText" text="특급">
      <formula>NOT(ISERROR(SEARCH("특급",AL9)))</formula>
    </cfRule>
  </conditionalFormatting>
  <conditionalFormatting sqref="AL9:AM37">
    <cfRule type="containsText" dxfId="78" priority="221" operator="containsText" text="고급">
      <formula>NOT(ISERROR(SEARCH("고급",AL9)))</formula>
    </cfRule>
  </conditionalFormatting>
  <conditionalFormatting sqref="AL11:AM11">
    <cfRule type="containsText" dxfId="77" priority="237" operator="containsText" text="초급">
      <formula>NOT(ISERROR(SEARCH(("초급"),(AL11))))</formula>
    </cfRule>
  </conditionalFormatting>
  <conditionalFormatting sqref="AL12:AM47">
    <cfRule type="containsText" dxfId="76" priority="218" operator="containsText" text="초급">
      <formula>NOT(ISERROR(SEARCH(("초급"),(AL12))))</formula>
    </cfRule>
  </conditionalFormatting>
  <conditionalFormatting sqref="AL38:AM40">
    <cfRule type="containsText" dxfId="75" priority="205" operator="containsText" text="특급">
      <formula>NOT(ISERROR(SEARCH("특급",AL38)))</formula>
    </cfRule>
  </conditionalFormatting>
  <conditionalFormatting sqref="AL40:AM40">
    <cfRule type="containsText" dxfId="74" priority="206" operator="containsText" text="고급">
      <formula>NOT(ISERROR(SEARCH("고급",AL40)))</formula>
    </cfRule>
  </conditionalFormatting>
  <conditionalFormatting sqref="AL40:AM42">
    <cfRule type="containsText" dxfId="73" priority="201" operator="containsText" text="중급">
      <formula>NOT(ISERROR(SEARCH(("중급"),(AL40))))</formula>
    </cfRule>
    <cfRule type="containsText" dxfId="72" priority="202" operator="containsText" text="특급">
      <formula>NOT(ISERROR(SEARCH("특급",AL40)))</formula>
    </cfRule>
    <cfRule type="containsText" dxfId="71" priority="203" operator="containsText" text="고급">
      <formula>NOT(ISERROR(SEARCH("고급",AL40)))</formula>
    </cfRule>
  </conditionalFormatting>
  <conditionalFormatting sqref="AL43:AM44">
    <cfRule type="containsText" dxfId="70" priority="199" operator="containsText" text="고급">
      <formula>NOT(ISERROR(SEARCH("고급",AL43)))</formula>
    </cfRule>
  </conditionalFormatting>
  <conditionalFormatting sqref="AL48:AM48">
    <cfRule type="containsText" dxfId="69" priority="195" operator="containsText" text="중급">
      <formula>NOT(ISERROR(SEARCH(("중급"),(AL48))))</formula>
    </cfRule>
  </conditionalFormatting>
  <conditionalFormatting sqref="AL53:AM54">
    <cfRule type="containsText" dxfId="68" priority="176" operator="containsText" text="특급">
      <formula>NOT(ISERROR(SEARCH("특급",AL53)))</formula>
    </cfRule>
  </conditionalFormatting>
  <conditionalFormatting sqref="AL55:AM56">
    <cfRule type="containsText" dxfId="67" priority="137" operator="containsText" text="중급">
      <formula>NOT(ISERROR(SEARCH(("중급"),(AL55))))</formula>
    </cfRule>
    <cfRule type="containsText" dxfId="66" priority="138" operator="containsText" text="특급">
      <formula>NOT(ISERROR(SEARCH("특급",AL55)))</formula>
    </cfRule>
    <cfRule type="containsText" dxfId="65" priority="139" operator="containsText" text="고급">
      <formula>NOT(ISERROR(SEARCH("고급",AL55)))</formula>
    </cfRule>
    <cfRule type="containsText" dxfId="64" priority="140" operator="containsText" text="초급">
      <formula>NOT(ISERROR(SEARCH(("초급"),(AL55))))</formula>
    </cfRule>
    <cfRule type="containsText" dxfId="63" priority="147" operator="containsText" text="특급">
      <formula>NOT(ISERROR(SEARCH("특급",AL55)))</formula>
    </cfRule>
    <cfRule type="containsText" dxfId="62" priority="148" operator="containsText" text="중급">
      <formula>NOT(ISERROR(SEARCH(("중급"),(AL55))))</formula>
    </cfRule>
  </conditionalFormatting>
  <conditionalFormatting sqref="AL58:AM67">
    <cfRule type="containsText" dxfId="61" priority="151" operator="containsText" text="중급">
      <formula>NOT(ISERROR(SEARCH(("중급"),(AL58))))</formula>
    </cfRule>
    <cfRule type="containsText" dxfId="60" priority="152" operator="containsText" text="특급">
      <formula>NOT(ISERROR(SEARCH("특급",AL58)))</formula>
    </cfRule>
    <cfRule type="containsText" dxfId="59" priority="153" operator="containsText" text="고급">
      <formula>NOT(ISERROR(SEARCH("고급",AL58)))</formula>
    </cfRule>
    <cfRule type="containsText" dxfId="58" priority="154" operator="containsText" text="초급">
      <formula>NOT(ISERROR(SEARCH(("초급"),(AL58))))</formula>
    </cfRule>
    <cfRule type="containsText" dxfId="57" priority="155" operator="containsText" text="특급">
      <formula>NOT(ISERROR(SEARCH("특급",AL58)))</formula>
    </cfRule>
    <cfRule type="containsText" dxfId="56" priority="156" operator="containsText" text="중급">
      <formula>NOT(ISERROR(SEARCH(("중급"),(AL58))))</formula>
    </cfRule>
  </conditionalFormatting>
  <conditionalFormatting sqref="AL66:AM66">
    <cfRule type="containsText" dxfId="55" priority="86" operator="containsText" text="고급">
      <formula>NOT(ISERROR(SEARCH("고급",AL66)))</formula>
    </cfRule>
    <cfRule type="containsText" dxfId="54" priority="87" operator="containsText" text="초급">
      <formula>NOT(ISERROR(SEARCH(("초급"),(AL66))))</formula>
    </cfRule>
    <cfRule type="containsText" dxfId="53" priority="88" operator="containsText" text="중급">
      <formula>NOT(ISERROR(SEARCH(("중급"),(AL66))))</formula>
    </cfRule>
    <cfRule type="containsText" dxfId="52" priority="92" operator="containsText" text="특급">
      <formula>NOT(ISERROR(SEARCH("특급",AL66)))</formula>
    </cfRule>
  </conditionalFormatting>
  <conditionalFormatting sqref="AL68:AM69">
    <cfRule type="containsText" dxfId="51" priority="72" operator="containsText" text="초급">
      <formula>NOT(ISERROR(SEARCH(("초급"),(AL68))))</formula>
    </cfRule>
  </conditionalFormatting>
  <conditionalFormatting sqref="AL68:AM75 AL76">
    <cfRule type="containsText" dxfId="50" priority="73" operator="containsText" text="중급">
      <formula>NOT(ISERROR(SEARCH(("중급"),(AL68))))</formula>
    </cfRule>
    <cfRule type="containsText" dxfId="49" priority="74" operator="containsText" text="특급">
      <formula>NOT(ISERROR(SEARCH("특급",AL68)))</formula>
    </cfRule>
    <cfRule type="containsText" dxfId="48" priority="75" operator="containsText" text="고급">
      <formula>NOT(ISERROR(SEARCH("고급",AL68)))</formula>
    </cfRule>
  </conditionalFormatting>
  <conditionalFormatting sqref="AL115:AM118 AM119:AM138 AM140:AM246">
    <cfRule type="containsText" dxfId="47" priority="29" operator="containsText" text="특급">
      <formula>NOT(ISERROR(SEARCH("특급",AL115)))</formula>
    </cfRule>
    <cfRule type="containsText" dxfId="46" priority="30" operator="containsText" text="고급">
      <formula>NOT(ISERROR(SEARCH("고급",AL115)))</formula>
    </cfRule>
    <cfRule type="containsText" dxfId="45" priority="41" operator="containsText" text="중급">
      <formula>NOT(ISERROR(SEARCH(("중급"),(AL115))))</formula>
    </cfRule>
    <cfRule type="containsText" dxfId="44" priority="42" operator="containsText" text="초급">
      <formula>NOT(ISERROR(SEARCH(("초급"),(AL115))))</formula>
    </cfRule>
  </conditionalFormatting>
  <conditionalFormatting sqref="AL139:AM140">
    <cfRule type="containsText" dxfId="43" priority="7" operator="containsText" text="고급">
      <formula>NOT(ISERROR(SEARCH("고급",AL139)))</formula>
    </cfRule>
    <cfRule type="containsText" dxfId="42" priority="8" operator="containsText" text="특급">
      <formula>NOT(ISERROR(SEARCH("특급",AL139)))</formula>
    </cfRule>
    <cfRule type="containsText" dxfId="41" priority="9" operator="containsText" text="고급">
      <formula>NOT(ISERROR(SEARCH("고급",AL139)))</formula>
    </cfRule>
    <cfRule type="containsText" dxfId="40" priority="10" operator="containsText" text="중급">
      <formula>NOT(ISERROR(SEARCH(("중급"),(AL139))))</formula>
    </cfRule>
    <cfRule type="containsText" dxfId="39" priority="11" operator="containsText" text="특급">
      <formula>NOT(ISERROR(SEARCH("특급",AL139)))</formula>
    </cfRule>
    <cfRule type="containsText" dxfId="38" priority="19" operator="containsText" text="특급">
      <formula>NOT(ISERROR(SEARCH("특급",AL139)))</formula>
    </cfRule>
    <cfRule type="containsText" dxfId="37" priority="22" operator="containsText" text="고급">
      <formula>NOT(ISERROR(SEARCH("고급",AL139)))</formula>
    </cfRule>
  </conditionalFormatting>
  <conditionalFormatting sqref="AL145:AM246">
    <cfRule type="containsText" dxfId="36" priority="64" operator="containsText" text="고급">
      <formula>NOT(ISERROR(SEARCH("고급",AL145)))</formula>
    </cfRule>
    <cfRule type="containsText" dxfId="35" priority="65" operator="containsText" text="초급">
      <formula>NOT(ISERROR(SEARCH(("초급"),(AL145))))</formula>
    </cfRule>
    <cfRule type="containsText" dxfId="34" priority="66" operator="containsText" text="고급">
      <formula>NOT(ISERROR(SEARCH("고급",AL145)))</formula>
    </cfRule>
    <cfRule type="containsText" dxfId="33" priority="68" operator="containsText" text="고급">
      <formula>NOT(ISERROR(SEARCH("고급",AL145)))</formula>
    </cfRule>
    <cfRule type="containsText" dxfId="32" priority="69" operator="containsText" text="중급">
      <formula>NOT(ISERROR(SEARCH(("중급"),(AL145))))</formula>
    </cfRule>
  </conditionalFormatting>
  <conditionalFormatting sqref="AL170:AM180">
    <cfRule type="containsText" dxfId="31" priority="53" operator="containsText" text="중급">
      <formula>NOT(ISERROR(SEARCH(("중급"),(AL170))))</formula>
    </cfRule>
    <cfRule type="containsText" dxfId="30" priority="54" operator="containsText" text="초급">
      <formula>NOT(ISERROR(SEARCH(("초급"),(AL170))))</formula>
    </cfRule>
  </conditionalFormatting>
  <conditionalFormatting sqref="AL170:AM246">
    <cfRule type="containsText" dxfId="29" priority="52" operator="containsText" text="특급">
      <formula>NOT(ISERROR(SEARCH("특급",AL170)))</formula>
    </cfRule>
    <cfRule type="containsText" dxfId="28" priority="62" operator="containsText" text="특급">
      <formula>NOT(ISERROR(SEARCH("특급",AL170)))</formula>
    </cfRule>
  </conditionalFormatting>
  <conditionalFormatting sqref="AL173:AM246">
    <cfRule type="containsText" dxfId="27" priority="48" operator="containsText" text="고급">
      <formula>NOT(ISERROR(SEARCH("고급",AL173)))</formula>
    </cfRule>
    <cfRule type="containsText" dxfId="26" priority="49" operator="containsText" text="특급">
      <formula>NOT(ISERROR(SEARCH("특급",AL173)))</formula>
    </cfRule>
    <cfRule type="containsText" dxfId="25" priority="50" operator="containsText" text="고급">
      <formula>NOT(ISERROR(SEARCH("고급",AL173)))</formula>
    </cfRule>
    <cfRule type="containsText" dxfId="24" priority="51" operator="containsText" text="중급">
      <formula>NOT(ISERROR(SEARCH(("중급"),(AL173))))</formula>
    </cfRule>
  </conditionalFormatting>
  <conditionalFormatting sqref="AL2:AU2">
    <cfRule type="containsText" dxfId="23" priority="220" operator="containsText" text="특급">
      <formula>NOT(ISERROR(SEARCH("특급",AL2)))</formula>
    </cfRule>
  </conditionalFormatting>
  <conditionalFormatting sqref="AM7">
    <cfRule type="containsText" dxfId="22" priority="225" operator="containsText" text="고급">
      <formula>NOT(ISERROR(SEARCH("고급",AM7)))</formula>
    </cfRule>
    <cfRule type="containsText" dxfId="21" priority="226" operator="containsText" text="중급">
      <formula>NOT(ISERROR(SEARCH(("중급"),(AM7))))</formula>
    </cfRule>
    <cfRule type="containsText" dxfId="20" priority="227" operator="containsText" text="초급">
      <formula>NOT(ISERROR(SEARCH(("초급"),(AM7))))</formula>
    </cfRule>
    <cfRule type="containsText" dxfId="19" priority="228" operator="containsText" text="특급">
      <formula>NOT(ISERROR(SEARCH("특급",AM7)))</formula>
    </cfRule>
  </conditionalFormatting>
  <conditionalFormatting sqref="AM9">
    <cfRule type="containsText" dxfId="18" priority="222" operator="containsText" text="중급">
      <formula>NOT(ISERROR(SEARCH(("중급"),(AM9))))</formula>
    </cfRule>
    <cfRule type="containsText" dxfId="17" priority="223" operator="containsText" text="초급">
      <formula>NOT(ISERROR(SEARCH(("초급"),(AM9))))</formula>
    </cfRule>
  </conditionalFormatting>
  <conditionalFormatting sqref="AM38:AM39">
    <cfRule type="containsText" dxfId="16" priority="207" operator="containsText" text="고급">
      <formula>NOT(ISERROR(SEARCH("고급",AM38)))</formula>
    </cfRule>
  </conditionalFormatting>
  <conditionalFormatting sqref="AM40 AL41:AL44 AL47:AM47">
    <cfRule type="containsText" dxfId="15" priority="231" operator="containsText" text="중급">
      <formula>NOT(ISERROR(SEARCH(("중급"),(AL40))))</formula>
    </cfRule>
  </conditionalFormatting>
  <conditionalFormatting sqref="AM48:AM52">
    <cfRule type="expression" dxfId="14" priority="70">
      <formula>$O48&lt;&gt;""</formula>
    </cfRule>
    <cfRule type="containsText" dxfId="13" priority="210" operator="containsText" text="초급">
      <formula>NOT(ISERROR(SEARCH(("초급"),(AM48))))</formula>
    </cfRule>
    <cfRule type="containsText" dxfId="12" priority="211" operator="containsText" text="특급">
      <formula>NOT(ISERROR(SEARCH("특급",AM48)))</formula>
    </cfRule>
  </conditionalFormatting>
  <conditionalFormatting sqref="AM53:AM54">
    <cfRule type="containsText" dxfId="11" priority="158" operator="containsText" text="중급">
      <formula>NOT(ISERROR(SEARCH(("중급"),(AM53))))</formula>
    </cfRule>
    <cfRule type="containsText" dxfId="10" priority="179" operator="containsText" text="고급">
      <formula>NOT(ISERROR(SEARCH("고급",AM53)))</formula>
    </cfRule>
    <cfRule type="containsText" dxfId="9" priority="180" operator="containsText" text="초급">
      <formula>NOT(ISERROR(SEARCH(("초급"),(AM53))))</formula>
    </cfRule>
    <cfRule type="containsText" dxfId="8" priority="182" operator="containsText" text="특급">
      <formula>NOT(ISERROR(SEARCH("특급",AM53)))</formula>
    </cfRule>
  </conditionalFormatting>
  <conditionalFormatting sqref="AM57">
    <cfRule type="containsText" dxfId="7" priority="123" operator="containsText" text="중급">
      <formula>NOT(ISERROR(SEARCH(("중급"),(AM57))))</formula>
    </cfRule>
    <cfRule type="containsText" dxfId="6" priority="124" operator="containsText" text="특급">
      <formula>NOT(ISERROR(SEARCH("특급",AM57)))</formula>
    </cfRule>
    <cfRule type="containsText" dxfId="5" priority="125" operator="containsText" text="고급">
      <formula>NOT(ISERROR(SEARCH("고급",AM57)))</formula>
    </cfRule>
    <cfRule type="containsText" dxfId="4" priority="126" operator="containsText" text="초급">
      <formula>NOT(ISERROR(SEARCH(("초급"),(AM57))))</formula>
    </cfRule>
    <cfRule type="expression" dxfId="3" priority="127">
      <formula>$O57&lt;&gt;""</formula>
    </cfRule>
    <cfRule type="containsText" dxfId="2" priority="128" operator="containsText" text="특급">
      <formula>NOT(ISERROR(SEARCH("특급",AM57)))</formula>
    </cfRule>
  </conditionalFormatting>
  <conditionalFormatting sqref="AY229:BK231">
    <cfRule type="expression" dxfId="1" priority="1">
      <formula>$O229&lt;&gt;""</formula>
    </cfRule>
  </conditionalFormatting>
  <conditionalFormatting sqref="CZ135:CZ136 CZ137:DA138 CZ140:DA161 CZ162:CZ163 DA3:DA136 DA139 DA162:DA246">
    <cfRule type="cellIs" dxfId="0" priority="149" operator="lessThan">
      <formula>9620</formula>
    </cfRule>
  </conditionalFormatting>
  <hyperlinks>
    <hyperlink ref="BE197" r:id="rId1" xr:uid="{C4FF3128-CB2E-4F98-BA76-D744A6577DDA}"/>
    <hyperlink ref="BE196" r:id="rId2" xr:uid="{2747B788-DC2D-4A68-8BC7-2DC749D9AC3E}"/>
    <hyperlink ref="BE227" r:id="rId3" xr:uid="{2EF35A43-3989-41FA-8D2F-F936C7928E71}"/>
    <hyperlink ref="BE195" r:id="rId4" xr:uid="{81FB3C01-D42F-4480-BBC4-B080B9F3246A}"/>
    <hyperlink ref="BE194" r:id="rId5" xr:uid="{E3E63C22-F304-4D18-B94E-04A0809E1104}"/>
    <hyperlink ref="BE102" r:id="rId6" xr:uid="{C46998CD-D2C8-4F86-8F9D-6B11BC934F5D}"/>
    <hyperlink ref="BE193" r:id="rId7" xr:uid="{AC43161D-8E4B-4765-B111-47190D9912AF}"/>
    <hyperlink ref="BE243" r:id="rId8" xr:uid="{2CE1934B-EE41-4FF7-8FCF-4E7E05FB61D1}"/>
    <hyperlink ref="BE192" r:id="rId9" xr:uid="{098A8188-AEAF-4B04-9A69-EA6A681A460E}"/>
    <hyperlink ref="BE191" r:id="rId10" xr:uid="{1639F377-AAD0-4600-826D-C763730402AA}"/>
    <hyperlink ref="BE190" r:id="rId11" xr:uid="{7FA8F26C-C9D7-4F6E-B39A-41E24C8A2A98}"/>
    <hyperlink ref="BE189" r:id="rId12" xr:uid="{606329E8-D314-42A2-9793-30BAF56085B0}"/>
    <hyperlink ref="BE188" r:id="rId13" xr:uid="{BF4703C0-57A6-4A2E-85CA-FAEEA2149E18}"/>
    <hyperlink ref="BE187" r:id="rId14" xr:uid="{895DAE03-CFBD-41A9-9B2F-0F6715FBDD22}"/>
    <hyperlink ref="BE186" r:id="rId15" xr:uid="{725F7DC1-1410-4875-8F3F-F785312A92C7}"/>
    <hyperlink ref="BE239" r:id="rId16" xr:uid="{19624374-822B-4897-99FA-426DA700DBB9}"/>
    <hyperlink ref="BE238" r:id="rId17" xr:uid="{D5C160E4-30CE-4C67-85D9-75A980FBED53}"/>
    <hyperlink ref="BE242" r:id="rId18" xr:uid="{C847C462-9141-4496-A39D-BFC47C50C1BB}"/>
    <hyperlink ref="BE241" r:id="rId19" xr:uid="{48D3E14A-114D-4936-AA52-570CB1CC4F5A}"/>
    <hyperlink ref="BE240" r:id="rId20" xr:uid="{FE3AB497-87E9-4811-8BFB-263481BF6D8F}"/>
    <hyperlink ref="BE185" r:id="rId21" xr:uid="{94E30D95-FFED-435A-B33A-39E650FB15F8}"/>
    <hyperlink ref="BE158" r:id="rId22" xr:uid="{F93C8BEE-21B3-4A1B-A8C4-B5B3AEE0A7C6}"/>
    <hyperlink ref="BE157" r:id="rId23" xr:uid="{FC71EBB2-D4FD-4051-BAE1-EC9EBF54F952}"/>
    <hyperlink ref="BE156" r:id="rId24" xr:uid="{D0750EFA-3CBE-468B-8F03-6C46545DA9C1}"/>
    <hyperlink ref="BE154" r:id="rId25" xr:uid="{D841D197-38BB-4AA8-B63A-D1102450899C}"/>
    <hyperlink ref="BE155" r:id="rId26" xr:uid="{E49EDED4-711A-422F-9703-756F4C9FA363}"/>
    <hyperlink ref="BE4" r:id="rId27" xr:uid="{23DBD169-C0EA-4C52-97A2-51F3FF806D93}"/>
    <hyperlink ref="BE232" r:id="rId28" xr:uid="{B0A9DB37-5FD9-46DD-9366-4BBAD5B41ACE}"/>
    <hyperlink ref="BE124" r:id="rId29" xr:uid="{23EBA86E-A727-4A20-BC87-A0BA984CC044}"/>
    <hyperlink ref="BE125" r:id="rId30" xr:uid="{60CCB7ED-299D-424F-A6F3-54FAA6C8B9EC}"/>
    <hyperlink ref="BE126" r:id="rId31" xr:uid="{90368972-4F49-42D2-8CA1-7EA54994725F}"/>
    <hyperlink ref="BE127" r:id="rId32" xr:uid="{30D71BD5-B5AE-4E18-977B-A2BE6938DEFE}"/>
    <hyperlink ref="BE117" r:id="rId33" xr:uid="{6571B6D2-6A23-4332-9196-9E23C8699349}"/>
    <hyperlink ref="BE129" r:id="rId34" xr:uid="{96BD8CE6-C5BB-442F-B933-7D2F6249DA2C}"/>
    <hyperlink ref="BE130" r:id="rId35" xr:uid="{8FF5F344-CD0D-4683-B013-E68AE6A02594}"/>
    <hyperlink ref="BE131" r:id="rId36" xr:uid="{3C142391-DEAC-407E-93A2-1C273D39F694}"/>
    <hyperlink ref="BE132" r:id="rId37" xr:uid="{CB02B517-7528-4A64-8D4E-34B56448BA21}"/>
    <hyperlink ref="BE133" r:id="rId38" xr:uid="{41720A31-9549-4DCA-8047-E76D0559A574}"/>
    <hyperlink ref="BE134" r:id="rId39" xr:uid="{74E0E6E0-A5A0-4981-99EA-690ABF009BBD}"/>
    <hyperlink ref="BE135" r:id="rId40" xr:uid="{841FBDF5-5F4E-4AA9-886D-6F0042B3B55C}"/>
    <hyperlink ref="BE136" r:id="rId41" xr:uid="{169D4C42-223E-4FDB-9D3F-1C91B40A8E87}"/>
    <hyperlink ref="BE137" r:id="rId42" xr:uid="{C3995935-94A2-4C3B-B2A5-267E022764CD}"/>
    <hyperlink ref="BE138" r:id="rId43" xr:uid="{130B13C7-9019-4160-B653-F3B760DDCBA6}"/>
    <hyperlink ref="BE139" r:id="rId44" xr:uid="{D5D726A1-1E7E-4E07-A2D6-BA2D5514A6DA}"/>
    <hyperlink ref="BE140" r:id="rId45" xr:uid="{3D9EFFAF-8840-466C-86FE-DE2B464B8585}"/>
    <hyperlink ref="BE234" r:id="rId46" xr:uid="{FA5A084E-516F-40D1-B3C3-522D7FADEF09}"/>
    <hyperlink ref="BE233" r:id="rId47" xr:uid="{CCEC1445-0B92-49F9-9846-F9E059AE4C5F}"/>
    <hyperlink ref="BE235" r:id="rId48" xr:uid="{1592A9E7-711C-4485-B108-E46F3788309B}"/>
    <hyperlink ref="BE142" r:id="rId49" xr:uid="{F63E4201-1ABD-4992-AB72-22DE1AB69593}"/>
    <hyperlink ref="BE141" r:id="rId50" xr:uid="{0B057D4A-565F-44FF-A022-ABF99E5E2AF5}"/>
    <hyperlink ref="BE224" r:id="rId51" xr:uid="{3DDABB2D-250F-42A3-AD1C-C0E3BDF74158}"/>
    <hyperlink ref="BE143" r:id="rId52" xr:uid="{5791780F-FDA1-4427-B22E-111EA92E9A8B}"/>
    <hyperlink ref="BE144" r:id="rId53" xr:uid="{7732C58B-291A-4EB5-9D3B-F45895727205}"/>
    <hyperlink ref="BE145" r:id="rId54" xr:uid="{5F4196A7-B9FD-4969-9023-3AF9B89B925F}"/>
    <hyperlink ref="BE146" r:id="rId55" xr:uid="{F47BCB83-E422-47E6-AAB0-BEC5EE80B5C2}"/>
    <hyperlink ref="BE147" r:id="rId56" xr:uid="{7284FA20-724F-4EC0-A95E-E44464386960}"/>
    <hyperlink ref="BE148" r:id="rId57" xr:uid="{246668E9-DE1D-4EF5-A860-EFD93DFA5CF9}"/>
    <hyperlink ref="BE149" r:id="rId58" xr:uid="{0645158E-C33A-4049-BDD4-D9D5E38B85F7}"/>
    <hyperlink ref="BE106" r:id="rId59" xr:uid="{03563491-5007-457F-8A89-EB596A94138A}"/>
    <hyperlink ref="BE150" r:id="rId60" xr:uid="{8B1EC99F-6D91-4685-BA4E-87BAA6408607}"/>
    <hyperlink ref="BE152" r:id="rId61" xr:uid="{45DDF96C-B3B9-441D-A561-ED8D63D7669B}"/>
    <hyperlink ref="BE151" r:id="rId62" xr:uid="{1437F780-1439-4C67-9966-7F6F7974B93D}"/>
    <hyperlink ref="BE153" r:id="rId63" xr:uid="{5F57C911-EB93-4CBE-ADE1-907FBAEC0B47}"/>
    <hyperlink ref="BE103" r:id="rId64" xr:uid="{14A36383-9A4F-4937-8FF2-35305DAEC5A7}"/>
    <hyperlink ref="BE119" r:id="rId65" xr:uid="{305F92DF-6748-4585-A2BB-F08C292966A2}"/>
    <hyperlink ref="BE159" r:id="rId66" xr:uid="{666E5410-630F-4857-892D-78437935CF2A}"/>
    <hyperlink ref="BE160" r:id="rId67" xr:uid="{0570EF56-709F-4B04-BB2E-0CB780C3F855}"/>
    <hyperlink ref="BE161" r:id="rId68" xr:uid="{1CC92115-95D1-4DC6-BD77-F079D9359347}"/>
    <hyperlink ref="BE162" r:id="rId69" xr:uid="{EF4E2A51-8DF0-49E5-A0D4-53E4B3850F20}"/>
    <hyperlink ref="BE163" r:id="rId70" xr:uid="{F362CF03-776D-4F24-8EEE-E9B1EA18085D}"/>
    <hyperlink ref="BE164" r:id="rId71" xr:uid="{9817B5BA-059A-4D7F-9DF9-7D6199120D05}"/>
    <hyperlink ref="BE165" r:id="rId72" xr:uid="{C541978D-8C99-4FAA-83E5-0E10B78BABF9}"/>
    <hyperlink ref="BE167" r:id="rId73" xr:uid="{4F7E10AA-3C16-4EEF-9229-43560D39FECB}"/>
    <hyperlink ref="BE166" r:id="rId74" xr:uid="{59329271-ACD3-4145-9B66-1A871F00523A}"/>
    <hyperlink ref="BE168" r:id="rId75" xr:uid="{9F2AE8E1-20F5-4FDC-BB3E-5A4E0854BD4F}"/>
    <hyperlink ref="BE169" r:id="rId76" xr:uid="{CEC8A2DA-9C49-4692-B6A5-C76A0161070D}"/>
    <hyperlink ref="BE171" r:id="rId77" xr:uid="{D24325E9-D9EB-4EC6-92CE-681FB75E482E}"/>
    <hyperlink ref="BE172" r:id="rId78" xr:uid="{422CD4DD-6BEF-4238-8CDB-ACC5EAB6F92A}"/>
    <hyperlink ref="BE174" r:id="rId79" xr:uid="{57E6EB6A-3B76-4E89-ADC5-7A2592E6A48C}"/>
    <hyperlink ref="BE173" r:id="rId80" xr:uid="{80A0CFDF-46F2-4A5B-83A6-7CCA3FC08731}"/>
    <hyperlink ref="BE175" r:id="rId81" xr:uid="{6E579A8D-8A04-444B-9EDC-1FA04D360A04}"/>
    <hyperlink ref="BE176" r:id="rId82" xr:uid="{EB8E093A-02B9-4EDF-9E42-FC0A95DCFFC4}"/>
    <hyperlink ref="BE177" r:id="rId83" xr:uid="{EB20F08A-0D91-4F90-9EC4-4064CEA8D7B0}"/>
    <hyperlink ref="BE178" r:id="rId84" xr:uid="{1C711A11-F48D-4F5D-90B9-7488A9EB0711}"/>
    <hyperlink ref="BE179" r:id="rId85" xr:uid="{B9995709-F055-4586-90CE-F37E0983AE5C}"/>
    <hyperlink ref="BE180" r:id="rId86" xr:uid="{59B151DC-4E59-4BE2-82FB-47EC3B0F0A95}"/>
    <hyperlink ref="BE181" r:id="rId87" xr:uid="{AC91BC85-3567-46BC-B38D-9F2DDE79C589}"/>
    <hyperlink ref="BE182" r:id="rId88" xr:uid="{50543A19-C740-404B-A812-3E89D60B98B2}"/>
    <hyperlink ref="BE183" r:id="rId89" xr:uid="{A748D43C-FA36-4D77-BB22-51FFD38E8BF3}"/>
    <hyperlink ref="BE225" r:id="rId90" xr:uid="{5EA2593B-F2BF-4EA8-B7DC-46151B0FE76B}"/>
    <hyperlink ref="BE236" r:id="rId91" xr:uid="{15727A02-A801-4CFE-A2C2-3A2AC5B08590}"/>
    <hyperlink ref="BE184" r:id="rId92" xr:uid="{A44AC1BE-B620-4347-99AE-FCA2D8FB49AF}"/>
    <hyperlink ref="BE198" r:id="rId93" xr:uid="{B0B8C9D4-4E8B-4A6B-BDA7-4107DF3D3FFC}"/>
    <hyperlink ref="BE199" r:id="rId94" xr:uid="{6651D882-3FCD-49DD-96A0-54F35E0D1488}"/>
    <hyperlink ref="BE200" r:id="rId95" xr:uid="{BA3FAA52-6CB3-4833-B5BA-B3DF9FE9206C}"/>
    <hyperlink ref="BE201" r:id="rId96" xr:uid="{51E93896-6A05-47AC-9CEB-058AD19A4581}"/>
    <hyperlink ref="BE202" r:id="rId97" xr:uid="{4CA0B2A9-E1E5-4CD6-B077-33B7CF832FC3}"/>
    <hyperlink ref="BE203" r:id="rId98" xr:uid="{C0F5A610-5FFC-45AC-91D1-11E3F207554A}"/>
    <hyperlink ref="BE204" r:id="rId99" xr:uid="{171E23B9-81E5-49C9-994A-E416DE238EE1}"/>
    <hyperlink ref="BE205" r:id="rId100" xr:uid="{8423F2FE-0E44-4500-964B-D4BD38C181B7}"/>
    <hyperlink ref="BE206" r:id="rId101" xr:uid="{98676C1C-EBB7-4F0C-9B67-5D23965B00A2}"/>
    <hyperlink ref="BE207" r:id="rId102" xr:uid="{4A8115B9-4778-41FB-8DF0-41192C00BF8D}"/>
    <hyperlink ref="BE208" r:id="rId103" xr:uid="{7E4A5155-25E8-47EE-AE87-C68A56346B48}"/>
    <hyperlink ref="BE209" r:id="rId104" xr:uid="{B9DF9C6A-1CB0-4E2F-8B43-0D31537AD4CA}"/>
    <hyperlink ref="BE210" r:id="rId105" xr:uid="{A364F87C-B9CD-45D7-8DB0-696E5E667C87}"/>
    <hyperlink ref="BE211" r:id="rId106" xr:uid="{AA271A19-1A6D-48F4-B404-827C2A729C0F}"/>
    <hyperlink ref="BE212" r:id="rId107" xr:uid="{466E40B0-A5DE-4E90-9897-079938B4E308}"/>
    <hyperlink ref="BE213" r:id="rId108" xr:uid="{C31EB0F3-EA67-48A5-A396-3B1F5C9342C5}"/>
    <hyperlink ref="BE214" r:id="rId109" xr:uid="{9DC0917C-13D1-4627-9447-2E4D9506F41E}"/>
    <hyperlink ref="BE216" r:id="rId110" xr:uid="{6A023B98-FECC-4913-97CC-DFF828C085ED}"/>
    <hyperlink ref="BE217" r:id="rId111" xr:uid="{B12483A6-C412-49C5-BDE6-7A193F3AF8BD}"/>
    <hyperlink ref="BE218" r:id="rId112" xr:uid="{13E86136-8477-40B0-BEF9-CA5E30A79ADD}"/>
    <hyperlink ref="BE215" r:id="rId113" display="mailto:yj.lee@tbell.co.kr" xr:uid="{A860C95E-CE7D-4108-B923-DBFB1FCAD314}"/>
    <hyperlink ref="BE228" r:id="rId114" xr:uid="{16485E63-0BC6-467C-8CDA-9ECCA5D82C5E}"/>
    <hyperlink ref="BE220" r:id="rId115" xr:uid="{CAE10C38-D98B-4323-93D3-DF70599212E0}"/>
    <hyperlink ref="BE221" r:id="rId116" xr:uid="{94F735AD-278D-4FB4-B173-2B458D4F7EED}"/>
    <hyperlink ref="BE219" r:id="rId117" xr:uid="{BDE731AC-0F6C-4324-BCB2-1C52C2397E02}"/>
    <hyperlink ref="BE231" r:id="rId118" xr:uid="{DB42FB15-7ACB-4E2D-970A-AC54FCA0E051}"/>
    <hyperlink ref="BE246" r:id="rId119" xr:uid="{02D07EC4-FBC3-4D56-AD87-C5B3BCC8F323}"/>
  </hyperlinks>
  <pageMargins left="0.7" right="0.7" top="0.75" bottom="0.75" header="0" footer="0"/>
  <pageSetup paperSize="9" orientation="portrait" r:id="rId120"/>
  <legacyDrawing r:id="rId1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인사기본정보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예림</dc:creator>
  <cp:lastModifiedBy>김 예림</cp:lastModifiedBy>
  <dcterms:created xsi:type="dcterms:W3CDTF">2026-02-11T05:05:17Z</dcterms:created>
  <dcterms:modified xsi:type="dcterms:W3CDTF">2026-02-11T05:12:52Z</dcterms:modified>
</cp:coreProperties>
</file>