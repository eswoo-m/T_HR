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940A7BC-2D97-4BBD-ACD5-095D70954CD7}" xr6:coauthVersionLast="47" xr6:coauthVersionMax="47" xr10:uidLastSave="{00000000-0000-0000-0000-000000000000}"/>
  <bookViews>
    <workbookView xWindow="67080" yWindow="-120" windowWidth="38640" windowHeight="21120" xr2:uid="{9400D0E1-9E4B-477D-9FE7-2C7DB533F8BA}"/>
  </bookViews>
  <sheets>
    <sheet name="인사기본정보" sheetId="2" r:id="rId1"/>
  </sheets>
  <externalReferences>
    <externalReference r:id="rId2"/>
    <externalReference r:id="rId3"/>
  </externalReferences>
  <definedNames>
    <definedName name="_xlnm._FilterDatabase" localSheetId="0" hidden="1">인사기본정보!$A$2:$BD$2</definedName>
    <definedName name="AccessDatabase" hidden="1">"C:\My Documents\체당금.mdb"</definedName>
    <definedName name="범위">'[2]1-1. 개인별 급여분석'!$B$5:$R$43</definedName>
    <definedName name="성명">'[2]1-1. 개인별 급여분석'!$B$5:$B$39</definedName>
    <definedName name="포함단어시작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51" i="2" l="1"/>
  <c r="AD251" i="2"/>
  <c r="X251" i="2"/>
  <c r="V251" i="2" s="1"/>
  <c r="M251" i="2"/>
  <c r="L251" i="2"/>
  <c r="K251" i="2"/>
  <c r="J251" i="2"/>
  <c r="E251" i="2"/>
  <c r="A251" i="2"/>
  <c r="AE250" i="2"/>
  <c r="X250" i="2"/>
  <c r="V250" i="2"/>
  <c r="AC250" i="2" s="1"/>
  <c r="AD250" i="2" s="1"/>
  <c r="M250" i="2"/>
  <c r="L250" i="2"/>
  <c r="K250" i="2"/>
  <c r="J250" i="2"/>
  <c r="E250" i="2"/>
  <c r="A250" i="2"/>
  <c r="BB249" i="2"/>
  <c r="A249" i="2"/>
  <c r="BC248" i="2"/>
  <c r="BB248" i="2"/>
  <c r="AE248" i="2"/>
  <c r="AC248" i="2"/>
  <c r="X248" i="2"/>
  <c r="V248" i="2" s="1"/>
  <c r="M248" i="2"/>
  <c r="L248" i="2"/>
  <c r="K248" i="2"/>
  <c r="J248" i="2"/>
  <c r="A248" i="2"/>
  <c r="BC247" i="2"/>
  <c r="BB247" i="2"/>
  <c r="AE247" i="2"/>
  <c r="AC247" i="2"/>
  <c r="X247" i="2"/>
  <c r="V247" i="2" s="1"/>
  <c r="M247" i="2"/>
  <c r="L247" i="2"/>
  <c r="K247" i="2"/>
  <c r="J247" i="2"/>
  <c r="E247" i="2"/>
  <c r="A247" i="2"/>
  <c r="BC246" i="2"/>
  <c r="BB246" i="2"/>
  <c r="AE246" i="2"/>
  <c r="X246" i="2"/>
  <c r="V246" i="2" s="1"/>
  <c r="AC246" i="2" s="1"/>
  <c r="AD246" i="2" s="1"/>
  <c r="M246" i="2"/>
  <c r="L246" i="2"/>
  <c r="K246" i="2"/>
  <c r="J246" i="2"/>
  <c r="A246" i="2"/>
  <c r="BC245" i="2"/>
  <c r="BB245" i="2"/>
  <c r="AE245" i="2"/>
  <c r="AC245" i="2"/>
  <c r="AD245" i="2" s="1"/>
  <c r="X245" i="2"/>
  <c r="V245" i="2" s="1"/>
  <c r="M245" i="2"/>
  <c r="L245" i="2"/>
  <c r="K245" i="2"/>
  <c r="J245" i="2"/>
  <c r="A245" i="2"/>
  <c r="BC244" i="2"/>
  <c r="BB244" i="2"/>
  <c r="X244" i="2"/>
  <c r="V244" i="2" s="1"/>
  <c r="M244" i="2"/>
  <c r="L244" i="2"/>
  <c r="K244" i="2"/>
  <c r="J244" i="2"/>
  <c r="A244" i="2"/>
  <c r="BC243" i="2"/>
  <c r="BB243" i="2"/>
  <c r="X243" i="2"/>
  <c r="V243" i="2" s="1"/>
  <c r="M243" i="2"/>
  <c r="L243" i="2"/>
  <c r="K243" i="2"/>
  <c r="J243" i="2"/>
  <c r="A243" i="2"/>
  <c r="BC242" i="2"/>
  <c r="BB242" i="2"/>
  <c r="X242" i="2"/>
  <c r="V242" i="2" s="1"/>
  <c r="M242" i="2"/>
  <c r="L242" i="2"/>
  <c r="K242" i="2"/>
  <c r="J242" i="2"/>
  <c r="A242" i="2"/>
  <c r="BC241" i="2"/>
  <c r="BB241" i="2"/>
  <c r="AE241" i="2"/>
  <c r="AC241" i="2"/>
  <c r="AD241" i="2" s="1"/>
  <c r="X241" i="2"/>
  <c r="V241" i="2" s="1"/>
  <c r="M241" i="2"/>
  <c r="L241" i="2"/>
  <c r="K241" i="2"/>
  <c r="J241" i="2"/>
  <c r="A241" i="2"/>
  <c r="BC240" i="2"/>
  <c r="BB240" i="2"/>
  <c r="AE240" i="2"/>
  <c r="X240" i="2"/>
  <c r="V240" i="2"/>
  <c r="AC240" i="2" s="1"/>
  <c r="AD240" i="2" s="1"/>
  <c r="M240" i="2"/>
  <c r="L240" i="2"/>
  <c r="K240" i="2"/>
  <c r="J240" i="2"/>
  <c r="A240" i="2"/>
  <c r="BC239" i="2"/>
  <c r="BB239" i="2"/>
  <c r="AE239" i="2"/>
  <c r="X239" i="2"/>
  <c r="V239" i="2" s="1"/>
  <c r="AC239" i="2" s="1"/>
  <c r="AD239" i="2" s="1"/>
  <c r="M239" i="2"/>
  <c r="L239" i="2"/>
  <c r="K239" i="2"/>
  <c r="J239" i="2"/>
  <c r="A239" i="2"/>
  <c r="BC238" i="2"/>
  <c r="BB238" i="2"/>
  <c r="AE238" i="2"/>
  <c r="X238" i="2"/>
  <c r="V238" i="2" s="1"/>
  <c r="AC238" i="2" s="1"/>
  <c r="AD238" i="2" s="1"/>
  <c r="M238" i="2"/>
  <c r="L238" i="2"/>
  <c r="K238" i="2"/>
  <c r="J238" i="2"/>
  <c r="A238" i="2"/>
  <c r="BC237" i="2"/>
  <c r="BB237" i="2"/>
  <c r="AE237" i="2"/>
  <c r="X237" i="2"/>
  <c r="V237" i="2" s="1"/>
  <c r="AC237" i="2" s="1"/>
  <c r="AD237" i="2" s="1"/>
  <c r="M237" i="2"/>
  <c r="L237" i="2"/>
  <c r="K237" i="2"/>
  <c r="J237" i="2"/>
  <c r="A237" i="2"/>
  <c r="AE236" i="2"/>
  <c r="AD236" i="2"/>
  <c r="X236" i="2"/>
  <c r="V236" i="2"/>
  <c r="AC236" i="2" s="1"/>
  <c r="M236" i="2"/>
  <c r="L236" i="2"/>
  <c r="K236" i="2"/>
  <c r="J236" i="2"/>
  <c r="E236" i="2"/>
  <c r="A236" i="2"/>
  <c r="BC235" i="2"/>
  <c r="AE235" i="2"/>
  <c r="AD235" i="2"/>
  <c r="X235" i="2"/>
  <c r="V235" i="2"/>
  <c r="AC235" i="2" s="1"/>
  <c r="M235" i="2"/>
  <c r="L235" i="2"/>
  <c r="K235" i="2"/>
  <c r="J235" i="2"/>
  <c r="E235" i="2"/>
  <c r="A235" i="2"/>
  <c r="BC234" i="2"/>
  <c r="AE234" i="2"/>
  <c r="X234" i="2"/>
  <c r="V234" i="2"/>
  <c r="AC234" i="2" s="1"/>
  <c r="AD234" i="2" s="1"/>
  <c r="M234" i="2"/>
  <c r="L234" i="2"/>
  <c r="K234" i="2"/>
  <c r="J234" i="2"/>
  <c r="E234" i="2"/>
  <c r="A234" i="2"/>
  <c r="BC233" i="2"/>
  <c r="BB233" i="2"/>
  <c r="AE233" i="2"/>
  <c r="X233" i="2"/>
  <c r="V233" i="2"/>
  <c r="AC233" i="2" s="1"/>
  <c r="AD233" i="2" s="1"/>
  <c r="M233" i="2"/>
  <c r="L233" i="2"/>
  <c r="K233" i="2"/>
  <c r="J233" i="2"/>
  <c r="E233" i="2"/>
  <c r="A233" i="2"/>
  <c r="BC232" i="2"/>
  <c r="BB232" i="2"/>
  <c r="AE232" i="2"/>
  <c r="AD232" i="2"/>
  <c r="X232" i="2"/>
  <c r="V232" i="2"/>
  <c r="AC232" i="2" s="1"/>
  <c r="M232" i="2"/>
  <c r="L232" i="2"/>
  <c r="K232" i="2"/>
  <c r="J232" i="2"/>
  <c r="A232" i="2"/>
  <c r="BC231" i="2"/>
  <c r="BB231" i="2"/>
  <c r="AE231" i="2"/>
  <c r="X231" i="2"/>
  <c r="V231" i="2"/>
  <c r="AC231" i="2" s="1"/>
  <c r="AD231" i="2" s="1"/>
  <c r="M231" i="2"/>
  <c r="L231" i="2"/>
  <c r="K231" i="2"/>
  <c r="J231" i="2"/>
  <c r="E231" i="2"/>
  <c r="A231" i="2"/>
  <c r="BC230" i="2"/>
  <c r="BB230" i="2"/>
  <c r="AE230" i="2"/>
  <c r="X230" i="2"/>
  <c r="V230" i="2" s="1"/>
  <c r="AC230" i="2" s="1"/>
  <c r="AD230" i="2" s="1"/>
  <c r="M230" i="2"/>
  <c r="L230" i="2"/>
  <c r="K230" i="2"/>
  <c r="J230" i="2"/>
  <c r="A230" i="2"/>
  <c r="BC229" i="2"/>
  <c r="BB229" i="2"/>
  <c r="AE229" i="2"/>
  <c r="X229" i="2"/>
  <c r="V229" i="2"/>
  <c r="AC229" i="2" s="1"/>
  <c r="AD229" i="2" s="1"/>
  <c r="M229" i="2"/>
  <c r="L229" i="2"/>
  <c r="K229" i="2"/>
  <c r="J229" i="2"/>
  <c r="E229" i="2"/>
  <c r="A229" i="2"/>
  <c r="BC228" i="2"/>
  <c r="AE228" i="2"/>
  <c r="AD228" i="2"/>
  <c r="X228" i="2"/>
  <c r="V228" i="2"/>
  <c r="AC228" i="2" s="1"/>
  <c r="M228" i="2"/>
  <c r="L228" i="2"/>
  <c r="K228" i="2"/>
  <c r="J228" i="2"/>
  <c r="E228" i="2"/>
  <c r="A228" i="2"/>
  <c r="AE227" i="2"/>
  <c r="X227" i="2"/>
  <c r="V227" i="2" s="1"/>
  <c r="AC227" i="2" s="1"/>
  <c r="AD227" i="2" s="1"/>
  <c r="E227" i="2"/>
  <c r="A227" i="2"/>
  <c r="AE226" i="2"/>
  <c r="AD226" i="2"/>
  <c r="X226" i="2"/>
  <c r="V226" i="2"/>
  <c r="AC226" i="2" s="1"/>
  <c r="M226" i="2"/>
  <c r="L226" i="2"/>
  <c r="K226" i="2"/>
  <c r="J226" i="2"/>
  <c r="E226" i="2"/>
  <c r="A226" i="2"/>
  <c r="BC225" i="2"/>
  <c r="AE225" i="2"/>
  <c r="AD225" i="2"/>
  <c r="X225" i="2"/>
  <c r="V225" i="2"/>
  <c r="AC225" i="2" s="1"/>
  <c r="M225" i="2"/>
  <c r="L225" i="2"/>
  <c r="K225" i="2"/>
  <c r="J225" i="2"/>
  <c r="E225" i="2"/>
  <c r="A225" i="2"/>
  <c r="BC224" i="2"/>
  <c r="AE224" i="2"/>
  <c r="AD224" i="2"/>
  <c r="X224" i="2"/>
  <c r="V224" i="2" s="1"/>
  <c r="AC224" i="2" s="1"/>
  <c r="M224" i="2"/>
  <c r="L224" i="2"/>
  <c r="K224" i="2"/>
  <c r="J224" i="2"/>
  <c r="E224" i="2"/>
  <c r="A224" i="2"/>
  <c r="BC223" i="2"/>
  <c r="BB223" i="2"/>
  <c r="AE223" i="2"/>
  <c r="AD223" i="2"/>
  <c r="X223" i="2"/>
  <c r="V223" i="2" s="1"/>
  <c r="AC223" i="2" s="1"/>
  <c r="M223" i="2"/>
  <c r="L223" i="2"/>
  <c r="K223" i="2"/>
  <c r="J223" i="2"/>
  <c r="E223" i="2"/>
  <c r="A223" i="2"/>
  <c r="BC222" i="2"/>
  <c r="BB222" i="2"/>
  <c r="AE222" i="2"/>
  <c r="AD222" i="2"/>
  <c r="X222" i="2"/>
  <c r="V222" i="2" s="1"/>
  <c r="AC222" i="2" s="1"/>
  <c r="M222" i="2"/>
  <c r="L222" i="2"/>
  <c r="K222" i="2"/>
  <c r="J222" i="2"/>
  <c r="E222" i="2"/>
  <c r="A222" i="2"/>
  <c r="BC221" i="2"/>
  <c r="BB221" i="2"/>
  <c r="AE221" i="2"/>
  <c r="AD221" i="2"/>
  <c r="X221" i="2"/>
  <c r="V221" i="2"/>
  <c r="AC221" i="2" s="1"/>
  <c r="M221" i="2"/>
  <c r="L221" i="2"/>
  <c r="K221" i="2"/>
  <c r="J221" i="2"/>
  <c r="E221" i="2"/>
  <c r="A221" i="2"/>
  <c r="BC220" i="2"/>
  <c r="BB220" i="2"/>
  <c r="AE220" i="2"/>
  <c r="X220" i="2"/>
  <c r="V220" i="2"/>
  <c r="AC220" i="2" s="1"/>
  <c r="AD220" i="2" s="1"/>
  <c r="M220" i="2"/>
  <c r="L220" i="2"/>
  <c r="K220" i="2"/>
  <c r="J220" i="2"/>
  <c r="E220" i="2"/>
  <c r="A220" i="2"/>
  <c r="BC219" i="2"/>
  <c r="BB219" i="2"/>
  <c r="AE219" i="2"/>
  <c r="AD219" i="2"/>
  <c r="X219" i="2"/>
  <c r="V219" i="2" s="1"/>
  <c r="AC219" i="2" s="1"/>
  <c r="M219" i="2"/>
  <c r="L219" i="2"/>
  <c r="K219" i="2"/>
  <c r="J219" i="2"/>
  <c r="E219" i="2"/>
  <c r="A219" i="2"/>
  <c r="BC218" i="2"/>
  <c r="BB218" i="2"/>
  <c r="AE218" i="2"/>
  <c r="AD218" i="2"/>
  <c r="X218" i="2"/>
  <c r="V218" i="2"/>
  <c r="AC218" i="2" s="1"/>
  <c r="M218" i="2"/>
  <c r="L218" i="2"/>
  <c r="K218" i="2"/>
  <c r="J218" i="2"/>
  <c r="E218" i="2"/>
  <c r="A218" i="2"/>
  <c r="BC217" i="2"/>
  <c r="BB217" i="2"/>
  <c r="AE217" i="2"/>
  <c r="AD217" i="2"/>
  <c r="X217" i="2"/>
  <c r="V217" i="2"/>
  <c r="AC217" i="2" s="1"/>
  <c r="M217" i="2"/>
  <c r="L217" i="2"/>
  <c r="K217" i="2"/>
  <c r="J217" i="2"/>
  <c r="E217" i="2"/>
  <c r="A217" i="2"/>
  <c r="BC216" i="2"/>
  <c r="BB216" i="2"/>
  <c r="AE216" i="2"/>
  <c r="X216" i="2"/>
  <c r="V216" i="2" s="1"/>
  <c r="AC216" i="2" s="1"/>
  <c r="AD216" i="2" s="1"/>
  <c r="M216" i="2"/>
  <c r="L216" i="2"/>
  <c r="K216" i="2"/>
  <c r="J216" i="2"/>
  <c r="E216" i="2"/>
  <c r="A216" i="2"/>
  <c r="BC215" i="2"/>
  <c r="BB215" i="2"/>
  <c r="AE215" i="2"/>
  <c r="X215" i="2"/>
  <c r="V215" i="2" s="1"/>
  <c r="AC215" i="2" s="1"/>
  <c r="AD215" i="2" s="1"/>
  <c r="M215" i="2"/>
  <c r="L215" i="2"/>
  <c r="K215" i="2"/>
  <c r="J215" i="2"/>
  <c r="E215" i="2"/>
  <c r="A215" i="2"/>
  <c r="BC214" i="2"/>
  <c r="BB214" i="2"/>
  <c r="AE214" i="2"/>
  <c r="AD214" i="2"/>
  <c r="X214" i="2"/>
  <c r="V214" i="2"/>
  <c r="AC214" i="2" s="1"/>
  <c r="M214" i="2"/>
  <c r="L214" i="2"/>
  <c r="K214" i="2"/>
  <c r="J214" i="2"/>
  <c r="E214" i="2"/>
  <c r="A214" i="2"/>
  <c r="BC213" i="2"/>
  <c r="BB213" i="2"/>
  <c r="AE213" i="2"/>
  <c r="X213" i="2"/>
  <c r="V213" i="2"/>
  <c r="AC213" i="2" s="1"/>
  <c r="AD213" i="2" s="1"/>
  <c r="M213" i="2"/>
  <c r="L213" i="2"/>
  <c r="K213" i="2"/>
  <c r="J213" i="2"/>
  <c r="E213" i="2"/>
  <c r="A213" i="2"/>
  <c r="BC212" i="2"/>
  <c r="BB212" i="2"/>
  <c r="AE212" i="2"/>
  <c r="X212" i="2"/>
  <c r="V212" i="2" s="1"/>
  <c r="AC212" i="2" s="1"/>
  <c r="AD212" i="2" s="1"/>
  <c r="M212" i="2"/>
  <c r="L212" i="2"/>
  <c r="K212" i="2"/>
  <c r="J212" i="2"/>
  <c r="E212" i="2"/>
  <c r="A212" i="2"/>
  <c r="BC211" i="2"/>
  <c r="BB211" i="2"/>
  <c r="AE211" i="2"/>
  <c r="X211" i="2"/>
  <c r="V211" i="2" s="1"/>
  <c r="AC211" i="2" s="1"/>
  <c r="AD211" i="2" s="1"/>
  <c r="M211" i="2"/>
  <c r="L211" i="2"/>
  <c r="K211" i="2"/>
  <c r="J211" i="2"/>
  <c r="E211" i="2"/>
  <c r="A211" i="2"/>
  <c r="BC210" i="2"/>
  <c r="BB210" i="2"/>
  <c r="AE210" i="2"/>
  <c r="AD210" i="2"/>
  <c r="X210" i="2"/>
  <c r="V210" i="2"/>
  <c r="AC210" i="2" s="1"/>
  <c r="M210" i="2"/>
  <c r="L210" i="2"/>
  <c r="K210" i="2"/>
  <c r="J210" i="2"/>
  <c r="E210" i="2"/>
  <c r="A210" i="2"/>
  <c r="BC209" i="2"/>
  <c r="BB209" i="2"/>
  <c r="AE209" i="2"/>
  <c r="AD209" i="2"/>
  <c r="X209" i="2"/>
  <c r="V209" i="2"/>
  <c r="AC209" i="2" s="1"/>
  <c r="M209" i="2"/>
  <c r="L209" i="2"/>
  <c r="K209" i="2"/>
  <c r="J209" i="2"/>
  <c r="E209" i="2"/>
  <c r="A209" i="2"/>
  <c r="BC208" i="2"/>
  <c r="BB208" i="2"/>
  <c r="AE208" i="2"/>
  <c r="X208" i="2"/>
  <c r="V208" i="2" s="1"/>
  <c r="AC208" i="2" s="1"/>
  <c r="AD208" i="2" s="1"/>
  <c r="M208" i="2"/>
  <c r="L208" i="2"/>
  <c r="K208" i="2"/>
  <c r="J208" i="2"/>
  <c r="E208" i="2"/>
  <c r="A208" i="2"/>
  <c r="BC207" i="2"/>
  <c r="BB207" i="2"/>
  <c r="AE207" i="2"/>
  <c r="AC207" i="2"/>
  <c r="AD207" i="2" s="1"/>
  <c r="X207" i="2"/>
  <c r="M207" i="2"/>
  <c r="L207" i="2"/>
  <c r="K207" i="2"/>
  <c r="J207" i="2"/>
  <c r="E207" i="2"/>
  <c r="A207" i="2"/>
  <c r="BC206" i="2"/>
  <c r="BB206" i="2"/>
  <c r="X206" i="2"/>
  <c r="V206" i="2" s="1"/>
  <c r="AC206" i="2" s="1"/>
  <c r="M206" i="2"/>
  <c r="L206" i="2"/>
  <c r="K206" i="2"/>
  <c r="J206" i="2"/>
  <c r="E206" i="2"/>
  <c r="A206" i="2"/>
  <c r="BC205" i="2"/>
  <c r="BB205" i="2"/>
  <c r="AE205" i="2"/>
  <c r="X205" i="2"/>
  <c r="V205" i="2"/>
  <c r="AC205" i="2" s="1"/>
  <c r="AD205" i="2" s="1"/>
  <c r="M205" i="2"/>
  <c r="L205" i="2"/>
  <c r="K205" i="2"/>
  <c r="J205" i="2"/>
  <c r="E205" i="2"/>
  <c r="A205" i="2"/>
  <c r="BC204" i="2"/>
  <c r="BB204" i="2"/>
  <c r="X204" i="2"/>
  <c r="V204" i="2" s="1"/>
  <c r="AC204" i="2" s="1"/>
  <c r="AD204" i="2" s="1"/>
  <c r="M204" i="2"/>
  <c r="L204" i="2"/>
  <c r="K204" i="2"/>
  <c r="J204" i="2"/>
  <c r="E204" i="2"/>
  <c r="A204" i="2"/>
  <c r="BC203" i="2"/>
  <c r="BB203" i="2"/>
  <c r="AE203" i="2"/>
  <c r="X203" i="2"/>
  <c r="V203" i="2"/>
  <c r="AC203" i="2" s="1"/>
  <c r="AD203" i="2" s="1"/>
  <c r="M203" i="2"/>
  <c r="L203" i="2"/>
  <c r="K203" i="2"/>
  <c r="J203" i="2"/>
  <c r="E203" i="2"/>
  <c r="A203" i="2"/>
  <c r="BC202" i="2"/>
  <c r="BB202" i="2"/>
  <c r="AE202" i="2"/>
  <c r="X202" i="2"/>
  <c r="V202" i="2" s="1"/>
  <c r="AC202" i="2" s="1"/>
  <c r="AD202" i="2" s="1"/>
  <c r="M202" i="2"/>
  <c r="L202" i="2"/>
  <c r="K202" i="2"/>
  <c r="J202" i="2"/>
  <c r="E202" i="2"/>
  <c r="A202" i="2"/>
  <c r="BC201" i="2"/>
  <c r="BB201" i="2"/>
  <c r="AE201" i="2"/>
  <c r="X201" i="2"/>
  <c r="V201" i="2" s="1"/>
  <c r="AC201" i="2" s="1"/>
  <c r="AD201" i="2" s="1"/>
  <c r="M201" i="2"/>
  <c r="L201" i="2"/>
  <c r="K201" i="2"/>
  <c r="J201" i="2"/>
  <c r="E201" i="2"/>
  <c r="A201" i="2"/>
  <c r="BC200" i="2"/>
  <c r="BB200" i="2"/>
  <c r="AE200" i="2"/>
  <c r="X200" i="2"/>
  <c r="V200" i="2" s="1"/>
  <c r="AC200" i="2" s="1"/>
  <c r="AD200" i="2" s="1"/>
  <c r="M200" i="2"/>
  <c r="K200" i="2"/>
  <c r="J200" i="2"/>
  <c r="A200" i="2"/>
  <c r="BC199" i="2"/>
  <c r="BB199" i="2"/>
  <c r="AE199" i="2"/>
  <c r="X199" i="2"/>
  <c r="V199" i="2" s="1"/>
  <c r="AC199" i="2" s="1"/>
  <c r="AD199" i="2" s="1"/>
  <c r="M199" i="2"/>
  <c r="L199" i="2"/>
  <c r="K199" i="2"/>
  <c r="J199" i="2"/>
  <c r="A199" i="2"/>
  <c r="BC198" i="2"/>
  <c r="BB198" i="2"/>
  <c r="AE198" i="2"/>
  <c r="X198" i="2"/>
  <c r="V198" i="2" s="1"/>
  <c r="AC198" i="2" s="1"/>
  <c r="AD198" i="2" s="1"/>
  <c r="M198" i="2"/>
  <c r="L198" i="2"/>
  <c r="K198" i="2"/>
  <c r="J198" i="2"/>
  <c r="A198" i="2"/>
  <c r="BC197" i="2"/>
  <c r="BB197" i="2"/>
  <c r="AE197" i="2"/>
  <c r="X197" i="2"/>
  <c r="V197" i="2" s="1"/>
  <c r="AC197" i="2" s="1"/>
  <c r="AD197" i="2" s="1"/>
  <c r="M197" i="2"/>
  <c r="L197" i="2"/>
  <c r="K197" i="2"/>
  <c r="J197" i="2"/>
  <c r="A197" i="2"/>
  <c r="BC196" i="2"/>
  <c r="BB196" i="2"/>
  <c r="AE196" i="2"/>
  <c r="X196" i="2"/>
  <c r="V196" i="2" s="1"/>
  <c r="AC196" i="2" s="1"/>
  <c r="AD196" i="2" s="1"/>
  <c r="M196" i="2"/>
  <c r="L196" i="2"/>
  <c r="K196" i="2"/>
  <c r="J196" i="2"/>
  <c r="A196" i="2"/>
  <c r="BC195" i="2"/>
  <c r="BB195" i="2"/>
  <c r="AE195" i="2"/>
  <c r="X195" i="2"/>
  <c r="V195" i="2" s="1"/>
  <c r="AC195" i="2" s="1"/>
  <c r="AD195" i="2" s="1"/>
  <c r="M195" i="2"/>
  <c r="L195" i="2"/>
  <c r="K195" i="2"/>
  <c r="J195" i="2"/>
  <c r="A195" i="2"/>
  <c r="BC194" i="2"/>
  <c r="BB194" i="2"/>
  <c r="AE194" i="2"/>
  <c r="X194" i="2"/>
  <c r="V194" i="2"/>
  <c r="AC194" i="2" s="1"/>
  <c r="AD194" i="2" s="1"/>
  <c r="M194" i="2"/>
  <c r="L194" i="2"/>
  <c r="K194" i="2"/>
  <c r="J194" i="2"/>
  <c r="A194" i="2"/>
  <c r="BC193" i="2"/>
  <c r="BB193" i="2"/>
  <c r="AE193" i="2"/>
  <c r="X193" i="2"/>
  <c r="V193" i="2"/>
  <c r="AC193" i="2" s="1"/>
  <c r="AD193" i="2" s="1"/>
  <c r="M193" i="2"/>
  <c r="L193" i="2"/>
  <c r="K193" i="2"/>
  <c r="J193" i="2"/>
  <c r="A193" i="2"/>
  <c r="BC192" i="2"/>
  <c r="BB192" i="2"/>
  <c r="X192" i="2"/>
  <c r="V192" i="2"/>
  <c r="AC192" i="2" s="1"/>
  <c r="M192" i="2"/>
  <c r="L192" i="2"/>
  <c r="K192" i="2"/>
  <c r="J192" i="2"/>
  <c r="A192" i="2"/>
  <c r="BC191" i="2"/>
  <c r="BB191" i="2"/>
  <c r="AE191" i="2"/>
  <c r="X191" i="2"/>
  <c r="V191" i="2" s="1"/>
  <c r="AC191" i="2" s="1"/>
  <c r="AD191" i="2" s="1"/>
  <c r="M191" i="2"/>
  <c r="L191" i="2"/>
  <c r="K191" i="2"/>
  <c r="J191" i="2"/>
  <c r="A191" i="2"/>
  <c r="BC190" i="2"/>
  <c r="BB190" i="2"/>
  <c r="AE190" i="2"/>
  <c r="X190" i="2"/>
  <c r="V190" i="2" s="1"/>
  <c r="AC190" i="2" s="1"/>
  <c r="AD190" i="2" s="1"/>
  <c r="M190" i="2"/>
  <c r="L190" i="2"/>
  <c r="K190" i="2"/>
  <c r="J190" i="2"/>
  <c r="A190" i="2"/>
  <c r="BC189" i="2"/>
  <c r="BB189" i="2"/>
  <c r="AE189" i="2"/>
  <c r="X189" i="2"/>
  <c r="V189" i="2"/>
  <c r="AC189" i="2" s="1"/>
  <c r="AD189" i="2" s="1"/>
  <c r="M189" i="2"/>
  <c r="L189" i="2"/>
  <c r="K189" i="2"/>
  <c r="J189" i="2"/>
  <c r="A189" i="2"/>
  <c r="BC188" i="2"/>
  <c r="BB188" i="2"/>
  <c r="AE188" i="2"/>
  <c r="X188" i="2"/>
  <c r="V188" i="2" s="1"/>
  <c r="AC188" i="2" s="1"/>
  <c r="AD188" i="2" s="1"/>
  <c r="M188" i="2"/>
  <c r="L188" i="2"/>
  <c r="K188" i="2"/>
  <c r="J188" i="2"/>
  <c r="A188" i="2"/>
  <c r="BC187" i="2"/>
  <c r="BB187" i="2"/>
  <c r="AE187" i="2"/>
  <c r="X187" i="2"/>
  <c r="V187" i="2"/>
  <c r="AC187" i="2" s="1"/>
  <c r="AD187" i="2" s="1"/>
  <c r="M187" i="2"/>
  <c r="L187" i="2"/>
  <c r="K187" i="2"/>
  <c r="J187" i="2"/>
  <c r="A187" i="2"/>
  <c r="BC186" i="2"/>
  <c r="BB186" i="2"/>
  <c r="AE186" i="2"/>
  <c r="X186" i="2"/>
  <c r="V186" i="2" s="1"/>
  <c r="AC186" i="2" s="1"/>
  <c r="AD186" i="2" s="1"/>
  <c r="M186" i="2"/>
  <c r="L186" i="2"/>
  <c r="K186" i="2"/>
  <c r="J186" i="2"/>
  <c r="A186" i="2"/>
  <c r="BC185" i="2"/>
  <c r="BB185" i="2"/>
  <c r="AE185" i="2"/>
  <c r="X185" i="2"/>
  <c r="V185" i="2" s="1"/>
  <c r="AC185" i="2" s="1"/>
  <c r="AD185" i="2" s="1"/>
  <c r="M185" i="2"/>
  <c r="L185" i="2"/>
  <c r="K185" i="2"/>
  <c r="J185" i="2"/>
  <c r="A185" i="2"/>
  <c r="BC184" i="2"/>
  <c r="BB184" i="2"/>
  <c r="AE184" i="2"/>
  <c r="X184" i="2"/>
  <c r="V184" i="2" s="1"/>
  <c r="AC184" i="2" s="1"/>
  <c r="AD184" i="2" s="1"/>
  <c r="M184" i="2"/>
  <c r="L184" i="2"/>
  <c r="K184" i="2"/>
  <c r="J184" i="2"/>
  <c r="A184" i="2"/>
  <c r="BC183" i="2"/>
  <c r="BB183" i="2"/>
  <c r="AE183" i="2"/>
  <c r="X183" i="2"/>
  <c r="V183" i="2" s="1"/>
  <c r="AC183" i="2" s="1"/>
  <c r="AD183" i="2" s="1"/>
  <c r="M183" i="2"/>
  <c r="L183" i="2"/>
  <c r="K183" i="2"/>
  <c r="J183" i="2"/>
  <c r="A183" i="2"/>
  <c r="BC182" i="2"/>
  <c r="BB182" i="2"/>
  <c r="AE182" i="2"/>
  <c r="X182" i="2"/>
  <c r="V182" i="2" s="1"/>
  <c r="AC182" i="2" s="1"/>
  <c r="AD182" i="2" s="1"/>
  <c r="M182" i="2"/>
  <c r="L182" i="2"/>
  <c r="K182" i="2"/>
  <c r="J182" i="2"/>
  <c r="A182" i="2"/>
  <c r="BC181" i="2"/>
  <c r="BB181" i="2"/>
  <c r="AE181" i="2"/>
  <c r="X181" i="2"/>
  <c r="V181" i="2"/>
  <c r="AC181" i="2" s="1"/>
  <c r="AD181" i="2" s="1"/>
  <c r="M181" i="2"/>
  <c r="L181" i="2"/>
  <c r="K181" i="2"/>
  <c r="J181" i="2"/>
  <c r="A181" i="2"/>
  <c r="BC180" i="2"/>
  <c r="BB180" i="2"/>
  <c r="AE180" i="2"/>
  <c r="X180" i="2"/>
  <c r="V180" i="2" s="1"/>
  <c r="AC180" i="2" s="1"/>
  <c r="AD180" i="2" s="1"/>
  <c r="M180" i="2"/>
  <c r="L180" i="2"/>
  <c r="K180" i="2"/>
  <c r="J180" i="2"/>
  <c r="A180" i="2"/>
  <c r="BC179" i="2"/>
  <c r="BB179" i="2"/>
  <c r="AE179" i="2"/>
  <c r="X179" i="2"/>
  <c r="V179" i="2" s="1"/>
  <c r="AC179" i="2" s="1"/>
  <c r="AD179" i="2" s="1"/>
  <c r="M179" i="2"/>
  <c r="L179" i="2"/>
  <c r="K179" i="2"/>
  <c r="J179" i="2"/>
  <c r="A179" i="2"/>
  <c r="BC178" i="2"/>
  <c r="BB178" i="2"/>
  <c r="AE178" i="2"/>
  <c r="X178" i="2"/>
  <c r="V178" i="2" s="1"/>
  <c r="AC178" i="2" s="1"/>
  <c r="AD178" i="2" s="1"/>
  <c r="M178" i="2"/>
  <c r="L178" i="2"/>
  <c r="K178" i="2"/>
  <c r="J178" i="2"/>
  <c r="A178" i="2"/>
  <c r="BC177" i="2"/>
  <c r="BB177" i="2"/>
  <c r="AE177" i="2"/>
  <c r="X177" i="2"/>
  <c r="V177" i="2"/>
  <c r="AC177" i="2" s="1"/>
  <c r="AD177" i="2" s="1"/>
  <c r="M177" i="2"/>
  <c r="L177" i="2"/>
  <c r="K177" i="2"/>
  <c r="J177" i="2"/>
  <c r="A177" i="2"/>
  <c r="BC176" i="2"/>
  <c r="BB176" i="2"/>
  <c r="AE176" i="2"/>
  <c r="X176" i="2"/>
  <c r="V176" i="2"/>
  <c r="AC176" i="2" s="1"/>
  <c r="AD176" i="2" s="1"/>
  <c r="M176" i="2"/>
  <c r="L176" i="2"/>
  <c r="K176" i="2"/>
  <c r="J176" i="2"/>
  <c r="A176" i="2"/>
  <c r="BC175" i="2"/>
  <c r="BB175" i="2"/>
  <c r="AE175" i="2"/>
  <c r="X175" i="2"/>
  <c r="V175" i="2"/>
  <c r="AC175" i="2" s="1"/>
  <c r="AD175" i="2" s="1"/>
  <c r="M175" i="2"/>
  <c r="L175" i="2"/>
  <c r="K175" i="2"/>
  <c r="J175" i="2"/>
  <c r="A175" i="2"/>
  <c r="BC174" i="2"/>
  <c r="BB174" i="2"/>
  <c r="AE174" i="2"/>
  <c r="X174" i="2"/>
  <c r="V174" i="2" s="1"/>
  <c r="AC174" i="2" s="1"/>
  <c r="AD174" i="2" s="1"/>
  <c r="M174" i="2"/>
  <c r="L174" i="2"/>
  <c r="K174" i="2"/>
  <c r="J174" i="2"/>
  <c r="A174" i="2"/>
  <c r="BC173" i="2"/>
  <c r="BB173" i="2"/>
  <c r="AE173" i="2"/>
  <c r="X173" i="2"/>
  <c r="V173" i="2"/>
  <c r="AC173" i="2" s="1"/>
  <c r="AD173" i="2" s="1"/>
  <c r="M173" i="2"/>
  <c r="L173" i="2"/>
  <c r="K173" i="2"/>
  <c r="J173" i="2"/>
  <c r="A173" i="2"/>
  <c r="BC172" i="2"/>
  <c r="BB172" i="2"/>
  <c r="AE172" i="2"/>
  <c r="X172" i="2"/>
  <c r="V172" i="2" s="1"/>
  <c r="AC172" i="2" s="1"/>
  <c r="AD172" i="2" s="1"/>
  <c r="M172" i="2"/>
  <c r="L172" i="2"/>
  <c r="K172" i="2"/>
  <c r="J172" i="2"/>
  <c r="A172" i="2"/>
  <c r="BC171" i="2"/>
  <c r="BB171" i="2"/>
  <c r="AE171" i="2"/>
  <c r="X171" i="2"/>
  <c r="V171" i="2" s="1"/>
  <c r="AC171" i="2" s="1"/>
  <c r="AD171" i="2" s="1"/>
  <c r="M171" i="2"/>
  <c r="L171" i="2"/>
  <c r="K171" i="2"/>
  <c r="J171" i="2"/>
  <c r="A171" i="2"/>
  <c r="BC170" i="2"/>
  <c r="BB170" i="2"/>
  <c r="AE170" i="2"/>
  <c r="X170" i="2"/>
  <c r="V170" i="2" s="1"/>
  <c r="AC170" i="2" s="1"/>
  <c r="AD170" i="2" s="1"/>
  <c r="M170" i="2"/>
  <c r="L170" i="2"/>
  <c r="K170" i="2"/>
  <c r="J170" i="2"/>
  <c r="A170" i="2"/>
  <c r="BC169" i="2"/>
  <c r="BB169" i="2"/>
  <c r="AE169" i="2"/>
  <c r="X169" i="2"/>
  <c r="V169" i="2" s="1"/>
  <c r="AC169" i="2" s="1"/>
  <c r="AD169" i="2" s="1"/>
  <c r="M169" i="2"/>
  <c r="L169" i="2"/>
  <c r="K169" i="2"/>
  <c r="J169" i="2"/>
  <c r="A169" i="2"/>
  <c r="BC168" i="2"/>
  <c r="BB168" i="2"/>
  <c r="AE168" i="2"/>
  <c r="X168" i="2"/>
  <c r="V168" i="2" s="1"/>
  <c r="AC168" i="2" s="1"/>
  <c r="AD168" i="2" s="1"/>
  <c r="M168" i="2"/>
  <c r="L168" i="2"/>
  <c r="K168" i="2"/>
  <c r="J168" i="2"/>
  <c r="A168" i="2"/>
  <c r="BC167" i="2"/>
  <c r="BB167" i="2"/>
  <c r="AE167" i="2"/>
  <c r="X167" i="2"/>
  <c r="V167" i="2" s="1"/>
  <c r="AC167" i="2" s="1"/>
  <c r="AD167" i="2" s="1"/>
  <c r="M167" i="2"/>
  <c r="L167" i="2"/>
  <c r="K167" i="2"/>
  <c r="J167" i="2"/>
  <c r="A167" i="2"/>
  <c r="BC166" i="2"/>
  <c r="BB166" i="2"/>
  <c r="AE166" i="2"/>
  <c r="X166" i="2"/>
  <c r="V166" i="2"/>
  <c r="AC166" i="2" s="1"/>
  <c r="AD166" i="2" s="1"/>
  <c r="M166" i="2"/>
  <c r="L166" i="2"/>
  <c r="K166" i="2"/>
  <c r="J166" i="2"/>
  <c r="A166" i="2"/>
  <c r="BC165" i="2"/>
  <c r="BB165" i="2"/>
  <c r="AE165" i="2"/>
  <c r="X165" i="2"/>
  <c r="V165" i="2"/>
  <c r="AC165" i="2" s="1"/>
  <c r="AD165" i="2" s="1"/>
  <c r="M165" i="2"/>
  <c r="L165" i="2"/>
  <c r="K165" i="2"/>
  <c r="J165" i="2"/>
  <c r="A165" i="2"/>
  <c r="BC164" i="2"/>
  <c r="BB164" i="2"/>
  <c r="AE164" i="2"/>
  <c r="X164" i="2"/>
  <c r="V164" i="2" s="1"/>
  <c r="AC164" i="2" s="1"/>
  <c r="AD164" i="2" s="1"/>
  <c r="M164" i="2"/>
  <c r="L164" i="2"/>
  <c r="K164" i="2"/>
  <c r="J164" i="2"/>
  <c r="A164" i="2"/>
  <c r="BC163" i="2"/>
  <c r="BB163" i="2"/>
  <c r="AE163" i="2"/>
  <c r="X163" i="2"/>
  <c r="V163" i="2" s="1"/>
  <c r="AC163" i="2" s="1"/>
  <c r="AD163" i="2" s="1"/>
  <c r="M163" i="2"/>
  <c r="L163" i="2"/>
  <c r="K163" i="2"/>
  <c r="J163" i="2"/>
  <c r="A163" i="2"/>
  <c r="BC162" i="2"/>
  <c r="BB162" i="2"/>
  <c r="AE162" i="2"/>
  <c r="X162" i="2"/>
  <c r="V162" i="2"/>
  <c r="AC162" i="2" s="1"/>
  <c r="AD162" i="2" s="1"/>
  <c r="M162" i="2"/>
  <c r="L162" i="2"/>
  <c r="K162" i="2"/>
  <c r="J162" i="2"/>
  <c r="BC161" i="2"/>
  <c r="BB161" i="2"/>
  <c r="AE161" i="2"/>
  <c r="X161" i="2"/>
  <c r="V161" i="2" s="1"/>
  <c r="AC161" i="2" s="1"/>
  <c r="AD161" i="2" s="1"/>
  <c r="M161" i="2"/>
  <c r="L161" i="2"/>
  <c r="K161" i="2"/>
  <c r="J161" i="2"/>
  <c r="A161" i="2"/>
  <c r="BC160" i="2"/>
  <c r="BB160" i="2"/>
  <c r="AE160" i="2"/>
  <c r="X160" i="2"/>
  <c r="V160" i="2" s="1"/>
  <c r="AC160" i="2" s="1"/>
  <c r="AD160" i="2" s="1"/>
  <c r="M160" i="2"/>
  <c r="L160" i="2"/>
  <c r="K160" i="2"/>
  <c r="J160" i="2"/>
  <c r="A160" i="2"/>
  <c r="BC159" i="2"/>
  <c r="BB159" i="2"/>
  <c r="AE159" i="2"/>
  <c r="X159" i="2"/>
  <c r="V159" i="2" s="1"/>
  <c r="AC159" i="2" s="1"/>
  <c r="AD159" i="2" s="1"/>
  <c r="M159" i="2"/>
  <c r="L159" i="2"/>
  <c r="K159" i="2"/>
  <c r="J159" i="2"/>
  <c r="A159" i="2"/>
  <c r="BC158" i="2"/>
  <c r="BB158" i="2"/>
  <c r="AE158" i="2"/>
  <c r="X158" i="2"/>
  <c r="V158" i="2" s="1"/>
  <c r="AC158" i="2" s="1"/>
  <c r="AD158" i="2" s="1"/>
  <c r="M158" i="2"/>
  <c r="L158" i="2"/>
  <c r="K158" i="2"/>
  <c r="J158" i="2"/>
  <c r="A158" i="2"/>
  <c r="BC157" i="2"/>
  <c r="BB157" i="2"/>
  <c r="AE157" i="2"/>
  <c r="X157" i="2"/>
  <c r="V157" i="2" s="1"/>
  <c r="AC157" i="2" s="1"/>
  <c r="AD157" i="2" s="1"/>
  <c r="M157" i="2"/>
  <c r="L157" i="2"/>
  <c r="K157" i="2"/>
  <c r="J157" i="2"/>
  <c r="A157" i="2"/>
  <c r="BC156" i="2"/>
  <c r="BB156" i="2"/>
  <c r="AE156" i="2"/>
  <c r="X156" i="2"/>
  <c r="V156" i="2"/>
  <c r="AC156" i="2" s="1"/>
  <c r="AD156" i="2" s="1"/>
  <c r="M156" i="2"/>
  <c r="L156" i="2"/>
  <c r="K156" i="2"/>
  <c r="J156" i="2"/>
  <c r="A156" i="2"/>
  <c r="BC155" i="2"/>
  <c r="BB155" i="2"/>
  <c r="AE155" i="2"/>
  <c r="X155" i="2"/>
  <c r="V155" i="2" s="1"/>
  <c r="AC155" i="2" s="1"/>
  <c r="AD155" i="2" s="1"/>
  <c r="M155" i="2"/>
  <c r="L155" i="2"/>
  <c r="K155" i="2"/>
  <c r="J155" i="2"/>
  <c r="A155" i="2"/>
  <c r="BC154" i="2"/>
  <c r="BB154" i="2"/>
  <c r="AE154" i="2"/>
  <c r="X154" i="2"/>
  <c r="V154" i="2"/>
  <c r="AC154" i="2" s="1"/>
  <c r="AD154" i="2" s="1"/>
  <c r="M154" i="2"/>
  <c r="L154" i="2"/>
  <c r="K154" i="2"/>
  <c r="J154" i="2"/>
  <c r="A154" i="2"/>
  <c r="BC153" i="2"/>
  <c r="BB153" i="2"/>
  <c r="AE153" i="2"/>
  <c r="X153" i="2"/>
  <c r="V153" i="2" s="1"/>
  <c r="AC153" i="2" s="1"/>
  <c r="AD153" i="2" s="1"/>
  <c r="M153" i="2"/>
  <c r="L153" i="2"/>
  <c r="K153" i="2"/>
  <c r="J153" i="2"/>
  <c r="A153" i="2"/>
  <c r="BC152" i="2"/>
  <c r="BB152" i="2"/>
  <c r="AE152" i="2"/>
  <c r="X152" i="2"/>
  <c r="V152" i="2" s="1"/>
  <c r="AC152" i="2" s="1"/>
  <c r="AD152" i="2" s="1"/>
  <c r="M152" i="2"/>
  <c r="L152" i="2"/>
  <c r="K152" i="2"/>
  <c r="J152" i="2"/>
  <c r="A152" i="2"/>
  <c r="BC151" i="2"/>
  <c r="BB151" i="2"/>
  <c r="AE151" i="2"/>
  <c r="X151" i="2"/>
  <c r="V151" i="2" s="1"/>
  <c r="AC151" i="2" s="1"/>
  <c r="AD151" i="2" s="1"/>
  <c r="M151" i="2"/>
  <c r="L151" i="2"/>
  <c r="K151" i="2"/>
  <c r="J151" i="2"/>
  <c r="A151" i="2"/>
  <c r="BC150" i="2"/>
  <c r="BB150" i="2"/>
  <c r="AE150" i="2"/>
  <c r="X150" i="2"/>
  <c r="V150" i="2" s="1"/>
  <c r="AC150" i="2" s="1"/>
  <c r="AD150" i="2" s="1"/>
  <c r="M150" i="2"/>
  <c r="L150" i="2"/>
  <c r="K150" i="2"/>
  <c r="J150" i="2"/>
  <c r="A150" i="2"/>
  <c r="BC149" i="2"/>
  <c r="BB149" i="2"/>
  <c r="AE149" i="2"/>
  <c r="X149" i="2"/>
  <c r="V149" i="2"/>
  <c r="AC149" i="2" s="1"/>
  <c r="AD149" i="2" s="1"/>
  <c r="M149" i="2"/>
  <c r="L149" i="2"/>
  <c r="K149" i="2"/>
  <c r="J149" i="2"/>
  <c r="A149" i="2"/>
  <c r="BC148" i="2"/>
  <c r="BB148" i="2"/>
  <c r="AE148" i="2"/>
  <c r="X148" i="2"/>
  <c r="V148" i="2" s="1"/>
  <c r="AC148" i="2" s="1"/>
  <c r="AD148" i="2" s="1"/>
  <c r="M148" i="2"/>
  <c r="L148" i="2"/>
  <c r="K148" i="2"/>
  <c r="J148" i="2"/>
  <c r="A148" i="2"/>
  <c r="BC147" i="2"/>
  <c r="BB147" i="2"/>
  <c r="AE147" i="2"/>
  <c r="X147" i="2"/>
  <c r="V147" i="2" s="1"/>
  <c r="AC147" i="2" s="1"/>
  <c r="AD147" i="2" s="1"/>
  <c r="M147" i="2"/>
  <c r="L147" i="2"/>
  <c r="K147" i="2"/>
  <c r="J147" i="2"/>
  <c r="A147" i="2"/>
  <c r="BC146" i="2"/>
  <c r="BB146" i="2"/>
  <c r="AE146" i="2"/>
  <c r="X146" i="2"/>
  <c r="V146" i="2" s="1"/>
  <c r="AC146" i="2" s="1"/>
  <c r="AD146" i="2" s="1"/>
  <c r="M146" i="2"/>
  <c r="L146" i="2"/>
  <c r="K146" i="2"/>
  <c r="J146" i="2"/>
  <c r="A146" i="2"/>
  <c r="BC145" i="2"/>
  <c r="BB145" i="2"/>
  <c r="AE145" i="2"/>
  <c r="X145" i="2"/>
  <c r="V145" i="2" s="1"/>
  <c r="AC145" i="2" s="1"/>
  <c r="AD145" i="2" s="1"/>
  <c r="M145" i="2"/>
  <c r="L145" i="2"/>
  <c r="K145" i="2"/>
  <c r="J145" i="2"/>
  <c r="A145" i="2"/>
  <c r="BC144" i="2"/>
  <c r="BB144" i="2"/>
  <c r="AE144" i="2"/>
  <c r="X144" i="2"/>
  <c r="V144" i="2" s="1"/>
  <c r="AC144" i="2" s="1"/>
  <c r="AD144" i="2" s="1"/>
  <c r="M144" i="2"/>
  <c r="L144" i="2"/>
  <c r="K144" i="2"/>
  <c r="J144" i="2"/>
  <c r="A144" i="2"/>
  <c r="BC143" i="2"/>
  <c r="BB143" i="2"/>
  <c r="AE143" i="2"/>
  <c r="X143" i="2"/>
  <c r="V143" i="2"/>
  <c r="AC143" i="2" s="1"/>
  <c r="AD143" i="2" s="1"/>
  <c r="M143" i="2"/>
  <c r="L143" i="2"/>
  <c r="K143" i="2"/>
  <c r="J143" i="2"/>
  <c r="A143" i="2"/>
  <c r="BC142" i="2"/>
  <c r="BB142" i="2"/>
  <c r="AE142" i="2"/>
  <c r="X142" i="2"/>
  <c r="V142" i="2"/>
  <c r="AC142" i="2" s="1"/>
  <c r="AD142" i="2" s="1"/>
  <c r="M142" i="2"/>
  <c r="L142" i="2"/>
  <c r="K142" i="2"/>
  <c r="J142" i="2"/>
  <c r="A142" i="2"/>
  <c r="BC141" i="2"/>
  <c r="BB141" i="2"/>
  <c r="AE141" i="2"/>
  <c r="X141" i="2"/>
  <c r="V141" i="2" s="1"/>
  <c r="AC141" i="2" s="1"/>
  <c r="AD141" i="2" s="1"/>
  <c r="M141" i="2"/>
  <c r="L141" i="2"/>
  <c r="K141" i="2"/>
  <c r="J141" i="2"/>
  <c r="A141" i="2"/>
  <c r="BC140" i="2"/>
  <c r="BB140" i="2"/>
  <c r="AE140" i="2"/>
  <c r="X140" i="2"/>
  <c r="V140" i="2" s="1"/>
  <c r="AC140" i="2" s="1"/>
  <c r="AD140" i="2" s="1"/>
  <c r="M140" i="2"/>
  <c r="L140" i="2"/>
  <c r="K140" i="2"/>
  <c r="J140" i="2"/>
  <c r="A140" i="2"/>
  <c r="BC139" i="2"/>
  <c r="BB139" i="2"/>
  <c r="AE139" i="2"/>
  <c r="X139" i="2"/>
  <c r="V139" i="2"/>
  <c r="AC139" i="2" s="1"/>
  <c r="AD139" i="2" s="1"/>
  <c r="M139" i="2"/>
  <c r="L139" i="2"/>
  <c r="K139" i="2"/>
  <c r="J139" i="2"/>
  <c r="A139" i="2"/>
  <c r="BC138" i="2"/>
  <c r="BB138" i="2"/>
  <c r="AE138" i="2"/>
  <c r="X138" i="2"/>
  <c r="V138" i="2"/>
  <c r="AC138" i="2" s="1"/>
  <c r="AD138" i="2" s="1"/>
  <c r="M138" i="2"/>
  <c r="L138" i="2"/>
  <c r="K138" i="2"/>
  <c r="J138" i="2"/>
  <c r="A138" i="2"/>
  <c r="BC137" i="2"/>
  <c r="BB137" i="2"/>
  <c r="AE137" i="2"/>
  <c r="X137" i="2"/>
  <c r="V137" i="2"/>
  <c r="AC137" i="2" s="1"/>
  <c r="AD137" i="2" s="1"/>
  <c r="M137" i="2"/>
  <c r="L137" i="2"/>
  <c r="K137" i="2"/>
  <c r="J137" i="2"/>
  <c r="A137" i="2"/>
  <c r="BC136" i="2"/>
  <c r="BB136" i="2"/>
  <c r="AE136" i="2"/>
  <c r="X136" i="2"/>
  <c r="V136" i="2" s="1"/>
  <c r="AC136" i="2" s="1"/>
  <c r="AD136" i="2" s="1"/>
  <c r="M136" i="2"/>
  <c r="L136" i="2"/>
  <c r="K136" i="2"/>
  <c r="J136" i="2"/>
  <c r="A136" i="2"/>
  <c r="BC135" i="2"/>
  <c r="BB135" i="2"/>
  <c r="AE135" i="2"/>
  <c r="X135" i="2"/>
  <c r="V135" i="2" s="1"/>
  <c r="AC135" i="2" s="1"/>
  <c r="AD135" i="2" s="1"/>
  <c r="M135" i="2"/>
  <c r="L135" i="2"/>
  <c r="K135" i="2"/>
  <c r="J135" i="2"/>
  <c r="A135" i="2"/>
  <c r="BC134" i="2"/>
  <c r="BB134" i="2"/>
  <c r="AE134" i="2"/>
  <c r="X134" i="2"/>
  <c r="V134" i="2"/>
  <c r="AC134" i="2" s="1"/>
  <c r="AD134" i="2" s="1"/>
  <c r="M134" i="2"/>
  <c r="L134" i="2"/>
  <c r="K134" i="2"/>
  <c r="J134" i="2"/>
  <c r="A134" i="2"/>
  <c r="BC133" i="2"/>
  <c r="BB133" i="2"/>
  <c r="AE133" i="2"/>
  <c r="X133" i="2"/>
  <c r="V133" i="2"/>
  <c r="AC133" i="2" s="1"/>
  <c r="AD133" i="2" s="1"/>
  <c r="M133" i="2"/>
  <c r="L133" i="2"/>
  <c r="K133" i="2"/>
  <c r="J133" i="2"/>
  <c r="A133" i="2"/>
  <c r="BC132" i="2"/>
  <c r="BB132" i="2"/>
  <c r="AE132" i="2"/>
  <c r="X132" i="2"/>
  <c r="V132" i="2"/>
  <c r="AC132" i="2" s="1"/>
  <c r="AD132" i="2" s="1"/>
  <c r="M132" i="2"/>
  <c r="L132" i="2"/>
  <c r="K132" i="2"/>
  <c r="J132" i="2"/>
  <c r="A132" i="2"/>
  <c r="BC131" i="2"/>
  <c r="BB131" i="2"/>
  <c r="AE131" i="2"/>
  <c r="X131" i="2"/>
  <c r="V131" i="2" s="1"/>
  <c r="AC131" i="2" s="1"/>
  <c r="AD131" i="2" s="1"/>
  <c r="M131" i="2"/>
  <c r="L131" i="2"/>
  <c r="K131" i="2"/>
  <c r="J131" i="2"/>
  <c r="A131" i="2"/>
  <c r="BC130" i="2"/>
  <c r="BB130" i="2"/>
  <c r="AE130" i="2"/>
  <c r="X130" i="2"/>
  <c r="V130" i="2" s="1"/>
  <c r="AC130" i="2" s="1"/>
  <c r="AD130" i="2" s="1"/>
  <c r="M130" i="2"/>
  <c r="L130" i="2"/>
  <c r="K130" i="2"/>
  <c r="J130" i="2"/>
  <c r="A130" i="2"/>
  <c r="BC129" i="2"/>
  <c r="BB129" i="2"/>
  <c r="AE129" i="2"/>
  <c r="X129" i="2"/>
  <c r="V129" i="2" s="1"/>
  <c r="AC129" i="2" s="1"/>
  <c r="AD129" i="2" s="1"/>
  <c r="M129" i="2"/>
  <c r="L129" i="2"/>
  <c r="K129" i="2"/>
  <c r="J129" i="2"/>
  <c r="A129" i="2"/>
  <c r="BC128" i="2"/>
  <c r="BB128" i="2"/>
  <c r="AE128" i="2"/>
  <c r="X128" i="2"/>
  <c r="V128" i="2" s="1"/>
  <c r="AC128" i="2" s="1"/>
  <c r="AD128" i="2" s="1"/>
  <c r="M128" i="2"/>
  <c r="L128" i="2"/>
  <c r="K128" i="2"/>
  <c r="J128" i="2"/>
  <c r="A128" i="2"/>
  <c r="BC127" i="2"/>
  <c r="BB127" i="2"/>
  <c r="AE127" i="2"/>
  <c r="X127" i="2"/>
  <c r="V127" i="2"/>
  <c r="AC127" i="2" s="1"/>
  <c r="AD127" i="2" s="1"/>
  <c r="M127" i="2"/>
  <c r="L127" i="2"/>
  <c r="K127" i="2"/>
  <c r="J127" i="2"/>
  <c r="A127" i="2"/>
  <c r="BC126" i="2"/>
  <c r="BB126" i="2"/>
  <c r="AE126" i="2"/>
  <c r="X126" i="2"/>
  <c r="V126" i="2"/>
  <c r="AC126" i="2" s="1"/>
  <c r="AD126" i="2" s="1"/>
  <c r="M126" i="2"/>
  <c r="L126" i="2"/>
  <c r="K126" i="2"/>
  <c r="J126" i="2"/>
  <c r="A126" i="2"/>
  <c r="BC125" i="2"/>
  <c r="BB125" i="2"/>
  <c r="X125" i="2"/>
  <c r="V125" i="2" s="1"/>
  <c r="AC125" i="2" s="1"/>
  <c r="M125" i="2"/>
  <c r="L125" i="2"/>
  <c r="K125" i="2"/>
  <c r="J125" i="2"/>
  <c r="A125" i="2"/>
  <c r="BC124" i="2"/>
  <c r="BB124" i="2"/>
  <c r="AE124" i="2"/>
  <c r="X124" i="2"/>
  <c r="V124" i="2" s="1"/>
  <c r="AC124" i="2" s="1"/>
  <c r="AD124" i="2" s="1"/>
  <c r="M124" i="2"/>
  <c r="L124" i="2"/>
  <c r="K124" i="2"/>
  <c r="J124" i="2"/>
  <c r="A124" i="2"/>
  <c r="BC123" i="2"/>
  <c r="BB123" i="2"/>
  <c r="AE123" i="2"/>
  <c r="X123" i="2"/>
  <c r="V123" i="2" s="1"/>
  <c r="AC123" i="2" s="1"/>
  <c r="AD123" i="2" s="1"/>
  <c r="M123" i="2"/>
  <c r="L123" i="2"/>
  <c r="K123" i="2"/>
  <c r="J123" i="2"/>
  <c r="A123" i="2"/>
  <c r="BC122" i="2"/>
  <c r="BB122" i="2"/>
  <c r="AE122" i="2"/>
  <c r="X122" i="2"/>
  <c r="V122" i="2" s="1"/>
  <c r="AC122" i="2" s="1"/>
  <c r="AD122" i="2" s="1"/>
  <c r="M122" i="2"/>
  <c r="L122" i="2"/>
  <c r="K122" i="2"/>
  <c r="J122" i="2"/>
  <c r="A122" i="2"/>
  <c r="BC121" i="2"/>
  <c r="BB121" i="2"/>
  <c r="AE121" i="2"/>
  <c r="X121" i="2"/>
  <c r="V121" i="2" s="1"/>
  <c r="AC121" i="2" s="1"/>
  <c r="AD121" i="2" s="1"/>
  <c r="M121" i="2"/>
  <c r="L121" i="2"/>
  <c r="K121" i="2"/>
  <c r="J121" i="2"/>
  <c r="A121" i="2"/>
  <c r="BC120" i="2"/>
  <c r="BB120" i="2"/>
  <c r="AE120" i="2"/>
  <c r="X120" i="2"/>
  <c r="V120" i="2"/>
  <c r="AC120" i="2" s="1"/>
  <c r="AD120" i="2" s="1"/>
  <c r="M120" i="2"/>
  <c r="L120" i="2"/>
  <c r="K120" i="2"/>
  <c r="J120" i="2"/>
  <c r="A120" i="2"/>
  <c r="BC119" i="2"/>
  <c r="BB119" i="2"/>
  <c r="AE119" i="2"/>
  <c r="X119" i="2"/>
  <c r="V119" i="2"/>
  <c r="AC119" i="2" s="1"/>
  <c r="AD119" i="2" s="1"/>
  <c r="M119" i="2"/>
  <c r="L119" i="2"/>
  <c r="K119" i="2"/>
  <c r="J119" i="2"/>
  <c r="A119" i="2"/>
  <c r="BC118" i="2"/>
  <c r="BB118" i="2"/>
  <c r="AE118" i="2"/>
  <c r="V118" i="2"/>
  <c r="AC118" i="2" s="1"/>
  <c r="AD118" i="2" s="1"/>
  <c r="M118" i="2"/>
  <c r="L118" i="2"/>
  <c r="K118" i="2"/>
  <c r="J118" i="2"/>
  <c r="A118" i="2"/>
  <c r="BC117" i="2"/>
  <c r="BB117" i="2"/>
  <c r="V117" i="2"/>
  <c r="AC117" i="2" s="1"/>
  <c r="AD117" i="2" s="1"/>
  <c r="M117" i="2"/>
  <c r="L117" i="2"/>
  <c r="K117" i="2"/>
  <c r="J117" i="2"/>
  <c r="A117" i="2"/>
  <c r="BC116" i="2"/>
  <c r="BB116" i="2"/>
  <c r="AE116" i="2"/>
  <c r="X116" i="2"/>
  <c r="V116" i="2" s="1"/>
  <c r="AC116" i="2" s="1"/>
  <c r="AD116" i="2" s="1"/>
  <c r="M116" i="2"/>
  <c r="L116" i="2"/>
  <c r="K116" i="2"/>
  <c r="J116" i="2"/>
  <c r="A116" i="2"/>
  <c r="BC115" i="2"/>
  <c r="BB115" i="2"/>
  <c r="AE115" i="2"/>
  <c r="X115" i="2"/>
  <c r="V115" i="2" s="1"/>
  <c r="AC115" i="2" s="1"/>
  <c r="AD115" i="2" s="1"/>
  <c r="M115" i="2"/>
  <c r="L115" i="2"/>
  <c r="K115" i="2"/>
  <c r="J115" i="2"/>
  <c r="A115" i="2"/>
  <c r="BC114" i="2"/>
  <c r="BB114" i="2"/>
  <c r="AE114" i="2"/>
  <c r="X114" i="2"/>
  <c r="V114" i="2"/>
  <c r="AC114" i="2" s="1"/>
  <c r="AD114" i="2" s="1"/>
  <c r="M114" i="2"/>
  <c r="L114" i="2"/>
  <c r="K114" i="2"/>
  <c r="J114" i="2"/>
  <c r="A114" i="2"/>
  <c r="BC113" i="2"/>
  <c r="BB113" i="2"/>
  <c r="AE113" i="2"/>
  <c r="X113" i="2"/>
  <c r="V113" i="2"/>
  <c r="AC113" i="2" s="1"/>
  <c r="AD113" i="2" s="1"/>
  <c r="M113" i="2"/>
  <c r="L113" i="2"/>
  <c r="K113" i="2"/>
  <c r="J113" i="2"/>
  <c r="A113" i="2"/>
  <c r="BC112" i="2"/>
  <c r="BB112" i="2"/>
  <c r="AE112" i="2"/>
  <c r="X112" i="2"/>
  <c r="V112" i="2" s="1"/>
  <c r="AC112" i="2" s="1"/>
  <c r="AD112" i="2" s="1"/>
  <c r="M112" i="2"/>
  <c r="L112" i="2"/>
  <c r="K112" i="2"/>
  <c r="J112" i="2"/>
  <c r="A112" i="2"/>
  <c r="BC111" i="2"/>
  <c r="BB111" i="2"/>
  <c r="AE111" i="2"/>
  <c r="X111" i="2"/>
  <c r="V111" i="2" s="1"/>
  <c r="AC111" i="2" s="1"/>
  <c r="AD111" i="2" s="1"/>
  <c r="M111" i="2"/>
  <c r="L111" i="2"/>
  <c r="K111" i="2"/>
  <c r="J111" i="2"/>
  <c r="A111" i="2"/>
  <c r="BC110" i="2"/>
  <c r="BB110" i="2"/>
  <c r="AE110" i="2"/>
  <c r="X110" i="2"/>
  <c r="V110" i="2" s="1"/>
  <c r="AC110" i="2" s="1"/>
  <c r="AD110" i="2" s="1"/>
  <c r="M110" i="2"/>
  <c r="L110" i="2"/>
  <c r="K110" i="2"/>
  <c r="J110" i="2"/>
  <c r="A110" i="2"/>
  <c r="BC109" i="2"/>
  <c r="BB109" i="2"/>
  <c r="AE109" i="2"/>
  <c r="X109" i="2"/>
  <c r="V109" i="2"/>
  <c r="AC109" i="2" s="1"/>
  <c r="AD109" i="2" s="1"/>
  <c r="M109" i="2"/>
  <c r="L109" i="2"/>
  <c r="K109" i="2"/>
  <c r="J109" i="2"/>
  <c r="A109" i="2"/>
  <c r="BC108" i="2"/>
  <c r="BB108" i="2"/>
  <c r="AE108" i="2"/>
  <c r="X108" i="2"/>
  <c r="V108" i="2" s="1"/>
  <c r="AC108" i="2" s="1"/>
  <c r="AD108" i="2" s="1"/>
  <c r="M108" i="2"/>
  <c r="L108" i="2"/>
  <c r="K108" i="2"/>
  <c r="J108" i="2"/>
  <c r="A108" i="2"/>
  <c r="BC107" i="2"/>
  <c r="BB107" i="2"/>
  <c r="AE107" i="2"/>
  <c r="X107" i="2"/>
  <c r="V107" i="2"/>
  <c r="AC107" i="2" s="1"/>
  <c r="AD107" i="2" s="1"/>
  <c r="M107" i="2"/>
  <c r="L107" i="2"/>
  <c r="K107" i="2"/>
  <c r="J107" i="2"/>
  <c r="A107" i="2"/>
  <c r="BC106" i="2"/>
  <c r="BB106" i="2"/>
  <c r="AE106" i="2"/>
  <c r="X106" i="2"/>
  <c r="V106" i="2"/>
  <c r="AC106" i="2" s="1"/>
  <c r="AD106" i="2" s="1"/>
  <c r="M106" i="2"/>
  <c r="L106" i="2"/>
  <c r="K106" i="2"/>
  <c r="J106" i="2"/>
  <c r="A106" i="2"/>
  <c r="BC105" i="2"/>
  <c r="BB105" i="2"/>
  <c r="AE105" i="2"/>
  <c r="X105" i="2"/>
  <c r="V105" i="2" s="1"/>
  <c r="AC105" i="2" s="1"/>
  <c r="AD105" i="2" s="1"/>
  <c r="M105" i="2"/>
  <c r="L105" i="2"/>
  <c r="K105" i="2"/>
  <c r="J105" i="2"/>
  <c r="A105" i="2"/>
  <c r="BC104" i="2"/>
  <c r="BB104" i="2"/>
  <c r="AE104" i="2"/>
  <c r="X104" i="2"/>
  <c r="V104" i="2"/>
  <c r="AC104" i="2" s="1"/>
  <c r="AD104" i="2" s="1"/>
  <c r="M104" i="2"/>
  <c r="L104" i="2"/>
  <c r="K104" i="2"/>
  <c r="J104" i="2"/>
  <c r="A104" i="2"/>
  <c r="BC103" i="2"/>
  <c r="BB103" i="2"/>
  <c r="AE103" i="2"/>
  <c r="X103" i="2"/>
  <c r="V103" i="2" s="1"/>
  <c r="AC103" i="2" s="1"/>
  <c r="AD103" i="2" s="1"/>
  <c r="M103" i="2"/>
  <c r="L103" i="2"/>
  <c r="K103" i="2"/>
  <c r="J103" i="2"/>
  <c r="A103" i="2"/>
  <c r="BC102" i="2"/>
  <c r="BB102" i="2"/>
  <c r="AE102" i="2"/>
  <c r="X102" i="2"/>
  <c r="V102" i="2" s="1"/>
  <c r="AC102" i="2" s="1"/>
  <c r="AD102" i="2" s="1"/>
  <c r="M102" i="2"/>
  <c r="L102" i="2"/>
  <c r="K102" i="2"/>
  <c r="J102" i="2"/>
  <c r="A102" i="2"/>
  <c r="BC101" i="2"/>
  <c r="BB101" i="2"/>
  <c r="AE101" i="2"/>
  <c r="X101" i="2"/>
  <c r="V101" i="2"/>
  <c r="AC101" i="2" s="1"/>
  <c r="AD101" i="2" s="1"/>
  <c r="M101" i="2"/>
  <c r="L101" i="2"/>
  <c r="K101" i="2"/>
  <c r="J101" i="2"/>
  <c r="A101" i="2"/>
  <c r="BC100" i="2"/>
  <c r="BB100" i="2"/>
  <c r="AE100" i="2"/>
  <c r="X100" i="2"/>
  <c r="V100" i="2" s="1"/>
  <c r="AC100" i="2" s="1"/>
  <c r="AD100" i="2" s="1"/>
  <c r="M100" i="2"/>
  <c r="L100" i="2"/>
  <c r="K100" i="2"/>
  <c r="J100" i="2"/>
  <c r="A100" i="2"/>
  <c r="BC99" i="2"/>
  <c r="BB99" i="2"/>
  <c r="X99" i="2"/>
  <c r="V99" i="2" s="1"/>
  <c r="AC99" i="2" s="1"/>
  <c r="AE99" i="2" s="1"/>
  <c r="M99" i="2"/>
  <c r="L99" i="2"/>
  <c r="K99" i="2"/>
  <c r="J99" i="2"/>
  <c r="A99" i="2"/>
  <c r="BC98" i="2"/>
  <c r="BB98" i="2"/>
  <c r="AE98" i="2"/>
  <c r="X98" i="2"/>
  <c r="V98" i="2" s="1"/>
  <c r="AC98" i="2" s="1"/>
  <c r="AD98" i="2" s="1"/>
  <c r="M98" i="2"/>
  <c r="L98" i="2"/>
  <c r="K98" i="2"/>
  <c r="J98" i="2"/>
  <c r="A98" i="2"/>
  <c r="BC97" i="2"/>
  <c r="BB97" i="2"/>
  <c r="AE97" i="2"/>
  <c r="X97" i="2"/>
  <c r="V97" i="2" s="1"/>
  <c r="AC97" i="2" s="1"/>
  <c r="AD97" i="2" s="1"/>
  <c r="M97" i="2"/>
  <c r="L97" i="2"/>
  <c r="K97" i="2"/>
  <c r="J97" i="2"/>
  <c r="A97" i="2"/>
  <c r="BC96" i="2"/>
  <c r="BB96" i="2"/>
  <c r="AE96" i="2"/>
  <c r="X96" i="2"/>
  <c r="V96" i="2" s="1"/>
  <c r="AC96" i="2" s="1"/>
  <c r="AD96" i="2" s="1"/>
  <c r="M96" i="2"/>
  <c r="L96" i="2"/>
  <c r="K96" i="2"/>
  <c r="J96" i="2"/>
  <c r="A96" i="2"/>
  <c r="BC95" i="2"/>
  <c r="BB95" i="2"/>
  <c r="X95" i="2"/>
  <c r="V95" i="2" s="1"/>
  <c r="AC95" i="2" s="1"/>
  <c r="M95" i="2"/>
  <c r="L95" i="2"/>
  <c r="K95" i="2"/>
  <c r="J95" i="2"/>
  <c r="A95" i="2"/>
  <c r="BC94" i="2"/>
  <c r="BB94" i="2"/>
  <c r="AE94" i="2"/>
  <c r="X94" i="2"/>
  <c r="V94" i="2"/>
  <c r="AC94" i="2" s="1"/>
  <c r="AD94" i="2" s="1"/>
  <c r="M94" i="2"/>
  <c r="L94" i="2"/>
  <c r="K94" i="2"/>
  <c r="J94" i="2"/>
  <c r="A94" i="2"/>
  <c r="BC93" i="2"/>
  <c r="BB93" i="2"/>
  <c r="AE93" i="2"/>
  <c r="X93" i="2"/>
  <c r="V93" i="2" s="1"/>
  <c r="AC93" i="2" s="1"/>
  <c r="AD93" i="2" s="1"/>
  <c r="M93" i="2"/>
  <c r="L93" i="2"/>
  <c r="K93" i="2"/>
  <c r="J93" i="2"/>
  <c r="A93" i="2"/>
  <c r="BC92" i="2"/>
  <c r="BB92" i="2"/>
  <c r="X92" i="2"/>
  <c r="V92" i="2" s="1"/>
  <c r="AC92" i="2" s="1"/>
  <c r="M92" i="2"/>
  <c r="L92" i="2"/>
  <c r="K92" i="2"/>
  <c r="J92" i="2"/>
  <c r="A92" i="2"/>
  <c r="BC91" i="2"/>
  <c r="BB91" i="2"/>
  <c r="AE91" i="2"/>
  <c r="X91" i="2"/>
  <c r="V91" i="2" s="1"/>
  <c r="AC91" i="2" s="1"/>
  <c r="AD91" i="2" s="1"/>
  <c r="M91" i="2"/>
  <c r="L91" i="2"/>
  <c r="K91" i="2"/>
  <c r="J91" i="2"/>
  <c r="A91" i="2"/>
  <c r="BC90" i="2"/>
  <c r="BB90" i="2"/>
  <c r="AE90" i="2"/>
  <c r="X90" i="2"/>
  <c r="V90" i="2" s="1"/>
  <c r="AC90" i="2" s="1"/>
  <c r="AD90" i="2" s="1"/>
  <c r="M90" i="2"/>
  <c r="L90" i="2"/>
  <c r="K90" i="2"/>
  <c r="J90" i="2"/>
  <c r="A90" i="2"/>
  <c r="BC89" i="2"/>
  <c r="BB89" i="2"/>
  <c r="AE89" i="2"/>
  <c r="X89" i="2"/>
  <c r="V89" i="2" s="1"/>
  <c r="AC89" i="2" s="1"/>
  <c r="AD89" i="2" s="1"/>
  <c r="M89" i="2"/>
  <c r="L89" i="2"/>
  <c r="K89" i="2"/>
  <c r="J89" i="2"/>
  <c r="A89" i="2"/>
  <c r="BC88" i="2"/>
  <c r="BB88" i="2"/>
  <c r="AE88" i="2"/>
  <c r="X88" i="2"/>
  <c r="V88" i="2"/>
  <c r="AC88" i="2" s="1"/>
  <c r="AD88" i="2" s="1"/>
  <c r="M88" i="2"/>
  <c r="L88" i="2"/>
  <c r="K88" i="2"/>
  <c r="J88" i="2"/>
  <c r="A88" i="2"/>
  <c r="BC87" i="2"/>
  <c r="BB87" i="2"/>
  <c r="AE87" i="2"/>
  <c r="X87" i="2"/>
  <c r="V87" i="2" s="1"/>
  <c r="AC87" i="2" s="1"/>
  <c r="AD87" i="2" s="1"/>
  <c r="M87" i="2"/>
  <c r="L87" i="2"/>
  <c r="K87" i="2"/>
  <c r="J87" i="2"/>
  <c r="A87" i="2"/>
  <c r="BC86" i="2"/>
  <c r="BB86" i="2"/>
  <c r="AE86" i="2"/>
  <c r="X86" i="2"/>
  <c r="V86" i="2" s="1"/>
  <c r="AC86" i="2" s="1"/>
  <c r="AD86" i="2" s="1"/>
  <c r="M86" i="2"/>
  <c r="L86" i="2"/>
  <c r="K86" i="2"/>
  <c r="J86" i="2"/>
  <c r="A86" i="2"/>
  <c r="BC85" i="2"/>
  <c r="BB85" i="2"/>
  <c r="AE85" i="2"/>
  <c r="X85" i="2"/>
  <c r="V85" i="2" s="1"/>
  <c r="AC85" i="2" s="1"/>
  <c r="AD85" i="2" s="1"/>
  <c r="M85" i="2"/>
  <c r="L85" i="2"/>
  <c r="K85" i="2"/>
  <c r="J85" i="2"/>
  <c r="A85" i="2"/>
  <c r="BC84" i="2"/>
  <c r="BB84" i="2"/>
  <c r="AE84" i="2"/>
  <c r="X84" i="2"/>
  <c r="V84" i="2" s="1"/>
  <c r="AC84" i="2" s="1"/>
  <c r="AD84" i="2" s="1"/>
  <c r="M84" i="2"/>
  <c r="L84" i="2"/>
  <c r="K84" i="2"/>
  <c r="J84" i="2"/>
  <c r="A84" i="2"/>
  <c r="BC83" i="2"/>
  <c r="BB83" i="2"/>
  <c r="AE83" i="2"/>
  <c r="X83" i="2"/>
  <c r="V83" i="2" s="1"/>
  <c r="AC83" i="2" s="1"/>
  <c r="AD83" i="2" s="1"/>
  <c r="M83" i="2"/>
  <c r="L83" i="2"/>
  <c r="K83" i="2"/>
  <c r="J83" i="2"/>
  <c r="A83" i="2"/>
  <c r="BC82" i="2"/>
  <c r="BB82" i="2"/>
  <c r="AE82" i="2"/>
  <c r="X82" i="2"/>
  <c r="V82" i="2" s="1"/>
  <c r="AC82" i="2" s="1"/>
  <c r="AD82" i="2" s="1"/>
  <c r="M82" i="2"/>
  <c r="L82" i="2"/>
  <c r="K82" i="2"/>
  <c r="J82" i="2"/>
  <c r="A82" i="2"/>
  <c r="BC81" i="2"/>
  <c r="BB81" i="2"/>
  <c r="AE81" i="2"/>
  <c r="X81" i="2"/>
  <c r="V81" i="2"/>
  <c r="AC81" i="2" s="1"/>
  <c r="AD81" i="2" s="1"/>
  <c r="M81" i="2"/>
  <c r="L81" i="2"/>
  <c r="K81" i="2"/>
  <c r="J81" i="2"/>
  <c r="A81" i="2"/>
  <c r="BB80" i="2"/>
  <c r="AE80" i="2"/>
  <c r="X80" i="2"/>
  <c r="V80" i="2"/>
  <c r="AC80" i="2" s="1"/>
  <c r="AD80" i="2" s="1"/>
  <c r="M80" i="2"/>
  <c r="L80" i="2"/>
  <c r="K80" i="2"/>
  <c r="J80" i="2"/>
  <c r="A80" i="2"/>
  <c r="BC79" i="2"/>
  <c r="BB79" i="2"/>
  <c r="AE79" i="2"/>
  <c r="X79" i="2"/>
  <c r="V79" i="2"/>
  <c r="AC79" i="2" s="1"/>
  <c r="AD79" i="2" s="1"/>
  <c r="M79" i="2"/>
  <c r="L79" i="2"/>
  <c r="K79" i="2"/>
  <c r="J79" i="2"/>
  <c r="A79" i="2"/>
  <c r="BC78" i="2"/>
  <c r="BB78" i="2"/>
  <c r="AE78" i="2"/>
  <c r="X78" i="2"/>
  <c r="V78" i="2" s="1"/>
  <c r="AC78" i="2" s="1"/>
  <c r="AD78" i="2" s="1"/>
  <c r="M78" i="2"/>
  <c r="L78" i="2"/>
  <c r="K78" i="2"/>
  <c r="J78" i="2"/>
  <c r="A78" i="2"/>
  <c r="BC77" i="2"/>
  <c r="BB77" i="2"/>
  <c r="AE77" i="2"/>
  <c r="X77" i="2"/>
  <c r="V77" i="2" s="1"/>
  <c r="AC77" i="2" s="1"/>
  <c r="AD77" i="2" s="1"/>
  <c r="M77" i="2"/>
  <c r="L77" i="2"/>
  <c r="K77" i="2"/>
  <c r="J77" i="2"/>
  <c r="A77" i="2"/>
  <c r="BC76" i="2"/>
  <c r="BB76" i="2"/>
  <c r="AE76" i="2"/>
  <c r="X76" i="2"/>
  <c r="V76" i="2"/>
  <c r="AC76" i="2" s="1"/>
  <c r="AD76" i="2" s="1"/>
  <c r="M76" i="2"/>
  <c r="L76" i="2"/>
  <c r="K76" i="2"/>
  <c r="J76" i="2"/>
  <c r="A76" i="2"/>
  <c r="BC75" i="2"/>
  <c r="BB75" i="2"/>
  <c r="AE75" i="2"/>
  <c r="X75" i="2"/>
  <c r="V75" i="2" s="1"/>
  <c r="AC75" i="2" s="1"/>
  <c r="AD75" i="2" s="1"/>
  <c r="M75" i="2"/>
  <c r="L75" i="2"/>
  <c r="K75" i="2"/>
  <c r="J75" i="2"/>
  <c r="A75" i="2"/>
  <c r="BC74" i="2"/>
  <c r="BB74" i="2"/>
  <c r="AE74" i="2"/>
  <c r="X74" i="2"/>
  <c r="V74" i="2" s="1"/>
  <c r="AC74" i="2" s="1"/>
  <c r="AD74" i="2" s="1"/>
  <c r="M74" i="2"/>
  <c r="L74" i="2"/>
  <c r="K74" i="2"/>
  <c r="J74" i="2"/>
  <c r="A74" i="2"/>
  <c r="BC73" i="2"/>
  <c r="BB73" i="2"/>
  <c r="AE73" i="2"/>
  <c r="X73" i="2"/>
  <c r="V73" i="2" s="1"/>
  <c r="AC73" i="2" s="1"/>
  <c r="AD73" i="2" s="1"/>
  <c r="M73" i="2"/>
  <c r="L73" i="2"/>
  <c r="K73" i="2"/>
  <c r="J73" i="2"/>
  <c r="A73" i="2"/>
  <c r="BC72" i="2"/>
  <c r="BB72" i="2"/>
  <c r="AE72" i="2"/>
  <c r="X72" i="2"/>
  <c r="V72" i="2"/>
  <c r="AC72" i="2" s="1"/>
  <c r="AD72" i="2" s="1"/>
  <c r="M72" i="2"/>
  <c r="L72" i="2"/>
  <c r="K72" i="2"/>
  <c r="J72" i="2"/>
  <c r="A72" i="2"/>
  <c r="BC71" i="2"/>
  <c r="BB71" i="2"/>
  <c r="AE71" i="2"/>
  <c r="X71" i="2"/>
  <c r="V71" i="2" s="1"/>
  <c r="AC71" i="2" s="1"/>
  <c r="AD71" i="2" s="1"/>
  <c r="M71" i="2"/>
  <c r="L71" i="2"/>
  <c r="K71" i="2"/>
  <c r="J71" i="2"/>
  <c r="A71" i="2"/>
  <c r="BC70" i="2"/>
  <c r="BB70" i="2"/>
  <c r="AE70" i="2"/>
  <c r="X70" i="2"/>
  <c r="V70" i="2" s="1"/>
  <c r="AC70" i="2" s="1"/>
  <c r="AD70" i="2" s="1"/>
  <c r="M70" i="2"/>
  <c r="L70" i="2"/>
  <c r="K70" i="2"/>
  <c r="J70" i="2"/>
  <c r="A70" i="2"/>
  <c r="BC69" i="2"/>
  <c r="BB69" i="2"/>
  <c r="AE69" i="2"/>
  <c r="X69" i="2"/>
  <c r="V69" i="2"/>
  <c r="AC69" i="2" s="1"/>
  <c r="AD69" i="2" s="1"/>
  <c r="M69" i="2"/>
  <c r="L69" i="2"/>
  <c r="K69" i="2"/>
  <c r="J69" i="2"/>
  <c r="A69" i="2"/>
  <c r="BC68" i="2"/>
  <c r="BB68" i="2"/>
  <c r="AE68" i="2"/>
  <c r="X68" i="2"/>
  <c r="V68" i="2" s="1"/>
  <c r="AC68" i="2" s="1"/>
  <c r="AD68" i="2" s="1"/>
  <c r="M68" i="2"/>
  <c r="L68" i="2"/>
  <c r="K68" i="2"/>
  <c r="J68" i="2"/>
  <c r="A68" i="2"/>
  <c r="BC67" i="2"/>
  <c r="BB67" i="2"/>
  <c r="AE67" i="2"/>
  <c r="X67" i="2"/>
  <c r="V67" i="2"/>
  <c r="AC67" i="2" s="1"/>
  <c r="AD67" i="2" s="1"/>
  <c r="M67" i="2"/>
  <c r="L67" i="2"/>
  <c r="K67" i="2"/>
  <c r="J67" i="2"/>
  <c r="A67" i="2"/>
  <c r="BC66" i="2"/>
  <c r="BB66" i="2"/>
  <c r="X66" i="2"/>
  <c r="V66" i="2"/>
  <c r="AC66" i="2" s="1"/>
  <c r="M66" i="2"/>
  <c r="L66" i="2"/>
  <c r="K66" i="2"/>
  <c r="J66" i="2"/>
  <c r="A66" i="2"/>
  <c r="BC65" i="2"/>
  <c r="BB65" i="2"/>
  <c r="X65" i="2"/>
  <c r="V65" i="2" s="1"/>
  <c r="AC65" i="2" s="1"/>
  <c r="AE65" i="2" s="1"/>
  <c r="M65" i="2"/>
  <c r="L65" i="2"/>
  <c r="K65" i="2"/>
  <c r="J65" i="2"/>
  <c r="A65" i="2"/>
  <c r="BC64" i="2"/>
  <c r="BB64" i="2"/>
  <c r="X64" i="2"/>
  <c r="V64" i="2" s="1"/>
  <c r="AC64" i="2" s="1"/>
  <c r="M64" i="2"/>
  <c r="L64" i="2"/>
  <c r="K64" i="2"/>
  <c r="J64" i="2"/>
  <c r="A64" i="2"/>
  <c r="BC63" i="2"/>
  <c r="BB63" i="2"/>
  <c r="AE63" i="2"/>
  <c r="X63" i="2"/>
  <c r="V63" i="2"/>
  <c r="AC63" i="2" s="1"/>
  <c r="AD63" i="2" s="1"/>
  <c r="M63" i="2"/>
  <c r="L63" i="2"/>
  <c r="K63" i="2"/>
  <c r="J63" i="2"/>
  <c r="A63" i="2"/>
  <c r="BC62" i="2"/>
  <c r="BB62" i="2"/>
  <c r="AE62" i="2"/>
  <c r="X62" i="2"/>
  <c r="V62" i="2"/>
  <c r="AC62" i="2" s="1"/>
  <c r="AD62" i="2" s="1"/>
  <c r="M62" i="2"/>
  <c r="L62" i="2"/>
  <c r="K62" i="2"/>
  <c r="J62" i="2"/>
  <c r="A62" i="2"/>
  <c r="BC61" i="2"/>
  <c r="BB61" i="2"/>
  <c r="AE61" i="2"/>
  <c r="X61" i="2"/>
  <c r="V61" i="2" s="1"/>
  <c r="AC61" i="2" s="1"/>
  <c r="AD61" i="2" s="1"/>
  <c r="M61" i="2"/>
  <c r="L61" i="2"/>
  <c r="K61" i="2"/>
  <c r="J61" i="2"/>
  <c r="A61" i="2"/>
  <c r="BC60" i="2"/>
  <c r="BB60" i="2"/>
  <c r="AE60" i="2"/>
  <c r="X60" i="2"/>
  <c r="V60" i="2" s="1"/>
  <c r="AC60" i="2" s="1"/>
  <c r="AD60" i="2" s="1"/>
  <c r="M60" i="2"/>
  <c r="L60" i="2"/>
  <c r="K60" i="2"/>
  <c r="J60" i="2"/>
  <c r="A60" i="2"/>
  <c r="BC59" i="2"/>
  <c r="BB59" i="2"/>
  <c r="AE59" i="2"/>
  <c r="AD59" i="2"/>
  <c r="X59" i="2"/>
  <c r="V59" i="2" s="1"/>
  <c r="AC59" i="2" s="1"/>
  <c r="M59" i="2"/>
  <c r="L59" i="2"/>
  <c r="K59" i="2"/>
  <c r="J59" i="2"/>
  <c r="A59" i="2"/>
  <c r="BC58" i="2"/>
  <c r="BB58" i="2"/>
  <c r="AE58" i="2"/>
  <c r="AD58" i="2"/>
  <c r="X58" i="2"/>
  <c r="V58" i="2" s="1"/>
  <c r="AC58" i="2" s="1"/>
  <c r="M58" i="2"/>
  <c r="L58" i="2"/>
  <c r="K58" i="2"/>
  <c r="J58" i="2"/>
  <c r="A58" i="2"/>
  <c r="BC57" i="2"/>
  <c r="BB57" i="2"/>
  <c r="AD57" i="2"/>
  <c r="X57" i="2"/>
  <c r="V57" i="2" s="1"/>
  <c r="AC57" i="2" s="1"/>
  <c r="AE57" i="2" s="1"/>
  <c r="M57" i="2"/>
  <c r="L57" i="2"/>
  <c r="K57" i="2"/>
  <c r="J57" i="2"/>
  <c r="A57" i="2"/>
  <c r="BC56" i="2"/>
  <c r="BB56" i="2"/>
  <c r="AE56" i="2"/>
  <c r="AD56" i="2"/>
  <c r="X56" i="2"/>
  <c r="V56" i="2"/>
  <c r="AC56" i="2" s="1"/>
  <c r="M56" i="2"/>
  <c r="L56" i="2"/>
  <c r="K56" i="2"/>
  <c r="J56" i="2"/>
  <c r="A56" i="2"/>
  <c r="BC55" i="2"/>
  <c r="BB55" i="2"/>
  <c r="AE55" i="2"/>
  <c r="AD55" i="2"/>
  <c r="X55" i="2"/>
  <c r="V55" i="2"/>
  <c r="AC55" i="2" s="1"/>
  <c r="M55" i="2"/>
  <c r="L55" i="2"/>
  <c r="K55" i="2"/>
  <c r="J55" i="2"/>
  <c r="A55" i="2"/>
  <c r="BC54" i="2"/>
  <c r="BB54" i="2"/>
  <c r="AE54" i="2"/>
  <c r="AD54" i="2"/>
  <c r="X54" i="2"/>
  <c r="V54" i="2" s="1"/>
  <c r="AC54" i="2" s="1"/>
  <c r="M54" i="2"/>
  <c r="L54" i="2"/>
  <c r="K54" i="2"/>
  <c r="J54" i="2"/>
  <c r="A54" i="2"/>
  <c r="BC53" i="2"/>
  <c r="BB53" i="2"/>
  <c r="AE53" i="2"/>
  <c r="AD53" i="2"/>
  <c r="X53" i="2"/>
  <c r="V53" i="2" s="1"/>
  <c r="AC53" i="2" s="1"/>
  <c r="M53" i="2"/>
  <c r="L53" i="2"/>
  <c r="K53" i="2"/>
  <c r="J53" i="2"/>
  <c r="A53" i="2"/>
  <c r="BC52" i="2"/>
  <c r="BB52" i="2"/>
  <c r="AE52" i="2"/>
  <c r="AD52" i="2"/>
  <c r="X52" i="2"/>
  <c r="V52" i="2" s="1"/>
  <c r="AC52" i="2" s="1"/>
  <c r="M52" i="2"/>
  <c r="L52" i="2"/>
  <c r="K52" i="2"/>
  <c r="J52" i="2"/>
  <c r="A52" i="2"/>
  <c r="BC51" i="2"/>
  <c r="BB51" i="2"/>
  <c r="AE51" i="2"/>
  <c r="AD51" i="2"/>
  <c r="X51" i="2"/>
  <c r="V51" i="2" s="1"/>
  <c r="AC51" i="2" s="1"/>
  <c r="M51" i="2"/>
  <c r="L51" i="2"/>
  <c r="K51" i="2"/>
  <c r="J51" i="2"/>
  <c r="A51" i="2"/>
  <c r="BC50" i="2"/>
  <c r="BB50" i="2"/>
  <c r="AE50" i="2"/>
  <c r="AD50" i="2"/>
  <c r="X50" i="2"/>
  <c r="V50" i="2" s="1"/>
  <c r="AC50" i="2" s="1"/>
  <c r="M50" i="2"/>
  <c r="L50" i="2"/>
  <c r="K50" i="2"/>
  <c r="J50" i="2"/>
  <c r="A50" i="2"/>
  <c r="BC49" i="2"/>
  <c r="BB49" i="2"/>
  <c r="AE49" i="2"/>
  <c r="X49" i="2"/>
  <c r="V49" i="2"/>
  <c r="AC49" i="2" s="1"/>
  <c r="AD49" i="2" s="1"/>
  <c r="M49" i="2"/>
  <c r="L49" i="2"/>
  <c r="K49" i="2"/>
  <c r="J49" i="2"/>
  <c r="A49" i="2"/>
  <c r="BC48" i="2"/>
  <c r="BB48" i="2"/>
  <c r="AE48" i="2"/>
  <c r="X48" i="2"/>
  <c r="V48" i="2"/>
  <c r="AC48" i="2" s="1"/>
  <c r="AD48" i="2" s="1"/>
  <c r="M48" i="2"/>
  <c r="L48" i="2"/>
  <c r="K48" i="2"/>
  <c r="J48" i="2"/>
  <c r="A48" i="2"/>
  <c r="BC47" i="2"/>
  <c r="BB47" i="2"/>
  <c r="AE47" i="2"/>
  <c r="X47" i="2"/>
  <c r="V47" i="2"/>
  <c r="AC47" i="2" s="1"/>
  <c r="AD47" i="2" s="1"/>
  <c r="M47" i="2"/>
  <c r="L47" i="2"/>
  <c r="K47" i="2"/>
  <c r="J47" i="2"/>
  <c r="A47" i="2"/>
  <c r="BC46" i="2"/>
  <c r="BB46" i="2"/>
  <c r="AE46" i="2"/>
  <c r="X46" i="2"/>
  <c r="V46" i="2" s="1"/>
  <c r="AC46" i="2" s="1"/>
  <c r="AD46" i="2" s="1"/>
  <c r="M46" i="2"/>
  <c r="L46" i="2"/>
  <c r="K46" i="2"/>
  <c r="J46" i="2"/>
  <c r="A46" i="2"/>
  <c r="BC45" i="2"/>
  <c r="BB45" i="2"/>
  <c r="AE45" i="2"/>
  <c r="X45" i="2"/>
  <c r="V45" i="2" s="1"/>
  <c r="AC45" i="2" s="1"/>
  <c r="AD45" i="2" s="1"/>
  <c r="M45" i="2"/>
  <c r="L45" i="2"/>
  <c r="K45" i="2"/>
  <c r="J45" i="2"/>
  <c r="A45" i="2"/>
  <c r="BC44" i="2"/>
  <c r="BB44" i="2"/>
  <c r="AE44" i="2"/>
  <c r="X44" i="2"/>
  <c r="V44" i="2"/>
  <c r="AC44" i="2" s="1"/>
  <c r="AD44" i="2" s="1"/>
  <c r="M44" i="2"/>
  <c r="L44" i="2"/>
  <c r="K44" i="2"/>
  <c r="J44" i="2"/>
  <c r="A44" i="2"/>
  <c r="BC43" i="2"/>
  <c r="BB43" i="2"/>
  <c r="AE43" i="2"/>
  <c r="X43" i="2"/>
  <c r="V43" i="2"/>
  <c r="AC43" i="2" s="1"/>
  <c r="AD43" i="2" s="1"/>
  <c r="M43" i="2"/>
  <c r="L43" i="2"/>
  <c r="K43" i="2"/>
  <c r="J43" i="2"/>
  <c r="A43" i="2"/>
  <c r="BC42" i="2"/>
  <c r="BB42" i="2"/>
  <c r="AE42" i="2"/>
  <c r="X42" i="2"/>
  <c r="V42" i="2" s="1"/>
  <c r="AC42" i="2" s="1"/>
  <c r="AD42" i="2" s="1"/>
  <c r="M42" i="2"/>
  <c r="L42" i="2"/>
  <c r="K42" i="2"/>
  <c r="J42" i="2"/>
  <c r="A42" i="2"/>
  <c r="BC41" i="2"/>
  <c r="BB41" i="2"/>
  <c r="AE41" i="2"/>
  <c r="X41" i="2"/>
  <c r="V41" i="2"/>
  <c r="AC41" i="2" s="1"/>
  <c r="AD41" i="2" s="1"/>
  <c r="M41" i="2"/>
  <c r="L41" i="2"/>
  <c r="K41" i="2"/>
  <c r="J41" i="2"/>
  <c r="A41" i="2"/>
  <c r="BC40" i="2"/>
  <c r="BB40" i="2"/>
  <c r="AE40" i="2"/>
  <c r="X40" i="2"/>
  <c r="V40" i="2" s="1"/>
  <c r="AC40" i="2" s="1"/>
  <c r="AD40" i="2" s="1"/>
  <c r="M40" i="2"/>
  <c r="L40" i="2"/>
  <c r="K40" i="2"/>
  <c r="J40" i="2"/>
  <c r="A40" i="2"/>
  <c r="BC39" i="2"/>
  <c r="BB39" i="2"/>
  <c r="AE39" i="2"/>
  <c r="X39" i="2"/>
  <c r="V39" i="2" s="1"/>
  <c r="AC39" i="2" s="1"/>
  <c r="AD39" i="2" s="1"/>
  <c r="M39" i="2"/>
  <c r="L39" i="2"/>
  <c r="K39" i="2"/>
  <c r="J39" i="2"/>
  <c r="A39" i="2"/>
  <c r="BC38" i="2"/>
  <c r="BB38" i="2"/>
  <c r="AE38" i="2"/>
  <c r="X38" i="2"/>
  <c r="V38" i="2" s="1"/>
  <c r="AC38" i="2" s="1"/>
  <c r="AD38" i="2" s="1"/>
  <c r="M38" i="2"/>
  <c r="L38" i="2"/>
  <c r="K38" i="2"/>
  <c r="J38" i="2"/>
  <c r="A38" i="2"/>
  <c r="BC37" i="2"/>
  <c r="BB37" i="2"/>
  <c r="AE37" i="2"/>
  <c r="X37" i="2"/>
  <c r="V37" i="2" s="1"/>
  <c r="AC37" i="2" s="1"/>
  <c r="AD37" i="2" s="1"/>
  <c r="M37" i="2"/>
  <c r="L37" i="2"/>
  <c r="K37" i="2"/>
  <c r="J37" i="2"/>
  <c r="A37" i="2"/>
  <c r="BC36" i="2"/>
  <c r="BB36" i="2"/>
  <c r="AE36" i="2"/>
  <c r="X36" i="2"/>
  <c r="V36" i="2" s="1"/>
  <c r="AC36" i="2" s="1"/>
  <c r="AD36" i="2" s="1"/>
  <c r="M36" i="2"/>
  <c r="L36" i="2"/>
  <c r="K36" i="2"/>
  <c r="J36" i="2"/>
  <c r="A36" i="2"/>
  <c r="BC35" i="2"/>
  <c r="BB35" i="2"/>
  <c r="AE35" i="2"/>
  <c r="X35" i="2"/>
  <c r="V35" i="2" s="1"/>
  <c r="AC35" i="2" s="1"/>
  <c r="AD35" i="2" s="1"/>
  <c r="M35" i="2"/>
  <c r="L35" i="2"/>
  <c r="K35" i="2"/>
  <c r="J35" i="2"/>
  <c r="A35" i="2"/>
  <c r="BC34" i="2"/>
  <c r="BB34" i="2"/>
  <c r="AE34" i="2"/>
  <c r="X34" i="2"/>
  <c r="V34" i="2"/>
  <c r="AC34" i="2" s="1"/>
  <c r="AD34" i="2" s="1"/>
  <c r="M34" i="2"/>
  <c r="L34" i="2"/>
  <c r="K34" i="2"/>
  <c r="J34" i="2"/>
  <c r="A34" i="2"/>
  <c r="BC33" i="2"/>
  <c r="BB33" i="2"/>
  <c r="AE33" i="2"/>
  <c r="X33" i="2"/>
  <c r="V33" i="2"/>
  <c r="AC33" i="2" s="1"/>
  <c r="AD33" i="2" s="1"/>
  <c r="M33" i="2"/>
  <c r="L33" i="2"/>
  <c r="K33" i="2"/>
  <c r="J33" i="2"/>
  <c r="A33" i="2"/>
  <c r="BC32" i="2"/>
  <c r="BB32" i="2"/>
  <c r="AE32" i="2"/>
  <c r="X32" i="2"/>
  <c r="V32" i="2" s="1"/>
  <c r="AC32" i="2" s="1"/>
  <c r="AD32" i="2" s="1"/>
  <c r="M32" i="2"/>
  <c r="L32" i="2"/>
  <c r="K32" i="2"/>
  <c r="J32" i="2"/>
  <c r="A32" i="2"/>
  <c r="BC31" i="2"/>
  <c r="BB31" i="2"/>
  <c r="AE31" i="2"/>
  <c r="X31" i="2"/>
  <c r="V31" i="2" s="1"/>
  <c r="AC31" i="2" s="1"/>
  <c r="AD31" i="2" s="1"/>
  <c r="M31" i="2"/>
  <c r="L31" i="2"/>
  <c r="K31" i="2"/>
  <c r="J31" i="2"/>
  <c r="A31" i="2"/>
  <c r="BC30" i="2"/>
  <c r="BB30" i="2"/>
  <c r="AE30" i="2"/>
  <c r="X30" i="2"/>
  <c r="V30" i="2" s="1"/>
  <c r="AC30" i="2" s="1"/>
  <c r="AD30" i="2" s="1"/>
  <c r="M30" i="2"/>
  <c r="L30" i="2"/>
  <c r="K30" i="2"/>
  <c r="J30" i="2"/>
  <c r="A30" i="2"/>
  <c r="BC29" i="2"/>
  <c r="BB29" i="2"/>
  <c r="AE29" i="2"/>
  <c r="X29" i="2"/>
  <c r="V29" i="2"/>
  <c r="AC29" i="2" s="1"/>
  <c r="AD29" i="2" s="1"/>
  <c r="M29" i="2"/>
  <c r="L29" i="2"/>
  <c r="K29" i="2"/>
  <c r="J29" i="2"/>
  <c r="A29" i="2"/>
  <c r="BC28" i="2"/>
  <c r="BB28" i="2"/>
  <c r="X28" i="2"/>
  <c r="V28" i="2" s="1"/>
  <c r="AC28" i="2" s="1"/>
  <c r="AE28" i="2" s="1"/>
  <c r="M28" i="2"/>
  <c r="L28" i="2"/>
  <c r="K28" i="2"/>
  <c r="J28" i="2"/>
  <c r="A28" i="2"/>
  <c r="BC27" i="2"/>
  <c r="BB27" i="2"/>
  <c r="AE27" i="2"/>
  <c r="X27" i="2"/>
  <c r="V27" i="2"/>
  <c r="AC27" i="2" s="1"/>
  <c r="AD27" i="2" s="1"/>
  <c r="M27" i="2"/>
  <c r="L27" i="2"/>
  <c r="K27" i="2"/>
  <c r="J27" i="2"/>
  <c r="A27" i="2"/>
  <c r="BC26" i="2"/>
  <c r="BB26" i="2"/>
  <c r="AE26" i="2"/>
  <c r="X26" i="2"/>
  <c r="V26" i="2" s="1"/>
  <c r="AC26" i="2" s="1"/>
  <c r="AD26" i="2" s="1"/>
  <c r="M26" i="2"/>
  <c r="L26" i="2"/>
  <c r="K26" i="2"/>
  <c r="J26" i="2"/>
  <c r="A26" i="2"/>
  <c r="BC25" i="2"/>
  <c r="BB25" i="2"/>
  <c r="AE25" i="2"/>
  <c r="X25" i="2"/>
  <c r="V25" i="2" s="1"/>
  <c r="AC25" i="2" s="1"/>
  <c r="AD25" i="2" s="1"/>
  <c r="M25" i="2"/>
  <c r="L25" i="2"/>
  <c r="K25" i="2"/>
  <c r="J25" i="2"/>
  <c r="A25" i="2"/>
  <c r="BC24" i="2"/>
  <c r="BB24" i="2"/>
  <c r="AE24" i="2"/>
  <c r="X24" i="2"/>
  <c r="V24" i="2"/>
  <c r="AC24" i="2" s="1"/>
  <c r="AD24" i="2" s="1"/>
  <c r="M24" i="2"/>
  <c r="L24" i="2"/>
  <c r="K24" i="2"/>
  <c r="J24" i="2"/>
  <c r="A24" i="2"/>
  <c r="BC23" i="2"/>
  <c r="BB23" i="2"/>
  <c r="AE23" i="2"/>
  <c r="X23" i="2"/>
  <c r="V23" i="2"/>
  <c r="AC23" i="2" s="1"/>
  <c r="AD23" i="2" s="1"/>
  <c r="M23" i="2"/>
  <c r="L23" i="2"/>
  <c r="K23" i="2"/>
  <c r="J23" i="2"/>
  <c r="A23" i="2"/>
  <c r="BC22" i="2"/>
  <c r="BB22" i="2"/>
  <c r="X22" i="2"/>
  <c r="V22" i="2"/>
  <c r="AC22" i="2" s="1"/>
  <c r="M22" i="2"/>
  <c r="L22" i="2"/>
  <c r="K22" i="2"/>
  <c r="J22" i="2"/>
  <c r="A22" i="2"/>
  <c r="BC21" i="2"/>
  <c r="BB21" i="2"/>
  <c r="AE21" i="2"/>
  <c r="X21" i="2"/>
  <c r="V21" i="2" s="1"/>
  <c r="AC21" i="2" s="1"/>
  <c r="AD21" i="2" s="1"/>
  <c r="M21" i="2"/>
  <c r="L21" i="2"/>
  <c r="K21" i="2"/>
  <c r="J21" i="2"/>
  <c r="A21" i="2"/>
  <c r="BC20" i="2"/>
  <c r="BB20" i="2"/>
  <c r="AE20" i="2"/>
  <c r="X20" i="2"/>
  <c r="V20" i="2"/>
  <c r="AC20" i="2" s="1"/>
  <c r="AD20" i="2" s="1"/>
  <c r="M20" i="2"/>
  <c r="L20" i="2"/>
  <c r="K20" i="2"/>
  <c r="J20" i="2"/>
  <c r="A20" i="2"/>
  <c r="BC19" i="2"/>
  <c r="BB19" i="2"/>
  <c r="AE19" i="2"/>
  <c r="X19" i="2"/>
  <c r="V19" i="2"/>
  <c r="AC19" i="2" s="1"/>
  <c r="AD19" i="2" s="1"/>
  <c r="M19" i="2"/>
  <c r="L19" i="2"/>
  <c r="K19" i="2"/>
  <c r="J19" i="2"/>
  <c r="A19" i="2"/>
  <c r="BC18" i="2"/>
  <c r="BB18" i="2"/>
  <c r="AE18" i="2"/>
  <c r="X18" i="2"/>
  <c r="V18" i="2"/>
  <c r="AC18" i="2" s="1"/>
  <c r="AD18" i="2" s="1"/>
  <c r="M18" i="2"/>
  <c r="L18" i="2"/>
  <c r="K18" i="2"/>
  <c r="J18" i="2"/>
  <c r="A18" i="2"/>
  <c r="BC17" i="2"/>
  <c r="BB17" i="2"/>
  <c r="AE17" i="2"/>
  <c r="X17" i="2"/>
  <c r="V17" i="2" s="1"/>
  <c r="AC17" i="2" s="1"/>
  <c r="AD17" i="2" s="1"/>
  <c r="M17" i="2"/>
  <c r="L17" i="2"/>
  <c r="K17" i="2"/>
  <c r="J17" i="2"/>
  <c r="A17" i="2"/>
  <c r="BC16" i="2"/>
  <c r="BB16" i="2"/>
  <c r="X16" i="2"/>
  <c r="V16" i="2" s="1"/>
  <c r="AC16" i="2" s="1"/>
  <c r="M16" i="2"/>
  <c r="L16" i="2"/>
  <c r="K16" i="2"/>
  <c r="J16" i="2"/>
  <c r="A16" i="2"/>
  <c r="BC15" i="2"/>
  <c r="BB15" i="2"/>
  <c r="AE15" i="2"/>
  <c r="X15" i="2"/>
  <c r="V15" i="2"/>
  <c r="AC15" i="2" s="1"/>
  <c r="AD15" i="2" s="1"/>
  <c r="M15" i="2"/>
  <c r="L15" i="2"/>
  <c r="K15" i="2"/>
  <c r="J15" i="2"/>
  <c r="A15" i="2"/>
  <c r="BC14" i="2"/>
  <c r="BB14" i="2"/>
  <c r="AE14" i="2"/>
  <c r="X14" i="2"/>
  <c r="V14" i="2" s="1"/>
  <c r="AC14" i="2" s="1"/>
  <c r="AD14" i="2" s="1"/>
  <c r="M14" i="2"/>
  <c r="L14" i="2"/>
  <c r="K14" i="2"/>
  <c r="J14" i="2"/>
  <c r="A14" i="2"/>
  <c r="BC13" i="2"/>
  <c r="BB13" i="2"/>
  <c r="AE13" i="2"/>
  <c r="X13" i="2"/>
  <c r="V13" i="2"/>
  <c r="AC13" i="2" s="1"/>
  <c r="AD13" i="2" s="1"/>
  <c r="M13" i="2"/>
  <c r="L13" i="2"/>
  <c r="K13" i="2"/>
  <c r="J13" i="2"/>
  <c r="A13" i="2"/>
  <c r="BC12" i="2"/>
  <c r="BB12" i="2"/>
  <c r="AE12" i="2"/>
  <c r="X12" i="2"/>
  <c r="V12" i="2" s="1"/>
  <c r="AC12" i="2" s="1"/>
  <c r="AD12" i="2" s="1"/>
  <c r="M12" i="2"/>
  <c r="L12" i="2"/>
  <c r="K12" i="2"/>
  <c r="J12" i="2"/>
  <c r="A12" i="2"/>
  <c r="BC11" i="2"/>
  <c r="BB11" i="2"/>
  <c r="AE11" i="2"/>
  <c r="X11" i="2"/>
  <c r="V11" i="2" s="1"/>
  <c r="AC11" i="2" s="1"/>
  <c r="AD11" i="2" s="1"/>
  <c r="M11" i="2"/>
  <c r="L11" i="2"/>
  <c r="K11" i="2"/>
  <c r="J11" i="2"/>
  <c r="A11" i="2"/>
  <c r="BC10" i="2"/>
  <c r="BB10" i="2"/>
  <c r="AE10" i="2"/>
  <c r="X10" i="2"/>
  <c r="V10" i="2"/>
  <c r="AC10" i="2" s="1"/>
  <c r="AD10" i="2" s="1"/>
  <c r="M10" i="2"/>
  <c r="L10" i="2"/>
  <c r="K10" i="2"/>
  <c r="J10" i="2"/>
  <c r="A10" i="2"/>
  <c r="BC9" i="2"/>
  <c r="BB9" i="2"/>
  <c r="AE9" i="2"/>
  <c r="X9" i="2"/>
  <c r="V9" i="2" s="1"/>
  <c r="AC9" i="2" s="1"/>
  <c r="AD9" i="2" s="1"/>
  <c r="M9" i="2"/>
  <c r="L9" i="2"/>
  <c r="K9" i="2"/>
  <c r="J9" i="2"/>
  <c r="A9" i="2"/>
  <c r="BC8" i="2"/>
  <c r="BB8" i="2"/>
  <c r="AE8" i="2"/>
  <c r="X8" i="2"/>
  <c r="V8" i="2"/>
  <c r="AC8" i="2" s="1"/>
  <c r="AD8" i="2" s="1"/>
  <c r="M8" i="2"/>
  <c r="L8" i="2"/>
  <c r="K8" i="2"/>
  <c r="J8" i="2"/>
  <c r="A8" i="2"/>
  <c r="BC7" i="2"/>
  <c r="BB7" i="2"/>
  <c r="AE7" i="2"/>
  <c r="X7" i="2"/>
  <c r="V7" i="2"/>
  <c r="AC7" i="2" s="1"/>
  <c r="AD7" i="2" s="1"/>
  <c r="M7" i="2"/>
  <c r="L7" i="2"/>
  <c r="K7" i="2"/>
  <c r="J7" i="2"/>
  <c r="A7" i="2"/>
  <c r="BC6" i="2"/>
  <c r="BB6" i="2"/>
  <c r="AE6" i="2"/>
  <c r="X6" i="2"/>
  <c r="V6" i="2" s="1"/>
  <c r="AC6" i="2" s="1"/>
  <c r="AD6" i="2" s="1"/>
  <c r="M6" i="2"/>
  <c r="L6" i="2"/>
  <c r="J6" i="2"/>
  <c r="A6" i="2"/>
  <c r="BC5" i="2"/>
  <c r="BB5" i="2"/>
  <c r="AE5" i="2"/>
  <c r="AD5" i="2"/>
  <c r="X5" i="2"/>
  <c r="V5" i="2"/>
  <c r="AC5" i="2" s="1"/>
  <c r="M5" i="2"/>
  <c r="L5" i="2"/>
  <c r="K5" i="2"/>
  <c r="J5" i="2"/>
  <c r="A5" i="2"/>
  <c r="BC4" i="2"/>
  <c r="BB4" i="2"/>
  <c r="AE4" i="2"/>
  <c r="X4" i="2"/>
  <c r="V4" i="2"/>
  <c r="AC4" i="2" s="1"/>
  <c r="AD4" i="2" s="1"/>
  <c r="M4" i="2"/>
  <c r="L4" i="2"/>
  <c r="K4" i="2"/>
  <c r="J4" i="2"/>
  <c r="A4" i="2"/>
  <c r="BC3" i="2"/>
  <c r="BB3" i="2"/>
  <c r="AE3" i="2"/>
  <c r="X3" i="2"/>
  <c r="V3" i="2" a="1"/>
  <c r="V3" i="2" s="1"/>
  <c r="AC3" i="2" s="1"/>
  <c r="M3" i="2"/>
  <c r="L3" i="2"/>
  <c r="K3" i="2"/>
  <c r="J3" i="2"/>
  <c r="A3" i="2"/>
  <c r="AE22" i="2" l="1"/>
  <c r="AD22" i="2"/>
  <c r="AE204" i="2"/>
  <c r="AD28" i="2"/>
  <c r="AD99" i="2"/>
  <c r="AD16" i="2"/>
  <c r="AE16" i="2"/>
  <c r="AD66" i="2"/>
  <c r="AE66" i="2"/>
  <c r="AE92" i="2"/>
  <c r="AD92" i="2"/>
  <c r="AE95" i="2"/>
  <c r="AD95" i="2"/>
  <c r="AE64" i="2"/>
  <c r="AD64" i="2"/>
  <c r="AD65" i="2"/>
  <c r="AE125" i="2"/>
  <c r="AD125" i="2"/>
  <c r="AD192" i="2"/>
  <c r="AE192" i="2"/>
  <c r="AE206" i="2"/>
  <c r="AD20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백기훈</author>
    <author>TBELL</author>
    <author>TB-NTB-087</author>
    <author>TBELL-LT004</author>
  </authors>
  <commentList>
    <comment ref="AQ2" authorId="0" shapeId="0" xr:uid="{CB2C638D-9744-4779-9BFB-88C62221E25A}">
      <text>
        <r>
          <rPr>
            <sz val="11"/>
            <color theme="1"/>
            <rFont val="Arial"/>
            <family val="2"/>
          </rPr>
          <t>======
ID#AAAAH2z9KKk
TBELL    (2020-12-01 01:16:03)
ITSQF(IT Sectoral Qualifications Framework)</t>
        </r>
        <r>
          <rPr>
            <sz val="11"/>
            <color theme="1"/>
            <rFont val="돋움"/>
            <family val="3"/>
            <charset val="129"/>
          </rPr>
          <t>직무체계</t>
        </r>
        <r>
          <rPr>
            <sz val="11"/>
            <color theme="1"/>
            <rFont val="Arial"/>
            <family val="2"/>
          </rPr>
          <t xml:space="preserve"> </t>
        </r>
        <r>
          <rPr>
            <sz val="11"/>
            <color theme="1"/>
            <rFont val="돋움"/>
            <family val="3"/>
            <charset val="129"/>
          </rPr>
          <t>기준</t>
        </r>
      </text>
    </comment>
    <comment ref="J6" authorId="1" shapeId="0" xr:uid="{45BAAF42-7D8B-402F-8ADD-3D1A8D58261B}">
      <text>
        <r>
          <rPr>
            <b/>
            <sz val="10"/>
            <color indexed="81"/>
            <rFont val="Tahoma"/>
            <family val="2"/>
          </rPr>
          <t>3</t>
        </r>
        <r>
          <rPr>
            <b/>
            <sz val="10"/>
            <color indexed="81"/>
            <rFont val="돋움"/>
            <family val="3"/>
            <charset val="129"/>
          </rPr>
          <t>월</t>
        </r>
        <r>
          <rPr>
            <b/>
            <sz val="10"/>
            <color indexed="81"/>
            <rFont val="Tahoma"/>
            <family val="2"/>
          </rPr>
          <t>25</t>
        </r>
        <r>
          <rPr>
            <b/>
            <sz val="10"/>
            <color indexed="81"/>
            <rFont val="돋움"/>
            <family val="3"/>
            <charset val="129"/>
          </rPr>
          <t>일
음력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생일로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처리</t>
        </r>
      </text>
    </comment>
    <comment ref="W8" authorId="2" shapeId="0" xr:uid="{16ADBCA9-FCCD-4560-9D3F-F70A3D9C3A90}">
      <text>
        <r>
          <rPr>
            <sz val="9"/>
            <color indexed="81"/>
            <rFont val="돋움"/>
            <family val="3"/>
            <charset val="129"/>
          </rPr>
          <t>경력잘못됐엇음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지금이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</t>
        </r>
      </text>
    </comment>
    <comment ref="D80" authorId="1" shapeId="0" xr:uid="{F3642636-7B29-47E2-9D07-A788994B5910}">
      <text>
        <r>
          <rPr>
            <b/>
            <sz val="10"/>
            <color indexed="81"/>
            <rFont val="Tahoma"/>
            <family val="2"/>
          </rPr>
          <t xml:space="preserve">8/1~8/31
</t>
        </r>
        <r>
          <rPr>
            <b/>
            <sz val="10"/>
            <color indexed="81"/>
            <rFont val="돋움"/>
            <family val="3"/>
            <charset val="129"/>
          </rPr>
          <t>어머니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명의
</t>
        </r>
        <r>
          <rPr>
            <b/>
            <sz val="10"/>
            <color indexed="81"/>
            <rFont val="Tahoma"/>
            <family val="2"/>
          </rPr>
          <t xml:space="preserve">9/1 </t>
        </r>
        <r>
          <rPr>
            <b/>
            <sz val="10"/>
            <color indexed="81"/>
            <rFont val="돋움"/>
            <family val="3"/>
            <charset val="129"/>
          </rPr>
          <t>정규직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전환</t>
        </r>
      </text>
    </comment>
    <comment ref="AT80" authorId="3" shapeId="0" xr:uid="{0A1E700D-8BA8-408B-9A8B-D5C46BFDE215}">
      <text>
        <r>
          <rPr>
            <b/>
            <sz val="9"/>
            <color indexed="81"/>
            <rFont val="돋움"/>
            <family val="3"/>
            <charset val="129"/>
          </rPr>
          <t>정보
이름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황영숙
계좌</t>
        </r>
        <r>
          <rPr>
            <b/>
            <sz val="9"/>
            <color indexed="81"/>
            <rFont val="Tahoma"/>
            <family val="2"/>
          </rPr>
          <t xml:space="preserve"> : 1000-7442-7826(</t>
        </r>
        <r>
          <rPr>
            <b/>
            <sz val="9"/>
            <color indexed="81"/>
            <rFont val="돋움"/>
            <family val="3"/>
            <charset val="129"/>
          </rPr>
          <t>토스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96" authorId="4" shapeId="0" xr:uid="{D3C82A2B-1632-45BF-B49D-468CE7B65A13}">
      <text>
        <r>
          <rPr>
            <b/>
            <sz val="9"/>
            <color indexed="81"/>
            <rFont val="Tahoma"/>
            <family val="2"/>
          </rPr>
          <t>25.10.30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육아휴직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출산전후휴가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통합본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A174" authorId="3" shapeId="0" xr:uid="{D7367D46-6FFC-4842-A31C-18FF97C89A5E}">
      <text>
        <r>
          <rPr>
            <b/>
            <sz val="9"/>
            <color indexed="81"/>
            <rFont val="돋움"/>
            <family val="3"/>
            <charset val="129"/>
          </rPr>
          <t>재학중</t>
        </r>
      </text>
    </comment>
    <comment ref="C179" authorId="3" shapeId="0" xr:uid="{B452AD8C-2F10-40DC-BC78-BCCB4145B777}">
      <text>
        <r>
          <rPr>
            <b/>
            <sz val="9"/>
            <color indexed="81"/>
            <rFont val="Tahoma"/>
            <family val="2"/>
          </rPr>
          <t>25.06.16~25.09.30</t>
        </r>
        <r>
          <rPr>
            <b/>
            <sz val="9"/>
            <color indexed="81"/>
            <rFont val="돋움"/>
            <family val="3"/>
            <charset val="129"/>
          </rPr>
          <t>까지는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프리랜서
이후에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정규직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전환예정</t>
        </r>
      </text>
    </comment>
    <comment ref="C180" authorId="3" shapeId="0" xr:uid="{E30D99C1-165B-437E-8B58-A8422C6FF568}">
      <text>
        <r>
          <rPr>
            <b/>
            <sz val="9"/>
            <color indexed="81"/>
            <rFont val="돋움"/>
            <family val="3"/>
            <charset val="129"/>
          </rPr>
          <t>우리카드 투입인력 프로필 제출로 인하여 사대보험 취득(25.06), 실제 입사는 8월 적용</t>
        </r>
      </text>
    </comment>
    <comment ref="C181" authorId="3" shapeId="0" xr:uid="{C34CABD7-FEB0-4ACE-94CE-A9B20772DC4D}">
      <text>
        <r>
          <rPr>
            <b/>
            <sz val="9"/>
            <color indexed="81"/>
            <rFont val="돋움"/>
            <family val="3"/>
            <charset val="129"/>
          </rPr>
          <t>매력일자리사업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매칭데이</t>
        </r>
        <r>
          <rPr>
            <b/>
            <sz val="9"/>
            <color indexed="81"/>
            <rFont val="Tahoma"/>
            <family val="2"/>
          </rPr>
          <t>)
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인턴비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정규직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 xml:space="preserve">]
1) </t>
        </r>
        <r>
          <rPr>
            <b/>
            <sz val="9"/>
            <color indexed="81"/>
            <rFont val="돋움"/>
            <family val="3"/>
            <charset val="129"/>
          </rPr>
          <t>계약직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기간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2,461,811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(4</t>
        </r>
        <r>
          <rPr>
            <b/>
            <sz val="9"/>
            <color indexed="81"/>
            <rFont val="돋움"/>
            <family val="3"/>
            <charset val="129"/>
          </rPr>
          <t>대보험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식대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비과세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b/>
            <sz val="9"/>
            <color indexed="81"/>
            <rFont val="Tahoma"/>
            <family val="2"/>
          </rPr>
          <t xml:space="preserve">)
2) </t>
        </r>
        <r>
          <rPr>
            <b/>
            <sz val="9"/>
            <color indexed="81"/>
            <rFont val="돋움"/>
            <family val="3"/>
            <charset val="129"/>
          </rPr>
          <t>정규직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기간
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연봉</t>
        </r>
        <r>
          <rPr>
            <b/>
            <sz val="9"/>
            <color indexed="81"/>
            <rFont val="Tahoma"/>
            <family val="2"/>
          </rPr>
          <t xml:space="preserve"> 2,800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식대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비과세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AA181" authorId="3" shapeId="0" xr:uid="{A4A4C893-7C71-450F-B7D2-711C32352A3C}">
      <text>
        <r>
          <rPr>
            <b/>
            <sz val="9"/>
            <color indexed="81"/>
            <rFont val="돋움"/>
            <family val="3"/>
            <charset val="129"/>
          </rPr>
          <t>제적</t>
        </r>
      </text>
    </comment>
    <comment ref="C194" authorId="4" shapeId="0" xr:uid="{8417B96C-B70D-435F-8124-1042BB8CE0F3}">
      <text>
        <r>
          <rPr>
            <b/>
            <sz val="9"/>
            <color indexed="81"/>
            <rFont val="돋움"/>
            <family val="3"/>
            <charset val="129"/>
          </rPr>
          <t>연봉에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팀장수당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별도지급</t>
        </r>
        <r>
          <rPr>
            <b/>
            <sz val="9"/>
            <color indexed="81"/>
            <rFont val="Tahoma"/>
            <family val="2"/>
          </rPr>
          <t xml:space="preserve">X)
</t>
        </r>
      </text>
    </comment>
    <comment ref="C230" authorId="4" shapeId="0" xr:uid="{65EAB98F-9CE6-4C9C-80CA-586ACBB41DAB}">
      <text>
        <r>
          <rPr>
            <b/>
            <sz val="9"/>
            <color indexed="81"/>
            <rFont val="Tahoma"/>
            <family val="2"/>
          </rPr>
          <t>TBELL-LT004: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<sst xmlns="http://schemas.openxmlformats.org/spreadsheetml/2006/main" count="5460" uniqueCount="2747">
  <si>
    <t>1</t>
    <phoneticPr fontId="5" type="noConversion"/>
  </si>
  <si>
    <t>2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</si>
  <si>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</si>
  <si>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</si>
  <si>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</si>
  <si>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</si>
  <si>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</si>
  <si>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</si>
  <si>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</si>
  <si>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</si>
  <si>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</si>
  <si>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</si>
  <si>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</si>
  <si>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</si>
  <si>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</si>
  <si>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</si>
  <si>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</si>
  <si>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</si>
  <si>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</si>
  <si>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</si>
  <si>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</si>
  <si>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</si>
  <si>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</si>
  <si>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</si>
  <si>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</si>
  <si>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</si>
  <si>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</si>
  <si>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</si>
  <si>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</si>
  <si>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</si>
  <si>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</si>
  <si>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</si>
  <si>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</si>
  <si>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</si>
  <si>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</si>
  <si>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</si>
  <si>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</si>
  <si>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</si>
  <si>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</si>
  <si>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</si>
  <si>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</si>
  <si>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</si>
  <si>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</si>
  <si>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</si>
  <si>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</si>
  <si>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</si>
  <si>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</si>
  <si>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</si>
  <si>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</si>
  <si>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</si>
  <si>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</si>
  <si>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</si>
  <si>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</si>
  <si>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</si>
  <si>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순번</t>
    <phoneticPr fontId="5" type="noConversion"/>
  </si>
  <si>
    <t>사번</t>
    <phoneticPr fontId="5" type="noConversion"/>
  </si>
  <si>
    <t>성명</t>
    <phoneticPr fontId="5" type="noConversion"/>
  </si>
  <si>
    <t>최초입사일</t>
  </si>
  <si>
    <t>정규전환일</t>
    <phoneticPr fontId="5" type="noConversion"/>
  </si>
  <si>
    <t>적치적용일</t>
    <phoneticPr fontId="5" type="noConversion"/>
  </si>
  <si>
    <t>퇴직일자</t>
    <phoneticPr fontId="5" type="noConversion"/>
  </si>
  <si>
    <t>영문명</t>
  </si>
  <si>
    <t>주민번호</t>
  </si>
  <si>
    <t>생년월일</t>
    <phoneticPr fontId="5" type="noConversion"/>
  </si>
  <si>
    <t>생일월</t>
    <phoneticPr fontId="5" type="noConversion"/>
  </si>
  <si>
    <t>성별</t>
    <phoneticPr fontId="5" type="noConversion"/>
  </si>
  <si>
    <t>나이</t>
    <phoneticPr fontId="5" type="noConversion"/>
  </si>
  <si>
    <t>양력/음력</t>
    <phoneticPr fontId="5" type="noConversion"/>
  </si>
  <si>
    <t>국적</t>
    <phoneticPr fontId="5" type="noConversion"/>
  </si>
  <si>
    <t>전화번호</t>
    <phoneticPr fontId="5" type="noConversion"/>
  </si>
  <si>
    <t>재직구분</t>
    <phoneticPr fontId="5" type="noConversion"/>
  </si>
  <si>
    <t>결혼유무</t>
    <phoneticPr fontId="5" type="noConversion"/>
  </si>
  <si>
    <t>결혼기념일</t>
    <phoneticPr fontId="5" type="noConversion"/>
  </si>
  <si>
    <t>법인</t>
    <phoneticPr fontId="5" type="noConversion"/>
  </si>
  <si>
    <t>한자명</t>
    <phoneticPr fontId="5" type="noConversion"/>
  </si>
  <si>
    <t>총업무경력</t>
  </si>
  <si>
    <t>전SW경력</t>
  </si>
  <si>
    <t>재직기간</t>
  </si>
  <si>
    <t>최종학교</t>
  </si>
  <si>
    <t>전공</t>
    <phoneticPr fontId="5" type="noConversion"/>
  </si>
  <si>
    <t>최종학력</t>
  </si>
  <si>
    <t>졸업일</t>
    <phoneticPr fontId="5" type="noConversion"/>
  </si>
  <si>
    <t>지우면안돼</t>
  </si>
  <si>
    <t>등급(경력+학력)</t>
  </si>
  <si>
    <t>등급(자격증)</t>
    <phoneticPr fontId="5" type="noConversion"/>
  </si>
  <si>
    <t>CSTS</t>
    <phoneticPr fontId="5" type="noConversion"/>
  </si>
  <si>
    <t>취득일</t>
    <phoneticPr fontId="5" type="noConversion"/>
  </si>
  <si>
    <t>ISTQB</t>
    <phoneticPr fontId="5" type="noConversion"/>
  </si>
  <si>
    <t>취득일2</t>
    <phoneticPr fontId="5" type="noConversion"/>
  </si>
  <si>
    <t>정보처리기사</t>
    <phoneticPr fontId="5" type="noConversion"/>
  </si>
  <si>
    <t>취득일3</t>
    <phoneticPr fontId="5" type="noConversion"/>
  </si>
  <si>
    <t>정보처리산업기사</t>
    <phoneticPr fontId="5" type="noConversion"/>
  </si>
  <si>
    <t>취득일4</t>
    <phoneticPr fontId="5" type="noConversion"/>
  </si>
  <si>
    <t>기타</t>
    <phoneticPr fontId="5" type="noConversion"/>
  </si>
  <si>
    <t>발행기관</t>
  </si>
  <si>
    <t>취득년월</t>
    <phoneticPr fontId="5" type="noConversion"/>
  </si>
  <si>
    <t>분야</t>
  </si>
  <si>
    <t>직무2</t>
  </si>
  <si>
    <t>은행</t>
    <phoneticPr fontId="5" type="noConversion"/>
  </si>
  <si>
    <t>계좌번호</t>
  </si>
  <si>
    <t>본인과의 관계</t>
  </si>
  <si>
    <t>비상연락처</t>
  </si>
  <si>
    <t>그룹웨어 이메일</t>
    <phoneticPr fontId="5" type="noConversion"/>
  </si>
  <si>
    <t>주요시도</t>
    <phoneticPr fontId="5" type="noConversion"/>
  </si>
  <si>
    <t>자치시구</t>
    <phoneticPr fontId="5" type="noConversion"/>
  </si>
  <si>
    <t>상세주소</t>
    <phoneticPr fontId="5" type="noConversion"/>
  </si>
  <si>
    <t>상세주소3</t>
  </si>
  <si>
    <t>거주지역</t>
    <phoneticPr fontId="5" type="noConversion"/>
  </si>
  <si>
    <t>상세주소4</t>
  </si>
  <si>
    <t>김종균</t>
    <phoneticPr fontId="5" type="noConversion"/>
  </si>
  <si>
    <t>831124-1113419</t>
    <phoneticPr fontId="5" type="noConversion"/>
  </si>
  <si>
    <t>양력</t>
    <phoneticPr fontId="5" type="noConversion"/>
  </si>
  <si>
    <t>한국</t>
    <phoneticPr fontId="5" type="noConversion"/>
  </si>
  <si>
    <t>010-5749-8009</t>
    <phoneticPr fontId="5" type="noConversion"/>
  </si>
  <si>
    <t>TBELL</t>
    <phoneticPr fontId="5" type="noConversion"/>
  </si>
  <si>
    <t>0년0개월</t>
    <phoneticPr fontId="5" type="noConversion"/>
  </si>
  <si>
    <t>전문학사</t>
    <phoneticPr fontId="5" type="noConversion"/>
  </si>
  <si>
    <t>특급</t>
    <phoneticPr fontId="5" type="noConversion"/>
  </si>
  <si>
    <t>정보기술컨설팅</t>
    <phoneticPr fontId="5" type="noConversion"/>
  </si>
  <si>
    <t>처</t>
    <phoneticPr fontId="5" type="noConversion"/>
  </si>
  <si>
    <t>010-5749-8009</t>
  </si>
  <si>
    <t>jg.kim@tbell.co.kr</t>
    <phoneticPr fontId="5" type="noConversion"/>
  </si>
  <si>
    <t>서울시</t>
    <phoneticPr fontId="5" type="noConversion"/>
  </si>
  <si>
    <t>서대문구</t>
    <phoneticPr fontId="5" type="noConversion"/>
  </si>
  <si>
    <t>세무서8길 30 홍제역 효성해링턴플레이스 113동 1802호</t>
    <phoneticPr fontId="5" type="noConversion"/>
  </si>
  <si>
    <t>강현규</t>
    <phoneticPr fontId="5" type="noConversion"/>
  </si>
  <si>
    <t>KANG, HyeonKyu</t>
  </si>
  <si>
    <t>821030-1012027</t>
    <phoneticPr fontId="5" type="noConversion"/>
  </si>
  <si>
    <t>010-6388-7664</t>
    <phoneticPr fontId="5" type="noConversion"/>
  </si>
  <si>
    <t>유</t>
    <phoneticPr fontId="5" type="noConversion"/>
  </si>
  <si>
    <t>10년 10개월</t>
    <phoneticPr fontId="5" type="noConversion"/>
  </si>
  <si>
    <t>동국대학교전산원</t>
    <phoneticPr fontId="5" type="noConversion"/>
  </si>
  <si>
    <t>멀티미디어</t>
    <phoneticPr fontId="5" type="noConversion"/>
  </si>
  <si>
    <t xml:space="preserve">
 컴퓨터활용능력
 워드프로세서</t>
    <phoneticPr fontId="5" type="noConversion"/>
  </si>
  <si>
    <t>ISTQB</t>
  </si>
  <si>
    <t>아키텍처</t>
    <phoneticPr fontId="5" type="noConversion"/>
  </si>
  <si>
    <t>경영지원</t>
    <phoneticPr fontId="5" type="noConversion"/>
  </si>
  <si>
    <t>기업은행</t>
    <phoneticPr fontId="4" type="noConversion"/>
  </si>
  <si>
    <t>122-068082-01-018</t>
    <phoneticPr fontId="5" type="noConversion"/>
  </si>
  <si>
    <t>010-9126-0218</t>
  </si>
  <si>
    <t>hk.kang@tbell.co.kr</t>
    <phoneticPr fontId="5" type="noConversion"/>
  </si>
  <si>
    <t>경기도</t>
    <phoneticPr fontId="5" type="noConversion"/>
  </si>
  <si>
    <t>고양시</t>
    <phoneticPr fontId="5" type="noConversion"/>
  </si>
  <si>
    <t>덕양구</t>
  </si>
  <si>
    <t>덕양구 성신로99, 1909 1501호(행신동, 햇빛마을 19단지 공무원 아파트)</t>
    <phoneticPr fontId="5" type="noConversion"/>
  </si>
  <si>
    <t>강성희</t>
    <phoneticPr fontId="5" type="noConversion"/>
  </si>
  <si>
    <t>830509-2065313</t>
    <phoneticPr fontId="5" type="noConversion"/>
  </si>
  <si>
    <t>010-9589-5859</t>
    <phoneticPr fontId="5" type="noConversion"/>
  </si>
  <si>
    <t>4년 9개월</t>
    <phoneticPr fontId="5" type="noConversion"/>
  </si>
  <si>
    <t>동원대학교</t>
    <phoneticPr fontId="5" type="noConversion"/>
  </si>
  <si>
    <t>교육서비스문헌정보과</t>
    <phoneticPr fontId="5" type="noConversion"/>
  </si>
  <si>
    <t>워드프로세스 2급
컴퓨터활용능력 3급</t>
  </si>
  <si>
    <t>대한상공회의소
대한상공회의소</t>
  </si>
  <si>
    <t>1999.11
2001.06</t>
  </si>
  <si>
    <t>IT기획 및 품질관리</t>
    <phoneticPr fontId="5" type="noConversion"/>
  </si>
  <si>
    <t>테스팅 엔지니어</t>
    <phoneticPr fontId="5" type="noConversion"/>
  </si>
  <si>
    <t>248-009498-01-029</t>
    <phoneticPr fontId="5" type="noConversion"/>
  </si>
  <si>
    <t>모</t>
    <phoneticPr fontId="5" type="noConversion"/>
  </si>
  <si>
    <t>010-2588-0245</t>
  </si>
  <si>
    <t>sh.kang@tbell.co.kr</t>
    <phoneticPr fontId="5" type="noConversion"/>
  </si>
  <si>
    <t>금천구</t>
    <phoneticPr fontId="5" type="noConversion"/>
  </si>
  <si>
    <t>시흥대로94길 33-4 3층 (독산동 1058-20)</t>
    <phoneticPr fontId="5" type="noConversion"/>
  </si>
  <si>
    <t>서동한</t>
    <phoneticPr fontId="5" type="noConversion"/>
  </si>
  <si>
    <t>Seo, Dang Han</t>
    <phoneticPr fontId="5" type="noConversion"/>
  </si>
  <si>
    <t>890218-1054222</t>
    <phoneticPr fontId="5" type="noConversion"/>
  </si>
  <si>
    <t>음력</t>
    <phoneticPr fontId="5" type="noConversion"/>
  </si>
  <si>
    <t>010-4101-4909</t>
    <phoneticPr fontId="5" type="noConversion"/>
  </si>
  <si>
    <t>무</t>
    <phoneticPr fontId="5" type="noConversion"/>
  </si>
  <si>
    <t>0년2개월</t>
    <phoneticPr fontId="5" type="noConversion"/>
  </si>
  <si>
    <t>한신대학교</t>
    <phoneticPr fontId="5" type="noConversion"/>
  </si>
  <si>
    <t>정보통신학</t>
    <phoneticPr fontId="5" type="noConversion"/>
  </si>
  <si>
    <t>학사</t>
    <phoneticPr fontId="5" type="noConversion"/>
  </si>
  <si>
    <t>네트워크관리사 2급
자동차운전면허 1종 보통</t>
  </si>
  <si>
    <t>한국정보통신자격협회
경기지방경찰청</t>
  </si>
  <si>
    <t>2012.12.11
2012.02.14</t>
    <phoneticPr fontId="5" type="noConversion"/>
  </si>
  <si>
    <t>326-119130-01-010</t>
    <phoneticPr fontId="5" type="noConversion"/>
  </si>
  <si>
    <t>부</t>
    <phoneticPr fontId="5" type="noConversion"/>
  </si>
  <si>
    <t>010-5287-1237</t>
  </si>
  <si>
    <t>dh.seo@tbell.co.kr</t>
    <phoneticPr fontId="5" type="noConversion"/>
  </si>
  <si>
    <t>안산시</t>
    <phoneticPr fontId="5" type="noConversion"/>
  </si>
  <si>
    <t>단원구</t>
    <phoneticPr fontId="4" type="noConversion"/>
  </si>
  <si>
    <t>단원구 광덕3로 241, 4층 (고잔동 760-2)</t>
    <phoneticPr fontId="5" type="noConversion"/>
  </si>
  <si>
    <t>조현균</t>
    <phoneticPr fontId="5" type="noConversion"/>
  </si>
  <si>
    <t>Cho, Hyun Gyun</t>
    <phoneticPr fontId="5" type="noConversion"/>
  </si>
  <si>
    <t>860429-1382113</t>
    <phoneticPr fontId="5" type="noConversion"/>
  </si>
  <si>
    <t>010-8903-8016</t>
    <phoneticPr fontId="5" type="noConversion"/>
  </si>
  <si>
    <t>8년 5개월</t>
    <phoneticPr fontId="5" type="noConversion"/>
  </si>
  <si>
    <t>두원공과대</t>
    <phoneticPr fontId="5" type="noConversion"/>
  </si>
  <si>
    <t>정보통신미디어계열</t>
    <phoneticPr fontId="5" type="noConversion"/>
  </si>
  <si>
    <t>KSTQB
한국정보통신기술협회</t>
    <phoneticPr fontId="5" type="noConversion"/>
  </si>
  <si>
    <t>2020.07
2021.09.03</t>
    <phoneticPr fontId="5" type="noConversion"/>
  </si>
  <si>
    <t>607-022578-01-018</t>
    <phoneticPr fontId="5" type="noConversion"/>
  </si>
  <si>
    <t>010-4931-8016</t>
  </si>
  <si>
    <t>hg.cho@tbell.co.kr</t>
    <phoneticPr fontId="5" type="noConversion"/>
  </si>
  <si>
    <t>수원시</t>
    <phoneticPr fontId="5" type="noConversion"/>
  </si>
  <si>
    <t>팔달구</t>
    <phoneticPr fontId="4" type="noConversion"/>
  </si>
  <si>
    <t>경수대로 534, 102동 401호 (인계동 945, 인계극동스타클래스)</t>
    <phoneticPr fontId="5" type="noConversion"/>
  </si>
  <si>
    <t>조소영</t>
    <phoneticPr fontId="5" type="noConversion"/>
  </si>
  <si>
    <t>Jo, So Young</t>
    <phoneticPr fontId="5" type="noConversion"/>
  </si>
  <si>
    <t>900424-2163820</t>
    <phoneticPr fontId="5" type="noConversion"/>
  </si>
  <si>
    <t>010-9189-7381</t>
    <phoneticPr fontId="5" type="noConversion"/>
  </si>
  <si>
    <t>4년 8개월</t>
    <phoneticPr fontId="5" type="noConversion"/>
  </si>
  <si>
    <t>용인송담대학교</t>
    <phoneticPr fontId="5" type="noConversion"/>
  </si>
  <si>
    <t>멀티미디어영상과</t>
    <phoneticPr fontId="5" type="noConversion"/>
  </si>
  <si>
    <t>워드프로세스
MOS Excel 2003
MOS Powerpoint 2003</t>
  </si>
  <si>
    <t>대한상공회의소
MS
MS</t>
  </si>
  <si>
    <t>2001.12.26
2010.09.17
2010.10.01</t>
  </si>
  <si>
    <t>065-135562-01-013</t>
    <phoneticPr fontId="5" type="noConversion"/>
  </si>
  <si>
    <t>010-5039-9118</t>
  </si>
  <si>
    <t>sy.jo@tbell.co.kr</t>
    <phoneticPr fontId="5" type="noConversion"/>
  </si>
  <si>
    <t>권선구</t>
    <phoneticPr fontId="4" type="noConversion"/>
  </si>
  <si>
    <t>경수대로 302번길 29, 4동 501호 (권선제2동 1185-1, 권선삼성아파트)</t>
    <phoneticPr fontId="5" type="noConversion"/>
  </si>
  <si>
    <t>정성우</t>
    <phoneticPr fontId="5" type="noConversion"/>
  </si>
  <si>
    <t>Jung, Sung Woo</t>
    <phoneticPr fontId="5" type="noConversion"/>
  </si>
  <si>
    <t>810306-1167610</t>
    <phoneticPr fontId="5" type="noConversion"/>
  </si>
  <si>
    <t>010-5547-9612</t>
    <phoneticPr fontId="5" type="noConversion"/>
  </si>
  <si>
    <t>9년 10개월</t>
    <phoneticPr fontId="5" type="noConversion"/>
  </si>
  <si>
    <t>정보통신과</t>
    <phoneticPr fontId="5" type="noConversion"/>
  </si>
  <si>
    <t>정보기기운용기능사
정보처리기능사
무선통신기능사
워드프로세서 1급
교원자격증(실기교사-통신)
新JLPT N2</t>
    <phoneticPr fontId="5" type="noConversion"/>
  </si>
  <si>
    <t>한국산업인력공단
한국산업인력공단
한국산업인력공단
대한상공회의소
교원인적자원부
국제교류기금</t>
  </si>
  <si>
    <t>1999.04
1999.06
1999.07
1999.11
2005.02
2017.08</t>
  </si>
  <si>
    <t>013-125229-01-010</t>
    <phoneticPr fontId="5" type="noConversion"/>
  </si>
  <si>
    <t>010-9382-9612</t>
    <phoneticPr fontId="5" type="noConversion"/>
  </si>
  <si>
    <t>sw.jung@tbell.co.kr</t>
    <phoneticPr fontId="5" type="noConversion"/>
  </si>
  <si>
    <t>성남시</t>
    <phoneticPr fontId="5" type="noConversion"/>
  </si>
  <si>
    <t>수정구</t>
    <phoneticPr fontId="4" type="noConversion"/>
  </si>
  <si>
    <t>수정로 251번길 22 신원빌리지 102동 302호</t>
    <phoneticPr fontId="5" type="noConversion"/>
  </si>
  <si>
    <t>전광희</t>
    <phoneticPr fontId="5" type="noConversion"/>
  </si>
  <si>
    <t>Jeon, Gwang Hee</t>
    <phoneticPr fontId="5" type="noConversion"/>
  </si>
  <si>
    <t>920409-1187228</t>
    <phoneticPr fontId="5" type="noConversion"/>
  </si>
  <si>
    <t>010-4168-4630</t>
    <phoneticPr fontId="5" type="noConversion"/>
  </si>
  <si>
    <t>1년 8개월</t>
    <phoneticPr fontId="5" type="noConversion"/>
  </si>
  <si>
    <t>컴퓨터게임과</t>
    <phoneticPr fontId="5" type="noConversion"/>
  </si>
  <si>
    <t>534-026781-01-015</t>
    <phoneticPr fontId="5" type="noConversion"/>
  </si>
  <si>
    <t>010-2657-4630</t>
  </si>
  <si>
    <t>gh.jeon@tbell.co.kr</t>
    <phoneticPr fontId="5" type="noConversion"/>
  </si>
  <si>
    <t>구로구</t>
    <phoneticPr fontId="5" type="noConversion"/>
  </si>
  <si>
    <t>부일로17길 147 4층</t>
    <phoneticPr fontId="5" type="noConversion"/>
  </si>
  <si>
    <t>김재완</t>
    <phoneticPr fontId="5" type="noConversion"/>
  </si>
  <si>
    <t>Kim, Jae Wan</t>
    <phoneticPr fontId="5" type="noConversion"/>
  </si>
  <si>
    <t>920208-1238814</t>
    <phoneticPr fontId="5" type="noConversion"/>
  </si>
  <si>
    <t>010-9001-4697</t>
    <phoneticPr fontId="5" type="noConversion"/>
  </si>
  <si>
    <t>1년3개월</t>
    <phoneticPr fontId="5" type="noConversion"/>
  </si>
  <si>
    <t>청강문화산업대학교</t>
    <phoneticPr fontId="5" type="noConversion"/>
  </si>
  <si>
    <t>E스포츠게임과</t>
    <phoneticPr fontId="5" type="noConversion"/>
  </si>
  <si>
    <t>2017.12.05</t>
  </si>
  <si>
    <t>001-623506-01-018</t>
    <phoneticPr fontId="5" type="noConversion"/>
  </si>
  <si>
    <t>010-6322-4697</t>
    <phoneticPr fontId="5" type="noConversion"/>
  </si>
  <si>
    <t>jw.kim@tbell.co.kr</t>
    <phoneticPr fontId="5" type="noConversion"/>
  </si>
  <si>
    <t>부천시</t>
    <phoneticPr fontId="5" type="noConversion"/>
  </si>
  <si>
    <t>원미구</t>
    <phoneticPr fontId="5" type="noConversion"/>
  </si>
  <si>
    <t>부일로 232, 102동 2108호 (상동)</t>
    <phoneticPr fontId="5" type="noConversion"/>
  </si>
  <si>
    <t>이정훈</t>
    <phoneticPr fontId="5" type="noConversion"/>
  </si>
  <si>
    <t>910629-1285511</t>
    <phoneticPr fontId="5" type="noConversion"/>
  </si>
  <si>
    <t>010-2082-2969</t>
    <phoneticPr fontId="5" type="noConversion"/>
  </si>
  <si>
    <t>6년 5개월</t>
    <phoneticPr fontId="5" type="noConversion"/>
  </si>
  <si>
    <t>태백기계공업고등학교</t>
    <phoneticPr fontId="5" type="noConversion"/>
  </si>
  <si>
    <t>전자기계과</t>
    <phoneticPr fontId="5" type="noConversion"/>
  </si>
  <si>
    <t>고졸</t>
    <phoneticPr fontId="5" type="noConversion"/>
  </si>
  <si>
    <t>2015.07.21</t>
  </si>
  <si>
    <t>126-087492-01-017</t>
    <phoneticPr fontId="5" type="noConversion"/>
  </si>
  <si>
    <t>제</t>
    <phoneticPr fontId="5" type="noConversion"/>
  </si>
  <si>
    <t>010-4170-0045</t>
    <phoneticPr fontId="5" type="noConversion"/>
  </si>
  <si>
    <t>jh.lee2@tbell.co.kr</t>
    <phoneticPr fontId="5" type="noConversion"/>
  </si>
  <si>
    <t>관악구</t>
    <phoneticPr fontId="5" type="noConversion"/>
  </si>
  <si>
    <t>행운2길 51 502호</t>
    <phoneticPr fontId="5" type="noConversion"/>
  </si>
  <si>
    <t>김하정</t>
    <phoneticPr fontId="5" type="noConversion"/>
  </si>
  <si>
    <t>Kim, Ha Jung</t>
    <phoneticPr fontId="5" type="noConversion"/>
  </si>
  <si>
    <t>911113-2055428</t>
    <phoneticPr fontId="5" type="noConversion"/>
  </si>
  <si>
    <t>010-3794-9113</t>
    <phoneticPr fontId="5" type="noConversion"/>
  </si>
  <si>
    <t>0년9개월</t>
    <phoneticPr fontId="5" type="noConversion"/>
  </si>
  <si>
    <t>덕성여자대학교</t>
    <phoneticPr fontId="5" type="noConversion"/>
  </si>
  <si>
    <t>컴퓨터학과</t>
    <phoneticPr fontId="5" type="noConversion"/>
  </si>
  <si>
    <t>ICDL starter</t>
  </si>
  <si>
    <t>ICDL Korea</t>
  </si>
  <si>
    <t>589-024251-01-012</t>
    <phoneticPr fontId="5" type="noConversion"/>
  </si>
  <si>
    <t>010-8872-1841</t>
  </si>
  <si>
    <t>hj.kim@tbell.co.kr</t>
    <phoneticPr fontId="5" type="noConversion"/>
  </si>
  <si>
    <t>서초구</t>
    <phoneticPr fontId="5" type="noConversion"/>
  </si>
  <si>
    <t>청계산로9길 1-12, 601동 309호(신원동, 서초포레스타)</t>
    <phoneticPr fontId="5" type="noConversion"/>
  </si>
  <si>
    <t>김예림</t>
    <phoneticPr fontId="5" type="noConversion"/>
  </si>
  <si>
    <t>Kim, Ye Rim</t>
    <phoneticPr fontId="5" type="noConversion"/>
  </si>
  <si>
    <t>961116-2066116</t>
    <phoneticPr fontId="5" type="noConversion"/>
  </si>
  <si>
    <t>010-2356-9458</t>
    <phoneticPr fontId="5" type="noConversion"/>
  </si>
  <si>
    <t>2년0개월</t>
    <phoneticPr fontId="5" type="noConversion"/>
  </si>
  <si>
    <t>명지전문대학교</t>
    <phoneticPr fontId="5" type="noConversion"/>
  </si>
  <si>
    <t>부동산경영과</t>
    <phoneticPr fontId="5" type="noConversion"/>
  </si>
  <si>
    <t>경영관리</t>
    <phoneticPr fontId="5" type="noConversion"/>
  </si>
  <si>
    <t>988-008943-01-017</t>
    <phoneticPr fontId="5" type="noConversion"/>
  </si>
  <si>
    <t>010-8243-8002</t>
  </si>
  <si>
    <t>yr.kim@tbell.co.kr</t>
    <phoneticPr fontId="5" type="noConversion"/>
  </si>
  <si>
    <t>강서구</t>
    <phoneticPr fontId="5" type="noConversion"/>
  </si>
  <si>
    <t>등촌동 641-12, 802호</t>
    <phoneticPr fontId="5" type="noConversion"/>
  </si>
  <si>
    <t>최현준</t>
    <phoneticPr fontId="5" type="noConversion"/>
  </si>
  <si>
    <t>Choi, Hyun Jun</t>
    <phoneticPr fontId="5" type="noConversion"/>
  </si>
  <si>
    <t>870110-1011923</t>
    <phoneticPr fontId="5" type="noConversion"/>
  </si>
  <si>
    <t>010-5491-0110</t>
    <phoneticPr fontId="5" type="noConversion"/>
  </si>
  <si>
    <t>9년0개월</t>
    <phoneticPr fontId="5" type="noConversion"/>
  </si>
  <si>
    <t>신구대학교</t>
    <phoneticPr fontId="5" type="noConversion"/>
  </si>
  <si>
    <t>컴퓨터 멀티미디어과</t>
    <phoneticPr fontId="5" type="noConversion"/>
  </si>
  <si>
    <t>컴퓨활용능력3급
정보기기기능사
워드프로세스1급</t>
    <phoneticPr fontId="5" type="noConversion"/>
  </si>
  <si>
    <t>대한상공회의소
한국산업인력공단
대한상공회의소
ISTQB</t>
  </si>
  <si>
    <t>2003.03
2004.03
2004.11
2017.11</t>
    <phoneticPr fontId="5" type="noConversion"/>
  </si>
  <si>
    <t>131-088072-01-017</t>
    <phoneticPr fontId="5" type="noConversion"/>
  </si>
  <si>
    <t>010-2320-8062</t>
    <phoneticPr fontId="5" type="noConversion"/>
  </si>
  <si>
    <t>hj.choi@tbell.co.kr</t>
    <phoneticPr fontId="5" type="noConversion"/>
  </si>
  <si>
    <t>고척로 49, 202동 1402호 (오류동 338, 동부골든아파트)</t>
    <phoneticPr fontId="5" type="noConversion"/>
  </si>
  <si>
    <t>조현정</t>
    <phoneticPr fontId="5" type="noConversion"/>
  </si>
  <si>
    <t>Cho, Hyun Jung</t>
    <phoneticPr fontId="5" type="noConversion"/>
  </si>
  <si>
    <t>730903-2041416</t>
    <phoneticPr fontId="5" type="noConversion"/>
  </si>
  <si>
    <t>010-4346-2311</t>
    <phoneticPr fontId="5" type="noConversion"/>
  </si>
  <si>
    <t>21년 7개월</t>
    <phoneticPr fontId="5" type="noConversion"/>
  </si>
  <si>
    <t>유한전문대학교</t>
    <phoneticPr fontId="5" type="noConversion"/>
  </si>
  <si>
    <t>전자계산과</t>
    <phoneticPr fontId="5" type="noConversion"/>
  </si>
  <si>
    <t xml:space="preserve">
SuccessFactors</t>
    <phoneticPr fontId="5" type="noConversion"/>
  </si>
  <si>
    <t xml:space="preserve">한국정보통신기술협회
한국산업인력공단
SAP
</t>
  </si>
  <si>
    <t xml:space="preserve">
1995
2016</t>
  </si>
  <si>
    <t>하나은행</t>
    <phoneticPr fontId="4" type="noConversion"/>
  </si>
  <si>
    <t>160-910357-92807</t>
    <phoneticPr fontId="5" type="noConversion"/>
  </si>
  <si>
    <t>010-3637-2439</t>
    <phoneticPr fontId="5" type="noConversion"/>
  </si>
  <si>
    <t>hj.cho@tbell.co.kr</t>
    <phoneticPr fontId="5" type="noConversion"/>
  </si>
  <si>
    <t>문화촌길 6-24, 103동 510호(홍제동, 문화촌현대아파트)</t>
    <phoneticPr fontId="5" type="noConversion"/>
  </si>
  <si>
    <t>이건혁</t>
    <phoneticPr fontId="5" type="noConversion"/>
  </si>
  <si>
    <t>Lee, Gun Heyk</t>
    <phoneticPr fontId="5" type="noConversion"/>
  </si>
  <si>
    <t>920215-1058330</t>
    <phoneticPr fontId="5" type="noConversion"/>
  </si>
  <si>
    <t>010-3795-0907</t>
    <phoneticPr fontId="5" type="noConversion"/>
  </si>
  <si>
    <t>1년 0개월</t>
    <phoneticPr fontId="5" type="noConversion"/>
  </si>
  <si>
    <t>085-055231-01-011</t>
    <phoneticPr fontId="5" type="noConversion"/>
  </si>
  <si>
    <t>010-5694-2308</t>
  </si>
  <si>
    <t>gh.lee@tbell.co.kr</t>
    <phoneticPr fontId="5" type="noConversion"/>
  </si>
  <si>
    <t>안양시</t>
    <phoneticPr fontId="5" type="noConversion"/>
  </si>
  <si>
    <t>동안구</t>
    <phoneticPr fontId="4" type="noConversion"/>
  </si>
  <si>
    <t>관악대로263번길 67-8, 가동 101호(비산동, 화도맨션)</t>
    <phoneticPr fontId="5" type="noConversion"/>
  </si>
  <si>
    <t>홍영실</t>
    <phoneticPr fontId="5" type="noConversion"/>
  </si>
  <si>
    <t>Hong, Yeong Sil</t>
    <phoneticPr fontId="5" type="noConversion"/>
  </si>
  <si>
    <t>990903-2233619</t>
    <phoneticPr fontId="5" type="noConversion"/>
  </si>
  <si>
    <t>010-9306-6493</t>
    <phoneticPr fontId="5" type="noConversion"/>
  </si>
  <si>
    <t>인하공업전문대학교</t>
    <phoneticPr fontId="5" type="noConversion"/>
  </si>
  <si>
    <t>컴퓨터시스템과</t>
    <phoneticPr fontId="5" type="noConversion"/>
  </si>
  <si>
    <t>508-038161-01-026</t>
    <phoneticPr fontId="5" type="noConversion"/>
  </si>
  <si>
    <t>010-4742-6499</t>
  </si>
  <si>
    <t>ys.hong@tbell.co.kr</t>
    <phoneticPr fontId="5" type="noConversion"/>
  </si>
  <si>
    <t>파주시</t>
    <phoneticPr fontId="5" type="noConversion"/>
  </si>
  <si>
    <t>파평면 배머리길 811-15</t>
    <phoneticPr fontId="5" type="noConversion"/>
  </si>
  <si>
    <t>임상욱</t>
    <phoneticPr fontId="5" type="noConversion"/>
  </si>
  <si>
    <t>Lim Sang Wook</t>
    <phoneticPr fontId="5" type="noConversion"/>
  </si>
  <si>
    <t>931106-1184719</t>
    <phoneticPr fontId="5" type="noConversion"/>
  </si>
  <si>
    <t>010-4059-3674</t>
    <phoneticPr fontId="5" type="noConversion"/>
  </si>
  <si>
    <t>3년0개월</t>
    <phoneticPr fontId="5" type="noConversion"/>
  </si>
  <si>
    <t>모바일IT전공</t>
    <phoneticPr fontId="5" type="noConversion"/>
  </si>
  <si>
    <t>242-124483-01-015</t>
    <phoneticPr fontId="5" type="noConversion"/>
  </si>
  <si>
    <t>010-4158-3674</t>
  </si>
  <si>
    <t>sw.lim@tbell.co.kr</t>
    <phoneticPr fontId="5" type="noConversion"/>
  </si>
  <si>
    <t>광주시</t>
    <phoneticPr fontId="5" type="noConversion"/>
  </si>
  <si>
    <t>송정로 59-26, 2층</t>
    <phoneticPr fontId="5" type="noConversion"/>
  </si>
  <si>
    <t>조우성</t>
    <phoneticPr fontId="5" type="noConversion"/>
  </si>
  <si>
    <t>Cho Woo Sung</t>
    <phoneticPr fontId="5" type="noConversion"/>
  </si>
  <si>
    <t>950306-1388224</t>
    <phoneticPr fontId="5" type="noConversion"/>
  </si>
  <si>
    <t>010-7215-4947</t>
    <phoneticPr fontId="5" type="noConversion"/>
  </si>
  <si>
    <t>曹 佑 誠</t>
  </si>
  <si>
    <t>1년 9개월</t>
    <phoneticPr fontId="5" type="noConversion"/>
  </si>
  <si>
    <t>안산대학교</t>
    <phoneticPr fontId="5" type="noConversion"/>
  </si>
  <si>
    <t>인터넷정보과</t>
    <phoneticPr fontId="5" type="noConversion"/>
  </si>
  <si>
    <t>345-148269-01-013</t>
    <phoneticPr fontId="5" type="noConversion"/>
  </si>
  <si>
    <t>010-5450-4947</t>
    <phoneticPr fontId="5" type="noConversion"/>
  </si>
  <si>
    <t>ws.cho@tbell.co.kr</t>
    <phoneticPr fontId="5" type="noConversion"/>
  </si>
  <si>
    <t>세류동 97-20 201호</t>
    <phoneticPr fontId="5" type="noConversion"/>
  </si>
  <si>
    <t>김대현</t>
    <phoneticPr fontId="5" type="noConversion"/>
  </si>
  <si>
    <t>Kim Dae Hyun</t>
    <phoneticPr fontId="5" type="noConversion"/>
  </si>
  <si>
    <t>810323-1055111</t>
    <phoneticPr fontId="5" type="noConversion"/>
  </si>
  <si>
    <t>010-3021-9812</t>
    <phoneticPr fontId="5" type="noConversion"/>
  </si>
  <si>
    <t>金 大 鉉</t>
    <phoneticPr fontId="5" type="noConversion"/>
  </si>
  <si>
    <t>11년 3개월</t>
    <phoneticPr fontId="5" type="noConversion"/>
  </si>
  <si>
    <t>선문대학교</t>
    <phoneticPr fontId="5" type="noConversion"/>
  </si>
  <si>
    <t>러시어학과</t>
    <phoneticPr fontId="5" type="noConversion"/>
  </si>
  <si>
    <t>389-122625-01-017</t>
    <phoneticPr fontId="5" type="noConversion"/>
  </si>
  <si>
    <t>010-4337-9812</t>
    <phoneticPr fontId="5" type="noConversion"/>
  </si>
  <si>
    <t>dh.kim@tbell.co.kr</t>
    <phoneticPr fontId="5" type="noConversion"/>
  </si>
  <si>
    <t>분당구</t>
    <phoneticPr fontId="4" type="noConversion"/>
  </si>
  <si>
    <t>분당로 190 101동 102호(분당동, 샛별마을)</t>
    <phoneticPr fontId="5" type="noConversion"/>
  </si>
  <si>
    <t>이혜진</t>
    <phoneticPr fontId="5" type="noConversion"/>
  </si>
  <si>
    <t>Lee Hae Jin</t>
    <phoneticPr fontId="5" type="noConversion"/>
  </si>
  <si>
    <t>740122-2235035</t>
    <phoneticPr fontId="5" type="noConversion"/>
  </si>
  <si>
    <t>010-6218-3405</t>
    <phoneticPr fontId="5" type="noConversion"/>
  </si>
  <si>
    <t>李 惠 眞</t>
    <phoneticPr fontId="5" type="noConversion"/>
  </si>
  <si>
    <t>22년 9개월</t>
    <phoneticPr fontId="5" type="noConversion"/>
  </si>
  <si>
    <t>고려대학교</t>
    <phoneticPr fontId="5" type="noConversion"/>
  </si>
  <si>
    <t>소프트웨어공학과</t>
    <phoneticPr fontId="5" type="noConversion"/>
  </si>
  <si>
    <t>석사</t>
    <phoneticPr fontId="5" type="noConversion"/>
  </si>
  <si>
    <t>컴퓨터그래픽스운용기능사</t>
    <phoneticPr fontId="5" type="noConversion"/>
  </si>
  <si>
    <t>한국산업인력공단
한국산업인력공단
KSTQB</t>
    <phoneticPr fontId="5" type="noConversion"/>
  </si>
  <si>
    <t>2007.06
2000.08
2021.09.04</t>
    <phoneticPr fontId="5" type="noConversion"/>
  </si>
  <si>
    <t>064-054748-02-017</t>
    <phoneticPr fontId="5" type="noConversion"/>
  </si>
  <si>
    <t>배우자</t>
    <phoneticPr fontId="5" type="noConversion"/>
  </si>
  <si>
    <t>010-4595-3461</t>
    <phoneticPr fontId="5" type="noConversion"/>
  </si>
  <si>
    <t>hj.lee@tbell.co.kr</t>
    <phoneticPr fontId="5" type="noConversion"/>
  </si>
  <si>
    <t>서판교로29 918동 1804호</t>
    <phoneticPr fontId="5" type="noConversion"/>
  </si>
  <si>
    <t>이수민</t>
    <phoneticPr fontId="5" type="noConversion"/>
  </si>
  <si>
    <t>Lee Su Min</t>
    <phoneticPr fontId="5" type="noConversion"/>
  </si>
  <si>
    <t>971214-2032011</t>
    <phoneticPr fontId="5" type="noConversion"/>
  </si>
  <si>
    <t>010-7626-1531</t>
    <phoneticPr fontId="5" type="noConversion"/>
  </si>
  <si>
    <t>李 秀 民</t>
    <phoneticPr fontId="5" type="noConversion"/>
  </si>
  <si>
    <t>3년 10개월</t>
    <phoneticPr fontId="5" type="noConversion"/>
  </si>
  <si>
    <t>수원정보과학고등학교</t>
    <phoneticPr fontId="5" type="noConversion"/>
  </si>
  <si>
    <t>IT산업디자인과</t>
    <phoneticPr fontId="5" type="noConversion"/>
  </si>
  <si>
    <t>111-205461-01-014</t>
    <phoneticPr fontId="5" type="noConversion"/>
  </si>
  <si>
    <t>010-2222-1531</t>
    <phoneticPr fontId="5" type="noConversion"/>
  </si>
  <si>
    <t>sumin.lee@tbell.co.kr</t>
    <phoneticPr fontId="5" type="noConversion"/>
  </si>
  <si>
    <t>월드컵로369번길 13, 202호 (우만동, 보은맨션)</t>
    <phoneticPr fontId="5" type="noConversion"/>
  </si>
  <si>
    <t>이철호</t>
    <phoneticPr fontId="5" type="noConversion"/>
  </si>
  <si>
    <t>Lee Chul Ho</t>
    <phoneticPr fontId="5" type="noConversion"/>
  </si>
  <si>
    <t>741221-1808712</t>
    <phoneticPr fontId="5" type="noConversion"/>
  </si>
  <si>
    <t>010-2278-9935</t>
    <phoneticPr fontId="5" type="noConversion"/>
  </si>
  <si>
    <t>李 哲 豪</t>
    <phoneticPr fontId="5" type="noConversion"/>
  </si>
  <si>
    <t>16년 1개월</t>
    <phoneticPr fontId="5" type="noConversion"/>
  </si>
  <si>
    <t>장훈고등학교</t>
    <phoneticPr fontId="5" type="noConversion"/>
  </si>
  <si>
    <t>정보처리기능사 2급</t>
    <phoneticPr fontId="5" type="noConversion"/>
  </si>
  <si>
    <t>한국산업인력공단</t>
    <phoneticPr fontId="5" type="noConversion"/>
  </si>
  <si>
    <t>076-097767-01-013</t>
    <phoneticPr fontId="5" type="noConversion"/>
  </si>
  <si>
    <t>010-2431-9935</t>
    <phoneticPr fontId="5" type="noConversion"/>
  </si>
  <si>
    <t>ch.lee@tbell.co.kr</t>
    <phoneticPr fontId="5" type="noConversion"/>
  </si>
  <si>
    <t>영등포구</t>
    <phoneticPr fontId="5" type="noConversion"/>
  </si>
  <si>
    <t>도신로 64가길 1 1층</t>
    <phoneticPr fontId="5" type="noConversion"/>
  </si>
  <si>
    <t>이원택</t>
    <phoneticPr fontId="5" type="noConversion"/>
  </si>
  <si>
    <t>Lee Won Taek</t>
    <phoneticPr fontId="5" type="noConversion"/>
  </si>
  <si>
    <t>970415-1065515</t>
    <phoneticPr fontId="5" type="noConversion"/>
  </si>
  <si>
    <t>010-8936-5320</t>
    <phoneticPr fontId="5" type="noConversion"/>
  </si>
  <si>
    <t>李 元 垞</t>
    <phoneticPr fontId="5" type="noConversion"/>
  </si>
  <si>
    <t>0년 0개월</t>
    <phoneticPr fontId="5" type="noConversion"/>
  </si>
  <si>
    <t>대림대학교</t>
    <phoneticPr fontId="5" type="noConversion"/>
  </si>
  <si>
    <t>모바일인터넷과</t>
    <phoneticPr fontId="5" type="noConversion"/>
  </si>
  <si>
    <t>074-104301-01-010</t>
    <phoneticPr fontId="5" type="noConversion"/>
  </si>
  <si>
    <t>010-8543-4320</t>
    <phoneticPr fontId="5" type="noConversion"/>
  </si>
  <si>
    <t>wt.lee@tbell.co.kr</t>
    <phoneticPr fontId="5" type="noConversion"/>
  </si>
  <si>
    <t>남부순환로 1430 신림푸르지오 114동 704호</t>
    <phoneticPr fontId="5" type="noConversion"/>
  </si>
  <si>
    <t>이유라</t>
    <phoneticPr fontId="5" type="noConversion"/>
  </si>
  <si>
    <t>Lee, Yura</t>
  </si>
  <si>
    <t>920917-2126213</t>
    <phoneticPr fontId="5" type="noConversion"/>
  </si>
  <si>
    <t>010-8828-0917</t>
    <phoneticPr fontId="5" type="noConversion"/>
  </si>
  <si>
    <t>李 柔 羅</t>
    <phoneticPr fontId="5" type="noConversion"/>
  </si>
  <si>
    <t>연세대학교</t>
    <phoneticPr fontId="5" type="noConversion"/>
  </si>
  <si>
    <t>독어독문학</t>
    <phoneticPr fontId="5" type="noConversion"/>
  </si>
  <si>
    <t>응용SW개발</t>
    <phoneticPr fontId="5" type="noConversion"/>
  </si>
  <si>
    <t>AI 데이터 가공 및 검수</t>
    <phoneticPr fontId="5" type="noConversion"/>
  </si>
  <si>
    <t>194-133344-01-013</t>
    <phoneticPr fontId="5" type="noConversion"/>
  </si>
  <si>
    <t>010-4873-2725</t>
    <phoneticPr fontId="5" type="noConversion"/>
  </si>
  <si>
    <t>yr.lee@tbell.co.kr</t>
    <phoneticPr fontId="5" type="noConversion"/>
  </si>
  <si>
    <t>양평로30길 38, 103-1301</t>
    <phoneticPr fontId="5" type="noConversion"/>
  </si>
  <si>
    <t>신명욱</t>
    <phoneticPr fontId="5" type="noConversion"/>
  </si>
  <si>
    <t>SHIN, Myungwook</t>
  </si>
  <si>
    <t>880915-1155216</t>
    <phoneticPr fontId="5" type="noConversion"/>
  </si>
  <si>
    <t>010-8987-0894</t>
    <phoneticPr fontId="5" type="noConversion"/>
  </si>
  <si>
    <t>申 明 昱</t>
    <phoneticPr fontId="5" type="noConversion"/>
  </si>
  <si>
    <t>4년 5개월</t>
    <phoneticPr fontId="5" type="noConversion"/>
  </si>
  <si>
    <t>부광고등학교</t>
    <phoneticPr fontId="5" type="noConversion"/>
  </si>
  <si>
    <t>KSTQB</t>
  </si>
  <si>
    <t>2018.07.20</t>
    <phoneticPr fontId="5" type="noConversion"/>
  </si>
  <si>
    <t>592-036328-01-011</t>
    <phoneticPr fontId="5" type="noConversion"/>
  </si>
  <si>
    <t>형</t>
    <phoneticPr fontId="5" type="noConversion"/>
  </si>
  <si>
    <t>010-9980-0914</t>
    <phoneticPr fontId="5" type="noConversion"/>
  </si>
  <si>
    <t>mu.shin@tbell.co.kr</t>
    <phoneticPr fontId="5" type="noConversion"/>
  </si>
  <si>
    <t>인천시</t>
    <phoneticPr fontId="5" type="noConversion"/>
  </si>
  <si>
    <t>부평구</t>
    <phoneticPr fontId="5" type="noConversion"/>
  </si>
  <si>
    <t>경원대로 1269, 117동 503호 (신곡동, 현대아파트)</t>
    <phoneticPr fontId="5" type="noConversion"/>
  </si>
  <si>
    <t>이영선</t>
    <phoneticPr fontId="5" type="noConversion"/>
  </si>
  <si>
    <t>LEE, YeongSun</t>
  </si>
  <si>
    <t>950519-2249637</t>
    <phoneticPr fontId="5" type="noConversion"/>
  </si>
  <si>
    <t>010-6635-6908</t>
    <phoneticPr fontId="5" type="noConversion"/>
  </si>
  <si>
    <t>李 永 善</t>
    <phoneticPr fontId="5" type="noConversion"/>
  </si>
  <si>
    <t>1년 4개월</t>
    <phoneticPr fontId="5" type="noConversion"/>
  </si>
  <si>
    <t>한경대학교</t>
    <phoneticPr fontId="5" type="noConversion"/>
  </si>
  <si>
    <t>컴퓨터공학과</t>
    <phoneticPr fontId="5" type="noConversion"/>
  </si>
  <si>
    <t>한국산업인력공단
KSTQB</t>
    <phoneticPr fontId="5" type="noConversion"/>
  </si>
  <si>
    <t>2019.11.22
2022.04.14</t>
    <phoneticPr fontId="5" type="noConversion"/>
  </si>
  <si>
    <t>468-081043-01-012</t>
    <phoneticPr fontId="5" type="noConversion"/>
  </si>
  <si>
    <t>010-4072-6630</t>
    <phoneticPr fontId="5" type="noConversion"/>
  </si>
  <si>
    <t>ys.lee@tbell.co.kr</t>
    <phoneticPr fontId="5" type="noConversion"/>
  </si>
  <si>
    <t>화성시</t>
    <phoneticPr fontId="5" type="noConversion"/>
  </si>
  <si>
    <t>병점노을1로 14, 101동 703호</t>
    <phoneticPr fontId="5" type="noConversion"/>
  </si>
  <si>
    <t>양혜원</t>
    <phoneticPr fontId="5" type="noConversion"/>
  </si>
  <si>
    <t>Yang, HyeWon</t>
  </si>
  <si>
    <t>820319-2452712</t>
    <phoneticPr fontId="5" type="noConversion"/>
  </si>
  <si>
    <t>010-4028-1471</t>
    <phoneticPr fontId="5" type="noConversion"/>
  </si>
  <si>
    <t>3년 6개월</t>
    <phoneticPr fontId="5" type="noConversion"/>
  </si>
  <si>
    <t>배재대학교</t>
    <phoneticPr fontId="5" type="noConversion"/>
  </si>
  <si>
    <t>일본학과일본학</t>
    <phoneticPr fontId="5" type="noConversion"/>
  </si>
  <si>
    <t xml:space="preserve">워드프로세서 2급
JLPT 1급
</t>
    <phoneticPr fontId="5" type="noConversion"/>
  </si>
  <si>
    <t>대한상공회의소
국제교류기금
KSTQB</t>
    <phoneticPr fontId="5" type="noConversion"/>
  </si>
  <si>
    <t>2009.01
2007.02
2021.09.04</t>
    <phoneticPr fontId="5" type="noConversion"/>
  </si>
  <si>
    <t>051-118083-01-019</t>
    <phoneticPr fontId="5" type="noConversion"/>
  </si>
  <si>
    <t>자매</t>
    <phoneticPr fontId="5" type="noConversion"/>
  </si>
  <si>
    <t>010-9526-1479</t>
    <phoneticPr fontId="5" type="noConversion"/>
  </si>
  <si>
    <t>hyewon.yang@tbell.co.kr</t>
    <phoneticPr fontId="5" type="noConversion"/>
  </si>
  <si>
    <t>성동구</t>
    <phoneticPr fontId="5" type="noConversion"/>
  </si>
  <si>
    <t>마조로7길 15(행당동)</t>
    <phoneticPr fontId="5" type="noConversion"/>
  </si>
  <si>
    <t>송재현</t>
    <phoneticPr fontId="5" type="noConversion"/>
  </si>
  <si>
    <t>Song, Jae Hyeon</t>
    <phoneticPr fontId="5" type="noConversion"/>
  </si>
  <si>
    <t>951109-1025913</t>
    <phoneticPr fontId="5" type="noConversion"/>
  </si>
  <si>
    <t>010-3910-6506</t>
    <phoneticPr fontId="5" type="noConversion"/>
  </si>
  <si>
    <t>宋宰弦</t>
    <phoneticPr fontId="5" type="noConversion"/>
  </si>
  <si>
    <t>서일대학교</t>
    <phoneticPr fontId="5" type="noConversion"/>
  </si>
  <si>
    <t>컴퓨터응용전자과</t>
    <phoneticPr fontId="5" type="noConversion"/>
  </si>
  <si>
    <t>005-112710-01-012</t>
    <phoneticPr fontId="5" type="noConversion"/>
  </si>
  <si>
    <t>010-6554-6506</t>
    <phoneticPr fontId="5" type="noConversion"/>
  </si>
  <si>
    <t>jh.song@tbell.co.kr</t>
    <phoneticPr fontId="5" type="noConversion"/>
  </si>
  <si>
    <t>강북구</t>
    <phoneticPr fontId="5" type="noConversion"/>
  </si>
  <si>
    <t xml:space="preserve"> 삼양로27길 19, 215동 401호 (미아동,삼성래미안트리베라아파트)</t>
    <phoneticPr fontId="5" type="noConversion"/>
  </si>
  <si>
    <t>김준하</t>
    <phoneticPr fontId="5" type="noConversion"/>
  </si>
  <si>
    <t>KIM, Junha</t>
  </si>
  <si>
    <t>000206-3403929</t>
    <phoneticPr fontId="5" type="noConversion"/>
  </si>
  <si>
    <t>010-8559-7560</t>
    <phoneticPr fontId="5" type="noConversion"/>
  </si>
  <si>
    <t>金俊夏</t>
    <phoneticPr fontId="5" type="noConversion"/>
  </si>
  <si>
    <t>세종대학교(휴학)</t>
    <phoneticPr fontId="5" type="noConversion"/>
  </si>
  <si>
    <t>컴퓨터공학</t>
    <phoneticPr fontId="5" type="noConversion"/>
  </si>
  <si>
    <t>정보처리기능사</t>
    <phoneticPr fontId="5" type="noConversion"/>
  </si>
  <si>
    <t>2018.07.18</t>
    <phoneticPr fontId="5" type="noConversion"/>
  </si>
  <si>
    <t>977-039689-01-013</t>
    <phoneticPr fontId="5" type="noConversion"/>
  </si>
  <si>
    <t>010-6293-5956</t>
    <phoneticPr fontId="5" type="noConversion"/>
  </si>
  <si>
    <t>junha.kim@tbell.co.kr</t>
    <phoneticPr fontId="5" type="noConversion"/>
  </si>
  <si>
    <t>남부순환로 1527 (신림동) 502호</t>
    <phoneticPr fontId="5" type="noConversion"/>
  </si>
  <si>
    <t>최세욱</t>
    <phoneticPr fontId="5" type="noConversion"/>
  </si>
  <si>
    <t>CHOI, Sewook</t>
  </si>
  <si>
    <t>920626-1005711</t>
    <phoneticPr fontId="5" type="noConversion"/>
  </si>
  <si>
    <t>010-6223-5999</t>
    <phoneticPr fontId="5" type="noConversion"/>
  </si>
  <si>
    <t xml:space="preserve">崔世煜 </t>
    <phoneticPr fontId="5" type="noConversion"/>
  </si>
  <si>
    <t>건국대학교사범대학부속고등학교</t>
    <phoneticPr fontId="5" type="noConversion"/>
  </si>
  <si>
    <t>문과</t>
    <phoneticPr fontId="5" type="noConversion"/>
  </si>
  <si>
    <t>KSTQB</t>
    <phoneticPr fontId="5" type="noConversion"/>
  </si>
  <si>
    <t>2022.06.16</t>
    <phoneticPr fontId="5" type="noConversion"/>
  </si>
  <si>
    <t>478-077654-02-014</t>
    <phoneticPr fontId="5" type="noConversion"/>
  </si>
  <si>
    <t>010-8982-6702</t>
    <phoneticPr fontId="5" type="noConversion"/>
  </si>
  <si>
    <t>sw.choi@tbell.co.kr</t>
    <phoneticPr fontId="5" type="noConversion"/>
  </si>
  <si>
    <t>광진구</t>
    <phoneticPr fontId="5" type="noConversion"/>
  </si>
  <si>
    <t>뚝섬로45길 40 (자양동)</t>
    <phoneticPr fontId="5" type="noConversion"/>
  </si>
  <si>
    <t>신진철</t>
    <phoneticPr fontId="5" type="noConversion"/>
  </si>
  <si>
    <t>SHIN, Jincheol</t>
  </si>
  <si>
    <t>930923-1065825</t>
    <phoneticPr fontId="5" type="noConversion"/>
  </si>
  <si>
    <t>010-2802-2493</t>
    <phoneticPr fontId="5" type="noConversion"/>
  </si>
  <si>
    <t>申進澈</t>
    <phoneticPr fontId="5" type="noConversion"/>
  </si>
  <si>
    <t>대일고등학교</t>
    <phoneticPr fontId="5" type="noConversion"/>
  </si>
  <si>
    <t>308-075006-01-011</t>
    <phoneticPr fontId="5" type="noConversion"/>
  </si>
  <si>
    <t>010-5382-2493</t>
    <phoneticPr fontId="5" type="noConversion"/>
  </si>
  <si>
    <t>jc.shin@tbell.co.kr</t>
    <phoneticPr fontId="5" type="noConversion"/>
  </si>
  <si>
    <t>양천구</t>
    <phoneticPr fontId="5" type="noConversion"/>
  </si>
  <si>
    <t>목동중앙북로22길 14-16 (목동)</t>
    <phoneticPr fontId="5" type="noConversion"/>
  </si>
  <si>
    <t>김예경</t>
    <phoneticPr fontId="5" type="noConversion"/>
  </si>
  <si>
    <t>KIM, Yekyeong</t>
  </si>
  <si>
    <t>010420-4187419</t>
    <phoneticPr fontId="5" type="noConversion"/>
  </si>
  <si>
    <t>010-8854-1381</t>
    <phoneticPr fontId="5" type="noConversion"/>
  </si>
  <si>
    <t>金禮京</t>
    <phoneticPr fontId="5" type="noConversion"/>
  </si>
  <si>
    <t>융합소프트웨어과</t>
    <phoneticPr fontId="5" type="noConversion"/>
  </si>
  <si>
    <t>167-153649-01-011</t>
    <phoneticPr fontId="5" type="noConversion"/>
  </si>
  <si>
    <t>010-9262-1381</t>
    <phoneticPr fontId="5" type="noConversion"/>
  </si>
  <si>
    <t>yk.kim@tbell.co.kr</t>
    <phoneticPr fontId="5" type="noConversion"/>
  </si>
  <si>
    <t>광명시</t>
    <phoneticPr fontId="5" type="noConversion"/>
  </si>
  <si>
    <t>광명로927번길 6-10, 302호(광명동, 보륭빌라)</t>
    <phoneticPr fontId="5" type="noConversion"/>
  </si>
  <si>
    <t>이동연</t>
    <phoneticPr fontId="5" type="noConversion"/>
  </si>
  <si>
    <t>LEE, DongYeon</t>
  </si>
  <si>
    <t>990317-1064119</t>
    <phoneticPr fontId="5" type="noConversion"/>
  </si>
  <si>
    <t>010-2021-9871</t>
    <phoneticPr fontId="5" type="noConversion"/>
  </si>
  <si>
    <t>李同淵</t>
    <phoneticPr fontId="5" type="noConversion"/>
  </si>
  <si>
    <t>555-041722-01-011</t>
    <phoneticPr fontId="5" type="noConversion"/>
  </si>
  <si>
    <t>010-3480-9870</t>
    <phoneticPr fontId="5" type="noConversion"/>
  </si>
  <si>
    <t>dongyeon.lee@tbell.co.kr</t>
    <phoneticPr fontId="5" type="noConversion"/>
  </si>
  <si>
    <t>김포시</t>
    <phoneticPr fontId="5" type="noConversion"/>
  </si>
  <si>
    <t>전원로 28, 110동 1302호 (운양동,전원마을)</t>
    <phoneticPr fontId="5" type="noConversion"/>
  </si>
  <si>
    <t>이태민</t>
    <phoneticPr fontId="5" type="noConversion"/>
  </si>
  <si>
    <t>LEE, TaeMin</t>
  </si>
  <si>
    <t>990724-1177415</t>
    <phoneticPr fontId="5" type="noConversion"/>
  </si>
  <si>
    <t>010-6540-0724</t>
    <phoneticPr fontId="5" type="noConversion"/>
  </si>
  <si>
    <t>李兌敏</t>
    <phoneticPr fontId="5" type="noConversion"/>
  </si>
  <si>
    <t>컴퓨터정보학부</t>
    <phoneticPr fontId="5" type="noConversion"/>
  </si>
  <si>
    <t>142-172595-01-018</t>
    <phoneticPr fontId="5" type="noConversion"/>
  </si>
  <si>
    <t>010-4310-8574</t>
    <phoneticPr fontId="5" type="noConversion"/>
  </si>
  <si>
    <t>tm.lee@tbell.co.kr</t>
    <phoneticPr fontId="5" type="noConversion"/>
  </si>
  <si>
    <t>만안구</t>
    <phoneticPr fontId="4" type="noConversion"/>
  </si>
  <si>
    <t>만안구 경수대로 1193, 102동 1502호 (석수동,석수e편한세상아파트)</t>
    <phoneticPr fontId="5" type="noConversion"/>
  </si>
  <si>
    <t>허용석</t>
    <phoneticPr fontId="5" type="noConversion"/>
  </si>
  <si>
    <t>HEO, Yongseok</t>
  </si>
  <si>
    <t>911116-1042127</t>
    <phoneticPr fontId="5" type="noConversion"/>
  </si>
  <si>
    <t>010-7930-6830</t>
    <phoneticPr fontId="5" type="noConversion"/>
  </si>
  <si>
    <t>許容碩</t>
    <phoneticPr fontId="5" type="noConversion"/>
  </si>
  <si>
    <t>강원대학교</t>
    <phoneticPr fontId="5" type="noConversion"/>
  </si>
  <si>
    <t>건축공학과</t>
    <phoneticPr fontId="5" type="noConversion"/>
  </si>
  <si>
    <t>666-042363-01-011</t>
    <phoneticPr fontId="5" type="noConversion"/>
  </si>
  <si>
    <t>010-2372-6830</t>
    <phoneticPr fontId="5" type="noConversion"/>
  </si>
  <si>
    <t>ys.heo@tbell.co.kr</t>
    <phoneticPr fontId="5" type="noConversion"/>
  </si>
  <si>
    <t>관천로 125-17 B03호(신림동)</t>
    <phoneticPr fontId="5" type="noConversion"/>
  </si>
  <si>
    <t>장지원</t>
    <phoneticPr fontId="5" type="noConversion"/>
  </si>
  <si>
    <t>JANGJiWon</t>
  </si>
  <si>
    <t>990408-2149027</t>
    <phoneticPr fontId="5" type="noConversion"/>
  </si>
  <si>
    <t>010-4726-3021</t>
    <phoneticPr fontId="5" type="noConversion"/>
  </si>
  <si>
    <t>張知元</t>
    <phoneticPr fontId="5" type="noConversion"/>
  </si>
  <si>
    <t>정보통신공학과</t>
    <phoneticPr fontId="5" type="noConversion"/>
  </si>
  <si>
    <t>129-080922-02-017</t>
    <phoneticPr fontId="5" type="noConversion"/>
  </si>
  <si>
    <t>010-4605-3118</t>
    <phoneticPr fontId="5" type="noConversion"/>
  </si>
  <si>
    <t>jw.jang@tbell.co.kr</t>
    <phoneticPr fontId="5" type="noConversion"/>
  </si>
  <si>
    <t>연수구</t>
    <phoneticPr fontId="5" type="noConversion"/>
  </si>
  <si>
    <t>한나루로105번길 68, 408동 2103호(옥련동,현대아파트)</t>
    <phoneticPr fontId="5" type="noConversion"/>
  </si>
  <si>
    <t>유주상</t>
    <phoneticPr fontId="5" type="noConversion"/>
  </si>
  <si>
    <t>YOU, JuSang</t>
  </si>
  <si>
    <t>911231-1012210</t>
    <phoneticPr fontId="5" type="noConversion"/>
  </si>
  <si>
    <t>010-2041-4376</t>
    <phoneticPr fontId="5" type="noConversion"/>
  </si>
  <si>
    <t>劉周相</t>
    <phoneticPr fontId="5" type="noConversion"/>
  </si>
  <si>
    <t>송곡고등학교</t>
    <phoneticPr fontId="5" type="noConversion"/>
  </si>
  <si>
    <t>478-077875-02-010</t>
    <phoneticPr fontId="5" type="noConversion"/>
  </si>
  <si>
    <t>010-9876-4376</t>
    <phoneticPr fontId="5" type="noConversion"/>
  </si>
  <si>
    <t>js.you@tbell.co.kr</t>
    <phoneticPr fontId="5" type="noConversion"/>
  </si>
  <si>
    <t>중랑구</t>
    <phoneticPr fontId="5" type="noConversion"/>
  </si>
  <si>
    <t>상봉로16길 9-9</t>
    <phoneticPr fontId="5" type="noConversion"/>
  </si>
  <si>
    <t>이호빈</t>
    <phoneticPr fontId="5" type="noConversion"/>
  </si>
  <si>
    <t>LEE, HoBin</t>
  </si>
  <si>
    <t>931208-1169524</t>
    <phoneticPr fontId="5" type="noConversion"/>
  </si>
  <si>
    <t>010-4047-9465</t>
    <phoneticPr fontId="5" type="noConversion"/>
  </si>
  <si>
    <t>李鎬彬</t>
    <phoneticPr fontId="5" type="noConversion"/>
  </si>
  <si>
    <t>5년 0개월</t>
    <phoneticPr fontId="5" type="noConversion"/>
  </si>
  <si>
    <t>용인예술대학교</t>
    <phoneticPr fontId="5" type="noConversion"/>
  </si>
  <si>
    <t>467-043392-01-011</t>
    <phoneticPr fontId="5" type="noConversion"/>
  </si>
  <si>
    <t>010-3064-9465</t>
    <phoneticPr fontId="5" type="noConversion"/>
  </si>
  <si>
    <t>hb.lee@tbell.co.kr</t>
    <phoneticPr fontId="5" type="noConversion"/>
  </si>
  <si>
    <t>삼지곡길46,A동 202호</t>
    <phoneticPr fontId="5" type="noConversion"/>
  </si>
  <si>
    <t>박성진</t>
    <phoneticPr fontId="5" type="noConversion"/>
  </si>
  <si>
    <t>PARK, Seongjin</t>
  </si>
  <si>
    <t>010511-3726618</t>
    <phoneticPr fontId="5" type="noConversion"/>
  </si>
  <si>
    <t>010-8519-1249</t>
    <phoneticPr fontId="5" type="noConversion"/>
  </si>
  <si>
    <t>朴晟鎭</t>
    <phoneticPr fontId="5" type="noConversion"/>
  </si>
  <si>
    <t>컴퓨터활용 2급</t>
    <phoneticPr fontId="5" type="noConversion"/>
  </si>
  <si>
    <t>대한상공회의소</t>
    <phoneticPr fontId="5" type="noConversion"/>
  </si>
  <si>
    <t>2021.07.30</t>
    <phoneticPr fontId="5" type="noConversion"/>
  </si>
  <si>
    <t>974-052099-01-015</t>
    <phoneticPr fontId="5" type="noConversion"/>
  </si>
  <si>
    <t>010-2530-9283</t>
    <phoneticPr fontId="5" type="noConversion"/>
  </si>
  <si>
    <t>sj.park@tbell.co.kr</t>
    <phoneticPr fontId="5" type="noConversion"/>
  </si>
  <si>
    <t>일월천로4번길 74, 103동 901호 (구운동, 성원아파트)</t>
    <phoneticPr fontId="5" type="noConversion"/>
  </si>
  <si>
    <t>박유리안나</t>
    <phoneticPr fontId="5" type="noConversion"/>
  </si>
  <si>
    <t>PARK, yulianna</t>
    <phoneticPr fontId="5" type="noConversion"/>
  </si>
  <si>
    <t>941130-2055316</t>
    <phoneticPr fontId="5" type="noConversion"/>
  </si>
  <si>
    <t>010-9559-0259</t>
    <phoneticPr fontId="5" type="noConversion"/>
  </si>
  <si>
    <t xml:space="preserve"> 朴유리안나</t>
    <phoneticPr fontId="5" type="noConversion"/>
  </si>
  <si>
    <t>삼육대학교</t>
    <phoneticPr fontId="5" type="noConversion"/>
  </si>
  <si>
    <t>유아교육과</t>
    <phoneticPr fontId="5" type="noConversion"/>
  </si>
  <si>
    <t>129-081122-01-013</t>
    <phoneticPr fontId="5" type="noConversion"/>
  </si>
  <si>
    <t>010-4280-3581</t>
    <phoneticPr fontId="5" type="noConversion"/>
  </si>
  <si>
    <t>yulianna.park@tbell.co.kr</t>
    <phoneticPr fontId="5" type="noConversion"/>
  </si>
  <si>
    <t>광덕1로 80, 138동 203호 (초지동,호수마을아파트)</t>
    <phoneticPr fontId="5" type="noConversion"/>
  </si>
  <si>
    <t>정홍근</t>
    <phoneticPr fontId="5" type="noConversion"/>
  </si>
  <si>
    <t>JEONG, HongGeun</t>
  </si>
  <si>
    <t>950717-1030716</t>
    <phoneticPr fontId="5" type="noConversion"/>
  </si>
  <si>
    <t>010-2618-1620</t>
    <phoneticPr fontId="5" type="noConversion"/>
  </si>
  <si>
    <t>鄭弘根</t>
    <phoneticPr fontId="5" type="noConversion"/>
  </si>
  <si>
    <t>서인천고등학교</t>
    <phoneticPr fontId="5" type="noConversion"/>
  </si>
  <si>
    <t>351-126481-01-014</t>
    <phoneticPr fontId="5" type="noConversion"/>
  </si>
  <si>
    <t>010-2560-1620</t>
    <phoneticPr fontId="5" type="noConversion"/>
  </si>
  <si>
    <t>hg.jeong@tbell.co.kr</t>
    <phoneticPr fontId="5" type="noConversion"/>
  </si>
  <si>
    <t>서구</t>
    <phoneticPr fontId="5" type="noConversion"/>
  </si>
  <si>
    <t>대평로56번길 32 101동 202호(연희동,우성아파트)</t>
    <phoneticPr fontId="5" type="noConversion"/>
  </si>
  <si>
    <t>구민준</t>
    <phoneticPr fontId="5" type="noConversion"/>
  </si>
  <si>
    <t>GOO, Minjoon</t>
  </si>
  <si>
    <t>941020-1861616</t>
    <phoneticPr fontId="5" type="noConversion"/>
  </si>
  <si>
    <t>010-5194-6772</t>
    <phoneticPr fontId="5" type="noConversion"/>
  </si>
  <si>
    <t>具民寯</t>
    <phoneticPr fontId="5" type="noConversion"/>
  </si>
  <si>
    <t>명지대학교</t>
    <phoneticPr fontId="5" type="noConversion"/>
  </si>
  <si>
    <t>중어중문학과</t>
    <phoneticPr fontId="5" type="noConversion"/>
  </si>
  <si>
    <t>049-090142-01-012</t>
    <phoneticPr fontId="5" type="noConversion"/>
  </si>
  <si>
    <t>010-3004-0115</t>
    <phoneticPr fontId="5" type="noConversion"/>
  </si>
  <si>
    <t>mj.goo@tbell.co.kr</t>
    <phoneticPr fontId="5" type="noConversion"/>
  </si>
  <si>
    <t>마포구</t>
    <phoneticPr fontId="5" type="noConversion"/>
  </si>
  <si>
    <t>서강로 95, 102동 2002호(창전동, 창전동삼성아파트)</t>
    <phoneticPr fontId="5" type="noConversion"/>
  </si>
  <si>
    <t>사혜진</t>
    <phoneticPr fontId="5" type="noConversion"/>
  </si>
  <si>
    <t>SA, Hyejin</t>
  </si>
  <si>
    <t>920611-2184017</t>
    <phoneticPr fontId="5" type="noConversion"/>
  </si>
  <si>
    <t>010-6319-8402</t>
    <phoneticPr fontId="5" type="noConversion"/>
  </si>
  <si>
    <t>史惠鎭</t>
    <phoneticPr fontId="5" type="noConversion"/>
  </si>
  <si>
    <t>고려직업전문학교</t>
    <phoneticPr fontId="5" type="noConversion"/>
  </si>
  <si>
    <t>관광경영</t>
    <phoneticPr fontId="5" type="noConversion"/>
  </si>
  <si>
    <t>114-185045-01-010</t>
    <phoneticPr fontId="5" type="noConversion"/>
  </si>
  <si>
    <t>010-5017-8402</t>
    <phoneticPr fontId="5" type="noConversion"/>
  </si>
  <si>
    <t>hj.sa@tbell.co.kr</t>
    <phoneticPr fontId="5" type="noConversion"/>
  </si>
  <si>
    <t>원미로77번길 20-2, A동 402호(원미동, 뜨란채A)</t>
    <phoneticPr fontId="5" type="noConversion"/>
  </si>
  <si>
    <t>김민주</t>
    <phoneticPr fontId="5" type="noConversion"/>
  </si>
  <si>
    <t>Kim, Minju</t>
  </si>
  <si>
    <t>921218-1709711</t>
    <phoneticPr fontId="5" type="noConversion"/>
  </si>
  <si>
    <t>010-6666-7742</t>
    <phoneticPr fontId="5" type="noConversion"/>
  </si>
  <si>
    <t>金民主</t>
    <phoneticPr fontId="5" type="noConversion"/>
  </si>
  <si>
    <t>대구대학교</t>
    <phoneticPr fontId="5" type="noConversion"/>
  </si>
  <si>
    <t>멀티미디어공학</t>
    <phoneticPr fontId="5" type="noConversion"/>
  </si>
  <si>
    <t>023-145265-01-012</t>
    <phoneticPr fontId="5" type="noConversion"/>
  </si>
  <si>
    <t>010-3701-3607</t>
    <phoneticPr fontId="5" type="noConversion"/>
  </si>
  <si>
    <t>mj.kim@tbell.co.kr</t>
    <phoneticPr fontId="5" type="noConversion"/>
  </si>
  <si>
    <t>중구</t>
    <phoneticPr fontId="5" type="noConversion"/>
  </si>
  <si>
    <t>오장동 148-16 남산센트럴시티투웨니퍼스트 609호</t>
    <phoneticPr fontId="5" type="noConversion"/>
  </si>
  <si>
    <t>이승록</t>
    <phoneticPr fontId="5" type="noConversion"/>
  </si>
  <si>
    <t>LEE, Seungrok</t>
  </si>
  <si>
    <t>950618-1188715</t>
    <phoneticPr fontId="5" type="noConversion"/>
  </si>
  <si>
    <t>010-2628-2650</t>
    <phoneticPr fontId="5" type="noConversion"/>
  </si>
  <si>
    <t>李承祿</t>
    <phoneticPr fontId="5" type="noConversion"/>
  </si>
  <si>
    <t>1년 3개월</t>
    <phoneticPr fontId="5" type="noConversion"/>
  </si>
  <si>
    <t>광운대학교</t>
    <phoneticPr fontId="5" type="noConversion"/>
  </si>
  <si>
    <t>문화콘텐츠 개발</t>
    <phoneticPr fontId="5" type="noConversion"/>
  </si>
  <si>
    <t>221-448847-01-018</t>
    <phoneticPr fontId="5" type="noConversion"/>
  </si>
  <si>
    <t>010-3128-6274</t>
    <phoneticPr fontId="5" type="noConversion"/>
  </si>
  <si>
    <t>sr.lee@tbell.co.kr</t>
    <phoneticPr fontId="5" type="noConversion"/>
  </si>
  <si>
    <t>도봉구</t>
    <phoneticPr fontId="5" type="noConversion"/>
  </si>
  <si>
    <t>시루봉로 260-7, B동 302호 (방학동, 한림그린맨숀)</t>
    <phoneticPr fontId="5" type="noConversion"/>
  </si>
  <si>
    <t>진예은</t>
    <phoneticPr fontId="5" type="noConversion"/>
  </si>
  <si>
    <t>JIN, Yeeun</t>
  </si>
  <si>
    <t>991013-2177813</t>
    <phoneticPr fontId="5" type="noConversion"/>
  </si>
  <si>
    <t>010-4996-7256</t>
    <phoneticPr fontId="5" type="noConversion"/>
  </si>
  <si>
    <t>陳睿恩</t>
    <phoneticPr fontId="5" type="noConversion"/>
  </si>
  <si>
    <t>검정고시</t>
    <phoneticPr fontId="5" type="noConversion"/>
  </si>
  <si>
    <t>536-056248-02-012</t>
    <phoneticPr fontId="5" type="noConversion"/>
  </si>
  <si>
    <t>010-5302-7256</t>
    <phoneticPr fontId="5" type="noConversion"/>
  </si>
  <si>
    <t>ye.jin@tbell.co.kr</t>
    <phoneticPr fontId="5" type="noConversion"/>
  </si>
  <si>
    <t>현충로24번길 14, 1006호(안양동, 더베이프리미엄아파트)</t>
    <phoneticPr fontId="5" type="noConversion"/>
  </si>
  <si>
    <t>박선홍</t>
    <phoneticPr fontId="5" type="noConversion"/>
  </si>
  <si>
    <t>PARK, Seonhong</t>
  </si>
  <si>
    <t>990604-2246915</t>
    <phoneticPr fontId="5" type="noConversion"/>
  </si>
  <si>
    <t>010-8394-8882</t>
    <phoneticPr fontId="5" type="noConversion"/>
  </si>
  <si>
    <t>朴宣紅</t>
    <phoneticPr fontId="5" type="noConversion"/>
  </si>
  <si>
    <t>이현고등학교</t>
    <phoneticPr fontId="5" type="noConversion"/>
  </si>
  <si>
    <t>389-128779-01-017</t>
    <phoneticPr fontId="5" type="noConversion"/>
  </si>
  <si>
    <t>010-7591-8882</t>
    <phoneticPr fontId="5" type="noConversion"/>
  </si>
  <si>
    <t>sh.park@tbell.co.kr</t>
    <phoneticPr fontId="5" type="noConversion"/>
  </si>
  <si>
    <t>신사로24길 4</t>
    <phoneticPr fontId="5" type="noConversion"/>
  </si>
  <si>
    <t>강문혁</t>
    <phoneticPr fontId="5" type="noConversion"/>
  </si>
  <si>
    <t>KANG, MoonHyeok</t>
  </si>
  <si>
    <t>980109-1326217</t>
    <phoneticPr fontId="5" type="noConversion"/>
  </si>
  <si>
    <t>010-9658-6933</t>
    <phoneticPr fontId="5" type="noConversion"/>
  </si>
  <si>
    <t>康文赫</t>
    <phoneticPr fontId="5" type="noConversion"/>
  </si>
  <si>
    <t>334-084747-01-014</t>
    <phoneticPr fontId="5" type="noConversion"/>
  </si>
  <si>
    <t>010-3331-6933</t>
    <phoneticPr fontId="5" type="noConversion"/>
  </si>
  <si>
    <t>mh.kang@tbell.co.kr</t>
    <phoneticPr fontId="5" type="noConversion"/>
  </si>
  <si>
    <t>김포한강9로 11, 406동 902호 (김포한강 예미지)</t>
    <phoneticPr fontId="5" type="noConversion"/>
  </si>
  <si>
    <t>김완수</t>
    <phoneticPr fontId="5" type="noConversion"/>
  </si>
  <si>
    <t>761015-1011948</t>
    <phoneticPr fontId="5" type="noConversion"/>
  </si>
  <si>
    <t>010-4604-2552</t>
    <phoneticPr fontId="5" type="noConversion"/>
  </si>
  <si>
    <t>金完洙</t>
    <phoneticPr fontId="5" type="noConversion"/>
  </si>
  <si>
    <t>19년 7개월</t>
    <phoneticPr fontId="5" type="noConversion"/>
  </si>
  <si>
    <t>서울과학기술대학교</t>
    <phoneticPr fontId="5" type="noConversion"/>
  </si>
  <si>
    <t>행정학과</t>
    <phoneticPr fontId="5" type="noConversion"/>
  </si>
  <si>
    <t>257-073319-01-015</t>
    <phoneticPr fontId="5" type="noConversion"/>
  </si>
  <si>
    <t>010-6416-9795</t>
    <phoneticPr fontId="5" type="noConversion"/>
  </si>
  <si>
    <t>ws.kim@tbell.co.kr</t>
    <phoneticPr fontId="5" type="noConversion"/>
  </si>
  <si>
    <t>신내로 51, 105동 103호(신내동, 성원아파트)</t>
    <phoneticPr fontId="5" type="noConversion"/>
  </si>
  <si>
    <t>이유나</t>
    <phoneticPr fontId="5" type="noConversion"/>
  </si>
  <si>
    <t>LEE, Yuna</t>
  </si>
  <si>
    <t>921026-2012527</t>
    <phoneticPr fontId="5" type="noConversion"/>
  </si>
  <si>
    <t>010-4097-3509</t>
    <phoneticPr fontId="5" type="noConversion"/>
  </si>
  <si>
    <t>화학공학과</t>
    <phoneticPr fontId="5" type="noConversion"/>
  </si>
  <si>
    <t>667-048034-01-010</t>
    <phoneticPr fontId="5" type="noConversion"/>
  </si>
  <si>
    <t>010-3766-3509</t>
    <phoneticPr fontId="5" type="noConversion"/>
  </si>
  <si>
    <t>yn.lee@tbell.co.kr</t>
    <phoneticPr fontId="5" type="noConversion"/>
  </si>
  <si>
    <t>남양주시</t>
    <phoneticPr fontId="5" type="noConversion"/>
  </si>
  <si>
    <t>호평로94, 2106동 1201호(호평동,호평마을 금강아파트)</t>
    <phoneticPr fontId="5" type="noConversion"/>
  </si>
  <si>
    <t>이여솔</t>
    <phoneticPr fontId="5" type="noConversion"/>
  </si>
  <si>
    <t>LEE, Yesol</t>
  </si>
  <si>
    <t>970613-2065811</t>
    <phoneticPr fontId="5" type="noConversion"/>
  </si>
  <si>
    <t>010-8781-2342</t>
    <phoneticPr fontId="5" type="noConversion"/>
  </si>
  <si>
    <t>한양여자대학교</t>
    <phoneticPr fontId="5" type="noConversion"/>
  </si>
  <si>
    <t>도예과</t>
    <phoneticPr fontId="5" type="noConversion"/>
  </si>
  <si>
    <t>051-125488-01-014</t>
    <phoneticPr fontId="5" type="noConversion"/>
  </si>
  <si>
    <t>010-5328-1513</t>
    <phoneticPr fontId="5" type="noConversion"/>
  </si>
  <si>
    <t>yeosol.lee@tbell.co.kr</t>
    <phoneticPr fontId="5" type="noConversion"/>
  </si>
  <si>
    <t>목동중앙북로8길 138-11 A동 401호 (목동,서원아트빌)</t>
    <phoneticPr fontId="5" type="noConversion"/>
  </si>
  <si>
    <t>김진섭</t>
    <phoneticPr fontId="5" type="noConversion"/>
  </si>
  <si>
    <t>KIM, Jinseop</t>
  </si>
  <si>
    <t>900607-1178211</t>
    <phoneticPr fontId="5" type="noConversion"/>
  </si>
  <si>
    <t>010-7280-8229</t>
    <phoneticPr fontId="5" type="noConversion"/>
  </si>
  <si>
    <t>7년 8개월</t>
    <phoneticPr fontId="5" type="noConversion"/>
  </si>
  <si>
    <t>남서울대학교</t>
    <phoneticPr fontId="5" type="noConversion"/>
  </si>
  <si>
    <t>2016.02.23</t>
    <phoneticPr fontId="5" type="noConversion"/>
  </si>
  <si>
    <t>481-062761-02-013</t>
    <phoneticPr fontId="5" type="noConversion"/>
  </si>
  <si>
    <t>010-5386-9119</t>
    <phoneticPr fontId="5" type="noConversion"/>
  </si>
  <si>
    <t>js.kim@tbell.co.kr</t>
    <phoneticPr fontId="5" type="noConversion"/>
  </si>
  <si>
    <t>용인시</t>
    <phoneticPr fontId="5" type="noConversion"/>
  </si>
  <si>
    <t>수지구</t>
    <phoneticPr fontId="5" type="noConversion"/>
  </si>
  <si>
    <t>현암로125번길 11, 716동 2202호(죽전동, 새터마을죽전힐스테이트)</t>
    <phoneticPr fontId="5" type="noConversion"/>
  </si>
  <si>
    <t>이수현</t>
    <phoneticPr fontId="5" type="noConversion"/>
  </si>
  <si>
    <t>LEE, Suhyeon</t>
  </si>
  <si>
    <t>041221-4068911</t>
    <phoneticPr fontId="5" type="noConversion"/>
  </si>
  <si>
    <t>010-7705-9510</t>
    <phoneticPr fontId="5" type="noConversion"/>
  </si>
  <si>
    <t>서울디지텍고등학교</t>
    <phoneticPr fontId="5" type="noConversion"/>
  </si>
  <si>
    <t>IOT(사물인터넷)과</t>
    <phoneticPr fontId="5" type="noConversion"/>
  </si>
  <si>
    <t>071-119776-02-014</t>
    <phoneticPr fontId="5" type="noConversion"/>
  </si>
  <si>
    <t>010-8973-9000</t>
    <phoneticPr fontId="5" type="noConversion"/>
  </si>
  <si>
    <t>sh.lee@tbell.co.kr</t>
    <phoneticPr fontId="5" type="noConversion"/>
  </si>
  <si>
    <t>동작구</t>
    <phoneticPr fontId="5" type="noConversion"/>
  </si>
  <si>
    <t>여의대방로44길 10, 111동 1902호(대방동, 대림아파트)</t>
    <phoneticPr fontId="5" type="noConversion"/>
  </si>
  <si>
    <t>김다인</t>
    <phoneticPr fontId="5" type="noConversion"/>
  </si>
  <si>
    <t>KIM, Dain</t>
  </si>
  <si>
    <t>011016-4183021</t>
    <phoneticPr fontId="5" type="noConversion"/>
  </si>
  <si>
    <t>010-6223-2301</t>
    <phoneticPr fontId="5" type="noConversion"/>
  </si>
  <si>
    <t>배화여자대학교</t>
    <phoneticPr fontId="5" type="noConversion"/>
  </si>
  <si>
    <t>정보보호과</t>
    <phoneticPr fontId="5" type="noConversion"/>
  </si>
  <si>
    <t>403-097774-01-017</t>
    <phoneticPr fontId="5" type="noConversion"/>
  </si>
  <si>
    <t>010-2480-2300</t>
    <phoneticPr fontId="5" type="noConversion"/>
  </si>
  <si>
    <t>di.kim@tbell.co.kr</t>
    <phoneticPr fontId="5" type="noConversion"/>
  </si>
  <si>
    <t>계양구</t>
    <phoneticPr fontId="5" type="noConversion"/>
  </si>
  <si>
    <t>도두리로 52, 502동 305호(작전동, 도두리마을동보아파트)</t>
    <phoneticPr fontId="5" type="noConversion"/>
  </si>
  <si>
    <t>송다겸</t>
    <phoneticPr fontId="5" type="noConversion"/>
  </si>
  <si>
    <t>SONG, Dagyum</t>
  </si>
  <si>
    <t>960903-2035121</t>
    <phoneticPr fontId="5" type="noConversion"/>
  </si>
  <si>
    <t>010-2055-9815</t>
    <phoneticPr fontId="5" type="noConversion"/>
  </si>
  <si>
    <t>대진대학교</t>
    <phoneticPr fontId="5" type="noConversion"/>
  </si>
  <si>
    <t>전자공학과</t>
    <phoneticPr fontId="5" type="noConversion"/>
  </si>
  <si>
    <t>컴퓨터활용1급</t>
    <phoneticPr fontId="5" type="noConversion"/>
  </si>
  <si>
    <t>621-021178-01-018</t>
    <phoneticPr fontId="5" type="noConversion"/>
  </si>
  <si>
    <t>010-8867-0815</t>
    <phoneticPr fontId="5" type="noConversion"/>
  </si>
  <si>
    <t>dg.song@tbell.co.kr</t>
    <phoneticPr fontId="5" type="noConversion"/>
  </si>
  <si>
    <t>성북구</t>
    <phoneticPr fontId="5" type="noConversion"/>
  </si>
  <si>
    <t>한천로 713, 507동 8층 804호 (장위동, 래미안장위퍼스트하이)</t>
    <phoneticPr fontId="5" type="noConversion"/>
  </si>
  <si>
    <t>박정민</t>
    <phoneticPr fontId="5" type="noConversion"/>
  </si>
  <si>
    <t>PARK, Jeongmin</t>
  </si>
  <si>
    <t>950629-1095013</t>
    <phoneticPr fontId="5" type="noConversion"/>
  </si>
  <si>
    <t>010-7556-2329</t>
    <phoneticPr fontId="5" type="noConversion"/>
  </si>
  <si>
    <t>국가평생교육진흥원</t>
    <phoneticPr fontId="5" type="noConversion"/>
  </si>
  <si>
    <t>사회복지</t>
    <phoneticPr fontId="5" type="noConversion"/>
  </si>
  <si>
    <t>168-032246-01-017</t>
    <phoneticPr fontId="5" type="noConversion"/>
  </si>
  <si>
    <t>010-4665-0165</t>
    <phoneticPr fontId="5" type="noConversion"/>
  </si>
  <si>
    <t>jm.park@tbell.co.kr</t>
    <phoneticPr fontId="5" type="noConversion"/>
  </si>
  <si>
    <t>군포시</t>
    <phoneticPr fontId="5" type="noConversion"/>
  </si>
  <si>
    <t>산본로 299, 220동 904호(금정동, 주공아파트)</t>
    <phoneticPr fontId="5" type="noConversion"/>
  </si>
  <si>
    <t>양하영</t>
    <phoneticPr fontId="5" type="noConversion"/>
  </si>
  <si>
    <t>YANG, Ha yeong</t>
  </si>
  <si>
    <t>980312-2216129</t>
    <phoneticPr fontId="5" type="noConversion"/>
  </si>
  <si>
    <t>010-3382-0869</t>
    <phoneticPr fontId="5" type="noConversion"/>
  </si>
  <si>
    <t>스마트IT과</t>
    <phoneticPr fontId="5" type="noConversion"/>
  </si>
  <si>
    <t>660-005996-01-018</t>
    <phoneticPr fontId="5" type="noConversion"/>
  </si>
  <si>
    <t>010-2869-2524</t>
    <phoneticPr fontId="5" type="noConversion"/>
  </si>
  <si>
    <t>ha.yang@tbell.co.kr</t>
    <phoneticPr fontId="5" type="noConversion"/>
  </si>
  <si>
    <t>기흥구</t>
    <phoneticPr fontId="5" type="noConversion"/>
  </si>
  <si>
    <t>덕영대로2077번길 8, 103동 402호(영덕동, 두진아파트)</t>
    <phoneticPr fontId="5" type="noConversion"/>
  </si>
  <si>
    <t>서보람</t>
    <phoneticPr fontId="5" type="noConversion"/>
  </si>
  <si>
    <t>SEO, Boram</t>
  </si>
  <si>
    <t>770716-1006218</t>
    <phoneticPr fontId="5" type="noConversion"/>
  </si>
  <si>
    <t>010-9059-5833</t>
    <phoneticPr fontId="5" type="noConversion"/>
  </si>
  <si>
    <t>20년 5개월</t>
    <phoneticPr fontId="5" type="noConversion"/>
  </si>
  <si>
    <t>수원과학대학교</t>
    <phoneticPr fontId="5" type="noConversion"/>
  </si>
  <si>
    <t>전기과</t>
    <phoneticPr fontId="5" type="noConversion"/>
  </si>
  <si>
    <t>네트워크관리사
컴퓨터그래픽스운용기능사
사무자동화산업기사</t>
    <phoneticPr fontId="5" type="noConversion"/>
  </si>
  <si>
    <t>137-095120-01-016</t>
    <phoneticPr fontId="5" type="noConversion"/>
  </si>
  <si>
    <t>010-8776-7408</t>
    <phoneticPr fontId="5" type="noConversion"/>
  </si>
  <si>
    <t>br.seo@tbell.co.kr</t>
    <phoneticPr fontId="5" type="noConversion"/>
  </si>
  <si>
    <t>신도림로 87, 105동 401호(신도림동, 신도림1차동아아파트)</t>
    <phoneticPr fontId="5" type="noConversion"/>
  </si>
  <si>
    <t>고민지</t>
    <phoneticPr fontId="5" type="noConversion"/>
  </si>
  <si>
    <t>KO, Minji</t>
  </si>
  <si>
    <t>010104-4666018</t>
    <phoneticPr fontId="5" type="noConversion"/>
  </si>
  <si>
    <t>010-2204-6592</t>
    <phoneticPr fontId="5" type="noConversion"/>
  </si>
  <si>
    <t>289-113313-01-011</t>
    <phoneticPr fontId="5" type="noConversion"/>
  </si>
  <si>
    <t> 010-7769-8115</t>
  </si>
  <si>
    <t>mj.ko@tbell.co.kr</t>
    <phoneticPr fontId="5" type="noConversion"/>
  </si>
  <si>
    <t>시청로 85, 209동 1202호 (아동동, 신안실크밸리2차아파트)</t>
    <phoneticPr fontId="5" type="noConversion"/>
  </si>
  <si>
    <t>김성현</t>
    <phoneticPr fontId="5" type="noConversion"/>
  </si>
  <si>
    <t>KIM, Seonghyun</t>
  </si>
  <si>
    <t>960201-1064916</t>
    <phoneticPr fontId="5" type="noConversion"/>
  </si>
  <si>
    <t>010-7676-5593</t>
    <phoneticPr fontId="5" type="noConversion"/>
  </si>
  <si>
    <t>동양미래대학교</t>
    <phoneticPr fontId="5" type="noConversion"/>
  </si>
  <si>
    <t>컴퓨터소프트웨어공학과</t>
    <phoneticPr fontId="5" type="noConversion"/>
  </si>
  <si>
    <t>525-020665-01-013</t>
    <phoneticPr fontId="5" type="noConversion"/>
  </si>
  <si>
    <t> 010-2552-2450 </t>
  </si>
  <si>
    <t>sh.kim@tbell.co.kr</t>
    <phoneticPr fontId="5" type="noConversion"/>
  </si>
  <si>
    <t>새말길 174-3, 202호 (신현동, 신촌하우스)</t>
    <phoneticPr fontId="5" type="noConversion"/>
  </si>
  <si>
    <t>온주환</t>
    <phoneticPr fontId="5" type="noConversion"/>
  </si>
  <si>
    <t>ON, Joohwan</t>
  </si>
  <si>
    <t>941219-1077313</t>
    <phoneticPr fontId="5" type="noConversion"/>
  </si>
  <si>
    <t>010-4006-8991</t>
    <phoneticPr fontId="5" type="noConversion"/>
  </si>
  <si>
    <t>단국대학교사범대학부속고등학교</t>
    <phoneticPr fontId="5" type="noConversion"/>
  </si>
  <si>
    <t>478-078831-02-011</t>
    <phoneticPr fontId="5" type="noConversion"/>
  </si>
  <si>
    <t>010-9077-5684</t>
  </si>
  <si>
    <t>jh.on@tbell.co.kr</t>
    <phoneticPr fontId="5" type="noConversion"/>
  </si>
  <si>
    <t>죽전로 121, 105동 1301호(죽전동, 꽃메마을아이파크)</t>
    <phoneticPr fontId="5" type="noConversion"/>
  </si>
  <si>
    <t>안소현</t>
    <phoneticPr fontId="5" type="noConversion"/>
  </si>
  <si>
    <t>AHN, Sohyun</t>
  </si>
  <si>
    <t>940127-2051215</t>
    <phoneticPr fontId="5" type="noConversion"/>
  </si>
  <si>
    <t>010-8256-0355</t>
    <phoneticPr fontId="5" type="noConversion"/>
  </si>
  <si>
    <t>한성여자고등학교</t>
    <phoneticPr fontId="5" type="noConversion"/>
  </si>
  <si>
    <t>022-116892-01-012</t>
    <phoneticPr fontId="5" type="noConversion"/>
  </si>
  <si>
    <t>010-8756-0355 </t>
  </si>
  <si>
    <t>sh.ahn@tbell.co.kr</t>
    <phoneticPr fontId="5" type="noConversion"/>
  </si>
  <si>
    <t>종로구</t>
    <phoneticPr fontId="5" type="noConversion"/>
  </si>
  <si>
    <t>지봉로14길 8-1, 4층(숭인동)</t>
    <phoneticPr fontId="5" type="noConversion"/>
  </si>
  <si>
    <t>여지은</t>
    <phoneticPr fontId="5" type="noConversion"/>
  </si>
  <si>
    <t>YEO, Jieun</t>
  </si>
  <si>
    <t>820530-2011749</t>
    <phoneticPr fontId="5" type="noConversion"/>
  </si>
  <si>
    <t>010-2049-1328</t>
    <phoneticPr fontId="5" type="noConversion"/>
  </si>
  <si>
    <t>일본학과</t>
    <phoneticPr fontId="5" type="noConversion"/>
  </si>
  <si>
    <t>컴퓨터활용2급</t>
    <phoneticPr fontId="5" type="noConversion"/>
  </si>
  <si>
    <t>216-116905-01-017</t>
    <phoneticPr fontId="5" type="noConversion"/>
  </si>
  <si>
    <t xml:space="preserve"> 010-8845-4717</t>
    <phoneticPr fontId="5" type="noConversion"/>
  </si>
  <si>
    <t>je.yeo@tbell.co.kr</t>
    <phoneticPr fontId="5" type="noConversion"/>
  </si>
  <si>
    <t>사가정로72길 26, 107동 303호 (면목동, 한양수자인사가정파트)</t>
    <phoneticPr fontId="5" type="noConversion"/>
  </si>
  <si>
    <t>홍원정</t>
    <phoneticPr fontId="5" type="noConversion"/>
  </si>
  <si>
    <t>HONG, Wonjeong</t>
  </si>
  <si>
    <t>951225-2203311</t>
    <phoneticPr fontId="5" type="noConversion"/>
  </si>
  <si>
    <t>010-2867-9578</t>
    <phoneticPr fontId="5" type="noConversion"/>
  </si>
  <si>
    <t>실무일본어학과</t>
    <phoneticPr fontId="5" type="noConversion"/>
  </si>
  <si>
    <t>2024-01-11</t>
    <phoneticPr fontId="5" type="noConversion"/>
  </si>
  <si>
    <t>216-106135-01-013</t>
    <phoneticPr fontId="5" type="noConversion"/>
  </si>
  <si>
    <t>010-5638-8597</t>
    <phoneticPr fontId="5" type="noConversion"/>
  </si>
  <si>
    <t>wj.hong@tbell.co.kr</t>
    <phoneticPr fontId="5" type="noConversion"/>
  </si>
  <si>
    <t>병점노을1로 14, 화정병점주택 104동 603호</t>
    <phoneticPr fontId="5" type="noConversion"/>
  </si>
  <si>
    <t>박명일</t>
    <phoneticPr fontId="5" type="noConversion"/>
  </si>
  <si>
    <t>PARK, Myoungil</t>
  </si>
  <si>
    <t>820919-1067731</t>
    <phoneticPr fontId="5" type="noConversion"/>
  </si>
  <si>
    <t>010-9140-9921</t>
    <phoneticPr fontId="5" type="noConversion"/>
  </si>
  <si>
    <t>14년 10개월</t>
    <phoneticPr fontId="5" type="noConversion"/>
  </si>
  <si>
    <t>서초전자공업고등하교</t>
    <phoneticPr fontId="5" type="noConversion"/>
  </si>
  <si>
    <t>전자과</t>
    <phoneticPr fontId="5" type="noConversion"/>
  </si>
  <si>
    <t>478-078936-01-012</t>
    <phoneticPr fontId="5" type="noConversion"/>
  </si>
  <si>
    <t>010-8268-1737</t>
    <phoneticPr fontId="5" type="noConversion"/>
  </si>
  <si>
    <t>mi.park@tbell.co.kr</t>
    <phoneticPr fontId="5" type="noConversion"/>
  </si>
  <si>
    <t>관악로37길 20, 201동 508호(봉천동, 봉천동아아파트)</t>
    <phoneticPr fontId="5" type="noConversion"/>
  </si>
  <si>
    <t>정재형</t>
    <phoneticPr fontId="5" type="noConversion"/>
  </si>
  <si>
    <t>JEONG, Jaehyeong</t>
  </si>
  <si>
    <t>930212-1012212</t>
    <phoneticPr fontId="5" type="noConversion"/>
  </si>
  <si>
    <t>010-9364-6881</t>
    <phoneticPr fontId="5" type="noConversion"/>
  </si>
  <si>
    <t>2년 2개월</t>
    <phoneticPr fontId="5" type="noConversion"/>
  </si>
  <si>
    <t>014-139504-02-016</t>
    <phoneticPr fontId="5" type="noConversion"/>
  </si>
  <si>
    <t>010-8711-6881</t>
  </si>
  <si>
    <t>jh.jeong@tbell.co.kr</t>
    <phoneticPr fontId="5" type="noConversion"/>
  </si>
  <si>
    <t>상봉로1길 31-6(면목동)</t>
    <phoneticPr fontId="5" type="noConversion"/>
  </si>
  <si>
    <t>신혜은</t>
    <phoneticPr fontId="5" type="noConversion"/>
  </si>
  <si>
    <t>SHIN, Hyeeun</t>
  </si>
  <si>
    <t>990904-2932415</t>
    <phoneticPr fontId="5" type="noConversion"/>
  </si>
  <si>
    <t>010-3078-4232</t>
    <phoneticPr fontId="5" type="noConversion"/>
  </si>
  <si>
    <t>0년 8개월</t>
    <phoneticPr fontId="5" type="noConversion"/>
  </si>
  <si>
    <t>목표대학교</t>
    <phoneticPr fontId="5" type="noConversion"/>
  </si>
  <si>
    <t>융합소프트웨어학과</t>
    <phoneticPr fontId="5" type="noConversion"/>
  </si>
  <si>
    <t>315-085677-02-014</t>
    <phoneticPr fontId="5" type="noConversion"/>
  </si>
  <si>
    <t>010-3697-4232</t>
    <phoneticPr fontId="5" type="noConversion"/>
  </si>
  <si>
    <t>he.shin@tbell.co.kr</t>
    <phoneticPr fontId="5" type="noConversion"/>
  </si>
  <si>
    <t>동작대로9다길 24(사당동)</t>
    <phoneticPr fontId="5" type="noConversion"/>
  </si>
  <si>
    <t>이성미</t>
    <phoneticPr fontId="5" type="noConversion"/>
  </si>
  <si>
    <t>LEE, Sungmi</t>
  </si>
  <si>
    <t>770123-2768218</t>
    <phoneticPr fontId="5" type="noConversion"/>
  </si>
  <si>
    <t>010-9372-8244</t>
    <phoneticPr fontId="5" type="noConversion"/>
  </si>
  <si>
    <t>11년 6개월</t>
    <phoneticPr fontId="5" type="noConversion"/>
  </si>
  <si>
    <t>경북대학교</t>
    <phoneticPr fontId="5" type="noConversion"/>
  </si>
  <si>
    <t>정보통신공학전공</t>
    <phoneticPr fontId="5" type="noConversion"/>
  </si>
  <si>
    <t>421-048358-01-017</t>
    <phoneticPr fontId="5" type="noConversion"/>
  </si>
  <si>
    <t>010-3080-8244</t>
    <phoneticPr fontId="5" type="noConversion"/>
  </si>
  <si>
    <t>sm.lee@tbell.co.kr</t>
    <phoneticPr fontId="5" type="noConversion"/>
  </si>
  <si>
    <t>진산로 24, 119동 803호 (상현동, 진산마을성원상떼빌아파트)</t>
    <phoneticPr fontId="5" type="noConversion"/>
  </si>
  <si>
    <t>노미숙</t>
    <phoneticPr fontId="5" type="noConversion"/>
  </si>
  <si>
    <t>NOH, Misook</t>
  </si>
  <si>
    <t>790206-2031810</t>
    <phoneticPr fontId="5" type="noConversion"/>
  </si>
  <si>
    <t>010-3015-1128</t>
    <phoneticPr fontId="5" type="noConversion"/>
  </si>
  <si>
    <t>전산정보처리과</t>
    <phoneticPr fontId="5" type="noConversion"/>
  </si>
  <si>
    <t>540-030488-01-014</t>
    <phoneticPr fontId="5" type="noConversion"/>
  </si>
  <si>
    <t>010-3014-1117</t>
    <phoneticPr fontId="5" type="noConversion"/>
  </si>
  <si>
    <t>ms.noh@tbell.co.kr</t>
    <phoneticPr fontId="5" type="noConversion"/>
  </si>
  <si>
    <t>태장로845,135동 1302호(장기동, 한강센트럴자이)</t>
    <phoneticPr fontId="5" type="noConversion"/>
  </si>
  <si>
    <t>김의원</t>
    <phoneticPr fontId="5" type="noConversion"/>
  </si>
  <si>
    <t>KIM, Euiwon</t>
  </si>
  <si>
    <t>910809-1066810</t>
    <phoneticPr fontId="5" type="noConversion"/>
  </si>
  <si>
    <t>010-3342-8663</t>
    <phoneticPr fontId="5" type="noConversion"/>
  </si>
  <si>
    <t>신소재공학과</t>
    <phoneticPr fontId="5" type="noConversion"/>
  </si>
  <si>
    <t>078-200820-01-017</t>
    <phoneticPr fontId="5" type="noConversion"/>
  </si>
  <si>
    <t>010-5501-8663</t>
    <phoneticPr fontId="5" type="noConversion"/>
  </si>
  <si>
    <t>ew.kim@tbell.co.kr</t>
    <phoneticPr fontId="5" type="noConversion"/>
  </si>
  <si>
    <t>경춘로1015번길 26-5, 103동 108호 (금곡동, 한림주택)</t>
    <phoneticPr fontId="5" type="noConversion"/>
  </si>
  <si>
    <t>박서현</t>
    <phoneticPr fontId="5" type="noConversion"/>
  </si>
  <si>
    <t>PARK, Seohyun</t>
  </si>
  <si>
    <t>960124-2150011</t>
    <phoneticPr fontId="5" type="noConversion"/>
  </si>
  <si>
    <t>010-4160-5753</t>
    <phoneticPr fontId="5" type="noConversion"/>
  </si>
  <si>
    <t>0년 11개월</t>
    <phoneticPr fontId="5" type="noConversion"/>
  </si>
  <si>
    <t>인천재능대학교</t>
    <phoneticPr fontId="5" type="noConversion"/>
  </si>
  <si>
    <t>955-021115-01-018</t>
    <phoneticPr fontId="5" type="noConversion"/>
  </si>
  <si>
    <t>010-4093-5753</t>
    <phoneticPr fontId="5" type="noConversion"/>
  </si>
  <si>
    <t>seohyun.park@tbell.co.kr</t>
    <phoneticPr fontId="5" type="noConversion"/>
  </si>
  <si>
    <t>청라한울로 95, 310동 2402호(청라동, 청라제일풍경채)</t>
    <phoneticPr fontId="5" type="noConversion"/>
  </si>
  <si>
    <t>최성주</t>
    <phoneticPr fontId="5" type="noConversion"/>
  </si>
  <si>
    <t>CHOI, Sungju</t>
  </si>
  <si>
    <t>951015-1173729</t>
    <phoneticPr fontId="5" type="noConversion"/>
  </si>
  <si>
    <t>010-9957-5119</t>
    <phoneticPr fontId="5" type="noConversion"/>
  </si>
  <si>
    <t>송현고등학교</t>
    <phoneticPr fontId="5" type="noConversion"/>
  </si>
  <si>
    <t>112-226241-02-012</t>
    <phoneticPr fontId="5" type="noConversion"/>
  </si>
  <si>
    <t>010-5399-1015</t>
    <phoneticPr fontId="5" type="noConversion"/>
  </si>
  <si>
    <t>sj.choi@tbell.co.kr</t>
    <phoneticPr fontId="5" type="noConversion"/>
  </si>
  <si>
    <t>의정부시</t>
    <phoneticPr fontId="5" type="noConversion"/>
  </si>
  <si>
    <t>장곡로226번길 83, 101동 401호(장암동,장암더샵포레스트)</t>
    <phoneticPr fontId="5" type="noConversion"/>
  </si>
  <si>
    <t>문현지</t>
    <phoneticPr fontId="5" type="noConversion"/>
  </si>
  <si>
    <t>Moon, Hyunji</t>
  </si>
  <si>
    <t>970319-2933012</t>
    <phoneticPr fontId="5" type="noConversion"/>
  </si>
  <si>
    <t>010-9855-5696</t>
    <phoneticPr fontId="5" type="noConversion"/>
  </si>
  <si>
    <t>세화고등학교</t>
    <phoneticPr fontId="5" type="noConversion"/>
  </si>
  <si>
    <t>198-081450-01-010</t>
    <phoneticPr fontId="5" type="noConversion"/>
  </si>
  <si>
    <t>010-4511-7350</t>
    <phoneticPr fontId="5" type="noConversion"/>
  </si>
  <si>
    <t>hj.moon@tbell.co.kr</t>
    <phoneticPr fontId="5" type="noConversion"/>
  </si>
  <si>
    <t>신림로58길 47 한아름마을 402호</t>
    <phoneticPr fontId="5" type="noConversion"/>
  </si>
  <si>
    <t>이가현</t>
    <phoneticPr fontId="5" type="noConversion"/>
  </si>
  <si>
    <t>LEE, Gahyeon</t>
  </si>
  <si>
    <t>000824-4535612</t>
    <phoneticPr fontId="5" type="noConversion"/>
  </si>
  <si>
    <t>010-2606-5733</t>
    <phoneticPr fontId="5" type="noConversion"/>
  </si>
  <si>
    <t>목포대학교</t>
    <phoneticPr fontId="5" type="noConversion"/>
  </si>
  <si>
    <t>184-097512-02-018</t>
    <phoneticPr fontId="5" type="noConversion"/>
  </si>
  <si>
    <t>동거인</t>
    <phoneticPr fontId="5" type="noConversion"/>
  </si>
  <si>
    <t>010-7337-6704</t>
    <phoneticPr fontId="5" type="noConversion"/>
  </si>
  <si>
    <t>gahyeon.lee@tbell.co.kr</t>
    <phoneticPr fontId="5" type="noConversion"/>
  </si>
  <si>
    <t>매봉로 134 본동신동아아파트 6동 605호</t>
    <phoneticPr fontId="5" type="noConversion"/>
  </si>
  <si>
    <t>이달문</t>
    <phoneticPr fontId="5" type="noConversion"/>
  </si>
  <si>
    <t>LEE, Dalmoon</t>
  </si>
  <si>
    <t>890123-1058329</t>
    <phoneticPr fontId="5" type="noConversion"/>
  </si>
  <si>
    <t>010-3178-2451</t>
    <phoneticPr fontId="5" type="noConversion"/>
  </si>
  <si>
    <t>4년 6개월</t>
    <phoneticPr fontId="5" type="noConversion"/>
  </si>
  <si>
    <t>한국폴리텍Ⅱ대학교</t>
    <phoneticPr fontId="5" type="noConversion"/>
  </si>
  <si>
    <t>금형디자인과</t>
    <phoneticPr fontId="5" type="noConversion"/>
  </si>
  <si>
    <t>473-041419-01-014</t>
    <phoneticPr fontId="5" type="noConversion"/>
  </si>
  <si>
    <t xml:space="preserve">010-9087-2323 </t>
    <phoneticPr fontId="5" type="noConversion"/>
  </si>
  <si>
    <t>dm.lee@tbell.co.kr</t>
    <phoneticPr fontId="5" type="noConversion"/>
  </si>
  <si>
    <t>삼작로368번길 15-7, D동 201호(원종동, 백합빌라)</t>
    <phoneticPr fontId="5" type="noConversion"/>
  </si>
  <si>
    <t>김가은</t>
    <phoneticPr fontId="5" type="noConversion"/>
  </si>
  <si>
    <t>KIM, Gaeun</t>
  </si>
  <si>
    <t>001117-4483013</t>
    <phoneticPr fontId="5" type="noConversion"/>
  </si>
  <si>
    <t>010-5505-8900</t>
    <phoneticPr fontId="5" type="noConversion"/>
  </si>
  <si>
    <t>정보보호학과</t>
    <phoneticPr fontId="5" type="noConversion"/>
  </si>
  <si>
    <t>정보처리기능사
워드프로세서
컴퓨터활용 2급</t>
    <phoneticPr fontId="5" type="noConversion"/>
  </si>
  <si>
    <t>2019-12-26
2019-02-01
2017-06-09</t>
    <phoneticPr fontId="5" type="noConversion"/>
  </si>
  <si>
    <t>181-167865-01-014</t>
    <phoneticPr fontId="5" type="noConversion"/>
  </si>
  <si>
    <t>010-6552-6700</t>
  </si>
  <si>
    <t>ge.kim@tbell.co.kr</t>
    <phoneticPr fontId="5" type="noConversion"/>
  </si>
  <si>
    <t>봉천로12길 25, 904호(신림동)</t>
    <phoneticPr fontId="5" type="noConversion"/>
  </si>
  <si>
    <t>이보람</t>
    <phoneticPr fontId="5" type="noConversion"/>
  </si>
  <si>
    <t>LEE, Boram</t>
  </si>
  <si>
    <t>820410-1065918</t>
    <phoneticPr fontId="5" type="noConversion"/>
  </si>
  <si>
    <t>010-3023-9409</t>
    <phoneticPr fontId="5" type="noConversion"/>
  </si>
  <si>
    <t>1년 00개월</t>
    <phoneticPr fontId="5" type="noConversion"/>
  </si>
  <si>
    <t>청주대학교</t>
    <phoneticPr fontId="5" type="noConversion"/>
  </si>
  <si>
    <t>컴퓨터정보공학과</t>
    <phoneticPr fontId="5" type="noConversion"/>
  </si>
  <si>
    <t>389-096527-01-014</t>
    <phoneticPr fontId="5" type="noConversion"/>
  </si>
  <si>
    <t>누나</t>
    <phoneticPr fontId="5" type="noConversion"/>
  </si>
  <si>
    <t xml:space="preserve">010-3243-9409 </t>
    <phoneticPr fontId="5" type="noConversion"/>
  </si>
  <si>
    <t>br.lee@tbell.co.kr</t>
    <phoneticPr fontId="5" type="noConversion"/>
  </si>
  <si>
    <t>분당구</t>
    <phoneticPr fontId="5" type="noConversion"/>
  </si>
  <si>
    <t>분당로201번길 17, 114동 702호(서현동, 효자촌)</t>
    <phoneticPr fontId="5" type="noConversion"/>
  </si>
  <si>
    <t>이현직</t>
    <phoneticPr fontId="5" type="noConversion"/>
  </si>
  <si>
    <t>LEE, Hyunjik</t>
  </si>
  <si>
    <t>800909-1069918</t>
    <phoneticPr fontId="5" type="noConversion"/>
  </si>
  <si>
    <t>010-9496-2029</t>
    <phoneticPr fontId="5" type="noConversion"/>
  </si>
  <si>
    <t>16년 7개월</t>
    <phoneticPr fontId="5" type="noConversion"/>
  </si>
  <si>
    <t>전북대학교</t>
    <phoneticPr fontId="5" type="noConversion"/>
  </si>
  <si>
    <t>정보통신학과</t>
    <phoneticPr fontId="5" type="noConversion"/>
  </si>
  <si>
    <t>경영지원 총괄</t>
    <phoneticPr fontId="5" type="noConversion"/>
  </si>
  <si>
    <t>국민은행</t>
    <phoneticPr fontId="4" type="noConversion"/>
  </si>
  <si>
    <t>234302-04-023497</t>
    <phoneticPr fontId="5" type="noConversion"/>
  </si>
  <si>
    <t>010-9441-1032</t>
    <phoneticPr fontId="5" type="noConversion"/>
  </si>
  <si>
    <t>hyunjik.lee@tbell.co.kr</t>
    <phoneticPr fontId="5" type="noConversion"/>
  </si>
  <si>
    <t>철산로 57 1314동 1208호(철산3동,주공13단지)</t>
    <phoneticPr fontId="5" type="noConversion"/>
  </si>
  <si>
    <t>경기도 광명시 시청로 70 철산자이더헤리티지 105동 2001호</t>
    <phoneticPr fontId="5" type="noConversion"/>
  </si>
  <si>
    <t>김태은</t>
    <phoneticPr fontId="5" type="noConversion"/>
  </si>
  <si>
    <t>KIM, Taeeun</t>
  </si>
  <si>
    <t>941121-2222110</t>
    <phoneticPr fontId="5" type="noConversion"/>
  </si>
  <si>
    <t>010-6272-9313</t>
    <phoneticPr fontId="5" type="noConversion"/>
  </si>
  <si>
    <t>0년 7개월</t>
    <phoneticPr fontId="5" type="noConversion"/>
  </si>
  <si>
    <t>경민대학교</t>
    <phoneticPr fontId="5" type="noConversion"/>
  </si>
  <si>
    <t>호텔외식조리</t>
    <phoneticPr fontId="5" type="noConversion"/>
  </si>
  <si>
    <t>242-134899-01-019</t>
    <phoneticPr fontId="5" type="noConversion"/>
  </si>
  <si>
    <t xml:space="preserve">010-8296-9313 </t>
    <phoneticPr fontId="5" type="noConversion"/>
  </si>
  <si>
    <t>te.kim@tbell.co.kr</t>
    <phoneticPr fontId="5" type="noConversion"/>
  </si>
  <si>
    <t>광주역8로 14, 202동 604호(역동, 경기광주역행복주택)</t>
    <phoneticPr fontId="5" type="noConversion"/>
  </si>
  <si>
    <t>선다운</t>
    <phoneticPr fontId="5" type="noConversion"/>
  </si>
  <si>
    <t>SUN, Daun</t>
  </si>
  <si>
    <t>961231-2057816</t>
    <phoneticPr fontId="5" type="noConversion"/>
  </si>
  <si>
    <t>010-7628-0464</t>
    <phoneticPr fontId="5" type="noConversion"/>
  </si>
  <si>
    <t>5년 5개월</t>
    <phoneticPr fontId="5" type="noConversion"/>
  </si>
  <si>
    <t>숭실원격생교육원대학교</t>
    <phoneticPr fontId="5" type="noConversion"/>
  </si>
  <si>
    <t>053-082341-02-022</t>
    <phoneticPr fontId="5" type="noConversion"/>
  </si>
  <si>
    <t>010-7552-0464</t>
    <phoneticPr fontId="5" type="noConversion"/>
  </si>
  <si>
    <t>du.sun@tbell.co.kr</t>
    <phoneticPr fontId="5" type="noConversion"/>
  </si>
  <si>
    <t>신길로40길 19(신길동)</t>
    <phoneticPr fontId="5" type="noConversion"/>
  </si>
  <si>
    <t>정선경</t>
    <phoneticPr fontId="5" type="noConversion"/>
  </si>
  <si>
    <t>JUNG, Sunkyung</t>
  </si>
  <si>
    <t>820723-2009218</t>
    <phoneticPr fontId="5" type="noConversion"/>
  </si>
  <si>
    <t>010-6669-2624</t>
    <phoneticPr fontId="5" type="noConversion"/>
  </si>
  <si>
    <t>경영과</t>
    <phoneticPr fontId="5" type="noConversion"/>
  </si>
  <si>
    <t>011-076779-01-026</t>
    <phoneticPr fontId="5" type="noConversion"/>
  </si>
  <si>
    <t>010-3215-4597</t>
    <phoneticPr fontId="5" type="noConversion"/>
  </si>
  <si>
    <t>sk.jung@tbell.co.kr</t>
    <phoneticPr fontId="5" type="noConversion"/>
  </si>
  <si>
    <t>노원구</t>
    <phoneticPr fontId="5" type="noConversion"/>
  </si>
  <si>
    <t>중계로 230, 508동 1001호(중계동, 주공아파트)</t>
    <phoneticPr fontId="5" type="noConversion"/>
  </si>
  <si>
    <t>성한솔</t>
    <phoneticPr fontId="5" type="noConversion"/>
  </si>
  <si>
    <t>SUNG, Hansol</t>
  </si>
  <si>
    <t>941015-2162617</t>
    <phoneticPr fontId="5" type="noConversion"/>
  </si>
  <si>
    <t>010-3455-5434</t>
    <phoneticPr fontId="5" type="noConversion"/>
  </si>
  <si>
    <t>성신여자대학교</t>
    <phoneticPr fontId="5" type="noConversion"/>
  </si>
  <si>
    <t>의류학과</t>
    <phoneticPr fontId="5" type="noConversion"/>
  </si>
  <si>
    <t>081-134349-02-014</t>
    <phoneticPr fontId="5" type="noConversion"/>
  </si>
  <si>
    <t>010-7533-4570</t>
    <phoneticPr fontId="5" type="noConversion"/>
  </si>
  <si>
    <t>hs.sung@tbell.co.kr</t>
    <phoneticPr fontId="5" type="noConversion"/>
  </si>
  <si>
    <t>목감로 188, 301호(광명동, 신우빌라)</t>
    <phoneticPr fontId="5" type="noConversion"/>
  </si>
  <si>
    <t>송민주</t>
    <phoneticPr fontId="5" type="noConversion"/>
  </si>
  <si>
    <t>SONG, Minju</t>
  </si>
  <si>
    <t>001115-4483817</t>
    <phoneticPr fontId="5" type="noConversion"/>
  </si>
  <si>
    <t>184-097526-01-010</t>
    <phoneticPr fontId="5" type="noConversion"/>
  </si>
  <si>
    <t>010-7211-6704</t>
    <phoneticPr fontId="5" type="noConversion"/>
  </si>
  <si>
    <t>mj.song@tbell.co.kr</t>
    <phoneticPr fontId="5" type="noConversion"/>
  </si>
  <si>
    <t>매봉로 134 신동아아파트 6동 605호</t>
    <phoneticPr fontId="5" type="noConversion"/>
  </si>
  <si>
    <t>김현진</t>
    <phoneticPr fontId="5" type="noConversion"/>
  </si>
  <si>
    <t>KIM, Hyunjin</t>
  </si>
  <si>
    <t>980511-2151713</t>
    <phoneticPr fontId="5" type="noConversion"/>
  </si>
  <si>
    <t>010-8698-9802</t>
    <phoneticPr fontId="5" type="noConversion"/>
  </si>
  <si>
    <t>4년 0개월</t>
    <phoneticPr fontId="5" type="noConversion"/>
  </si>
  <si>
    <t>동서울대학교</t>
    <phoneticPr fontId="5" type="noConversion"/>
  </si>
  <si>
    <t>게임콘텐츠과</t>
    <phoneticPr fontId="5" type="noConversion"/>
  </si>
  <si>
    <t>129-078305-01-010</t>
    <phoneticPr fontId="5" type="noConversion"/>
  </si>
  <si>
    <t>010-6346-6933</t>
    <phoneticPr fontId="5" type="noConversion"/>
  </si>
  <si>
    <t>hyunjin.kim@tbell.co.kr</t>
    <phoneticPr fontId="5" type="noConversion"/>
  </si>
  <si>
    <t>법원단지길 158-8, B01호(신림동, 청림빌라)</t>
    <phoneticPr fontId="5" type="noConversion"/>
  </si>
  <si>
    <t>김지수</t>
    <phoneticPr fontId="5" type="noConversion"/>
  </si>
  <si>
    <t>KIM, JiSoo</t>
  </si>
  <si>
    <t>880901-2055036</t>
    <phoneticPr fontId="5" type="noConversion"/>
  </si>
  <si>
    <t>010-8756-9145</t>
    <phoneticPr fontId="5" type="noConversion"/>
  </si>
  <si>
    <t>금융보험학과</t>
    <phoneticPr fontId="5" type="noConversion"/>
  </si>
  <si>
    <t>191-126105-01-011</t>
    <phoneticPr fontId="5" type="noConversion"/>
  </si>
  <si>
    <t>010-3666-9145</t>
    <phoneticPr fontId="5" type="noConversion"/>
  </si>
  <si>
    <t>jisoo.kim@tbell.co.kr</t>
    <phoneticPr fontId="5" type="noConversion"/>
  </si>
  <si>
    <t>송파구</t>
    <phoneticPr fontId="5" type="noConversion"/>
  </si>
  <si>
    <t>양재대로68길 3, 301호(가락동,동방빌라)</t>
    <phoneticPr fontId="5" type="noConversion"/>
  </si>
  <si>
    <t>이한나래</t>
    <phoneticPr fontId="5" type="noConversion"/>
  </si>
  <si>
    <t>LEE, HanNaRae</t>
  </si>
  <si>
    <t>970203-2168621</t>
    <phoneticPr fontId="5" type="noConversion"/>
  </si>
  <si>
    <t>010-3805-9049</t>
    <phoneticPr fontId="5" type="noConversion"/>
  </si>
  <si>
    <t>산업예술전문학사</t>
    <phoneticPr fontId="5" type="noConversion"/>
  </si>
  <si>
    <t>389-131615-01-013</t>
    <phoneticPr fontId="5" type="noConversion"/>
  </si>
  <si>
    <t>010-8974-9049</t>
    <phoneticPr fontId="5" type="noConversion"/>
  </si>
  <si>
    <t>hnr.lee@tbell.co.kr</t>
    <phoneticPr fontId="5" type="noConversion"/>
  </si>
  <si>
    <t>서현로 181, 208동 401호</t>
    <phoneticPr fontId="5" type="noConversion"/>
  </si>
  <si>
    <t>이현성</t>
    <phoneticPr fontId="5" type="noConversion"/>
  </si>
  <si>
    <t>LEE, HyeonSeong</t>
  </si>
  <si>
    <t>940131-1071318</t>
    <phoneticPr fontId="5" type="noConversion"/>
  </si>
  <si>
    <t>010-5650-1541</t>
    <phoneticPr fontId="5" type="noConversion"/>
  </si>
  <si>
    <t>경남정보대학교</t>
    <phoneticPr fontId="5" type="noConversion"/>
  </si>
  <si>
    <t>컴퓨터정보전공과</t>
    <phoneticPr fontId="5" type="noConversion"/>
  </si>
  <si>
    <t>066-091585-01-018</t>
    <phoneticPr fontId="5" type="noConversion"/>
  </si>
  <si>
    <t>010-2045-1335</t>
    <phoneticPr fontId="5" type="noConversion"/>
  </si>
  <si>
    <t>hyeonseong.lee@tbell.co.kr</t>
    <phoneticPr fontId="5" type="noConversion"/>
  </si>
  <si>
    <t>시흥대로153길 17</t>
    <phoneticPr fontId="5" type="noConversion"/>
  </si>
  <si>
    <t>안나영</t>
    <phoneticPr fontId="5" type="noConversion"/>
  </si>
  <si>
    <t>AN, Nayoung</t>
  </si>
  <si>
    <t>930118-2168015</t>
    <phoneticPr fontId="5" type="noConversion"/>
  </si>
  <si>
    <t>010-2618-8244</t>
    <phoneticPr fontId="5" type="noConversion"/>
  </si>
  <si>
    <t>10년 6개월</t>
    <phoneticPr fontId="5" type="noConversion"/>
  </si>
  <si>
    <t>한국폴리텍Ⅰ대학교</t>
    <phoneticPr fontId="5" type="noConversion"/>
  </si>
  <si>
    <t>정보통신시스템과</t>
    <phoneticPr fontId="5" type="noConversion"/>
  </si>
  <si>
    <t>113-105580-01-025</t>
    <phoneticPr fontId="5" type="noConversion"/>
  </si>
  <si>
    <t>010-4125-8846</t>
  </si>
  <si>
    <t>ny.an@tbell.co.kr</t>
    <phoneticPr fontId="5" type="noConversion"/>
  </si>
  <si>
    <t>중원구</t>
    <phoneticPr fontId="5" type="noConversion"/>
  </si>
  <si>
    <t>광명로335번길 24-20, B01호(금광동, 다세대주택)</t>
    <phoneticPr fontId="5" type="noConversion"/>
  </si>
  <si>
    <t>남기철</t>
    <phoneticPr fontId="5" type="noConversion"/>
  </si>
  <si>
    <t>NAM, Kicheol</t>
  </si>
  <si>
    <t>900517-1069313</t>
    <phoneticPr fontId="5" type="noConversion"/>
  </si>
  <si>
    <t>010-5216-9517</t>
    <phoneticPr fontId="5" type="noConversion"/>
  </si>
  <si>
    <t>나사렛대학교</t>
    <phoneticPr fontId="5" type="noConversion"/>
  </si>
  <si>
    <t>074-116323-02-019</t>
    <phoneticPr fontId="5" type="noConversion"/>
  </si>
  <si>
    <t>kh.nam@tbell.co.kr</t>
    <phoneticPr fontId="5" type="noConversion"/>
  </si>
  <si>
    <t>난곡로35길 28-7, 다동 1001호(신림동, 건영아파트)</t>
    <phoneticPr fontId="5" type="noConversion"/>
  </si>
  <si>
    <t>조혜진</t>
    <phoneticPr fontId="5" type="noConversion"/>
  </si>
  <si>
    <t>CHO, Hyejin</t>
  </si>
  <si>
    <t>771222-2323412</t>
    <phoneticPr fontId="5" type="noConversion"/>
  </si>
  <si>
    <t>010-8744-9634</t>
    <phoneticPr fontId="5" type="noConversion"/>
  </si>
  <si>
    <t>15년 6개월</t>
    <phoneticPr fontId="5" type="noConversion"/>
  </si>
  <si>
    <t>Googl Educator
OCP
PMP</t>
    <phoneticPr fontId="5" type="noConversion"/>
  </si>
  <si>
    <t>Google
ORACLE
PMI</t>
    <phoneticPr fontId="5" type="noConversion"/>
  </si>
  <si>
    <t>2021-12-11
2000-10-26
2013-6-21</t>
    <phoneticPr fontId="5" type="noConversion"/>
  </si>
  <si>
    <t>944-039857-01-010</t>
    <phoneticPr fontId="5" type="noConversion"/>
  </si>
  <si>
    <t>010-2747-3253</t>
    <phoneticPr fontId="5" type="noConversion"/>
  </si>
  <si>
    <t>hyejin.cho@tbell.co.kr</t>
    <phoneticPr fontId="5" type="noConversion"/>
  </si>
  <si>
    <t>영통구</t>
    <phoneticPr fontId="5" type="noConversion"/>
  </si>
  <si>
    <t>도청로 65, 5405동 301호(이의동, 자연&amp;힐스테이트아파트)</t>
    <phoneticPr fontId="5" type="noConversion"/>
  </si>
  <si>
    <t>이길원</t>
    <phoneticPr fontId="5" type="noConversion"/>
  </si>
  <si>
    <t>LEE, Gilwon</t>
  </si>
  <si>
    <t>790518-1036528</t>
    <phoneticPr fontId="5" type="noConversion"/>
  </si>
  <si>
    <t>010-4446-6389</t>
    <phoneticPr fontId="5" type="noConversion"/>
  </si>
  <si>
    <t>13년 2개월</t>
    <phoneticPr fontId="5" type="noConversion"/>
  </si>
  <si>
    <t>협성대학교</t>
    <phoneticPr fontId="5" type="noConversion"/>
  </si>
  <si>
    <t>신학부</t>
    <phoneticPr fontId="5" type="noConversion"/>
  </si>
  <si>
    <t>CCNA
네트워크관리사 2급</t>
    <phoneticPr fontId="5" type="noConversion"/>
  </si>
  <si>
    <t>CISCO
한국정보통신자격협회</t>
    <phoneticPr fontId="5" type="noConversion"/>
  </si>
  <si>
    <t>2012-01-13
2009-03-03</t>
    <phoneticPr fontId="5" type="noConversion"/>
  </si>
  <si>
    <t>236-065374-01-010</t>
    <phoneticPr fontId="5" type="noConversion"/>
  </si>
  <si>
    <t>010-4446-7132</t>
    <phoneticPr fontId="5" type="noConversion"/>
  </si>
  <si>
    <t>gw.lee@tbell.co.kr</t>
    <phoneticPr fontId="5" type="noConversion"/>
  </si>
  <si>
    <t>하남시</t>
    <phoneticPr fontId="5" type="noConversion"/>
  </si>
  <si>
    <t>미사강변동로 177, 1201동 1303호(망월동, 미사강변도시12단지)</t>
    <phoneticPr fontId="5" type="noConversion"/>
  </si>
  <si>
    <t>창준호</t>
    <phoneticPr fontId="5" type="noConversion"/>
  </si>
  <si>
    <t>CHANG, Junho</t>
  </si>
  <si>
    <t>801026-1228415</t>
    <phoneticPr fontId="5" type="noConversion"/>
  </si>
  <si>
    <t>010-6435-5788</t>
    <phoneticPr fontId="5" type="noConversion"/>
  </si>
  <si>
    <t>11년 11개월</t>
    <phoneticPr fontId="5" type="noConversion"/>
  </si>
  <si>
    <t>한국교통대학교</t>
    <phoneticPr fontId="5" type="noConversion"/>
  </si>
  <si>
    <t>신소재공학과(공학사)</t>
    <phoneticPr fontId="5" type="noConversion"/>
  </si>
  <si>
    <t>933-022914-01-011</t>
    <phoneticPr fontId="5" type="noConversion"/>
  </si>
  <si>
    <t>010-3628-6480</t>
    <phoneticPr fontId="5" type="noConversion"/>
  </si>
  <si>
    <t>jh.chang@tbell.co.kr</t>
    <phoneticPr fontId="5" type="noConversion"/>
  </si>
  <si>
    <t>영신로41길 8, 502호(당산동1가, D.S퍼스트)</t>
    <phoneticPr fontId="5" type="noConversion"/>
  </si>
  <si>
    <t>홍승민</t>
    <phoneticPr fontId="5" type="noConversion"/>
  </si>
  <si>
    <t>HONG, SeungMin</t>
  </si>
  <si>
    <t>890307-1063722</t>
    <phoneticPr fontId="5" type="noConversion"/>
  </si>
  <si>
    <t>010-5416-4637</t>
    <phoneticPr fontId="5" type="noConversion"/>
  </si>
  <si>
    <t>4년 2개월</t>
    <phoneticPr fontId="5" type="noConversion"/>
  </si>
  <si>
    <t>생약자원개발학과</t>
    <phoneticPr fontId="5" type="noConversion"/>
  </si>
  <si>
    <t>501-068898-01-017</t>
    <phoneticPr fontId="5" type="noConversion"/>
  </si>
  <si>
    <t>010-5282-9628</t>
    <phoneticPr fontId="5" type="noConversion"/>
  </si>
  <si>
    <t>sm.hong@tbell.co.kr</t>
    <phoneticPr fontId="5" type="noConversion"/>
  </si>
  <si>
    <t>공원로6나길 17-5</t>
    <phoneticPr fontId="5" type="noConversion"/>
  </si>
  <si>
    <t>이나리</t>
    <phoneticPr fontId="5" type="noConversion"/>
  </si>
  <si>
    <t>LEE, NaRi</t>
  </si>
  <si>
    <t>880910-2470723</t>
    <phoneticPr fontId="5" type="noConversion"/>
  </si>
  <si>
    <t>010-3109-4930</t>
    <phoneticPr fontId="5" type="noConversion"/>
  </si>
  <si>
    <t>군산대학교</t>
    <phoneticPr fontId="5" type="noConversion"/>
  </si>
  <si>
    <t>국어국문학과</t>
    <phoneticPr fontId="5" type="noConversion"/>
  </si>
  <si>
    <t>078-167348-01-014</t>
    <phoneticPr fontId="5" type="noConversion"/>
  </si>
  <si>
    <t>010-4057-4930</t>
    <phoneticPr fontId="5" type="noConversion"/>
  </si>
  <si>
    <t>nr.lee@tbell.co.kr</t>
    <phoneticPr fontId="5" type="noConversion"/>
  </si>
  <si>
    <t>남부순환로 248길 56, 101동 509호(봉천동, 낙성현대아파트)</t>
    <phoneticPr fontId="5" type="noConversion"/>
  </si>
  <si>
    <t>정화실</t>
    <phoneticPr fontId="5" type="noConversion"/>
  </si>
  <si>
    <t>JUNG, HwaSil</t>
  </si>
  <si>
    <t>810225-2850824</t>
    <phoneticPr fontId="5" type="noConversion"/>
  </si>
  <si>
    <t>010-3802-2143</t>
    <phoneticPr fontId="5" type="noConversion"/>
  </si>
  <si>
    <t>19년 6개월</t>
    <phoneticPr fontId="5" type="noConversion"/>
  </si>
  <si>
    <t>한국방송통신대학교</t>
    <phoneticPr fontId="5" type="noConversion"/>
  </si>
  <si>
    <t>미디어영상학과</t>
    <phoneticPr fontId="5" type="noConversion"/>
  </si>
  <si>
    <t>257-065680-01-014</t>
    <phoneticPr fontId="5" type="noConversion"/>
  </si>
  <si>
    <t>010-4301-2143</t>
    <phoneticPr fontId="5" type="noConversion"/>
  </si>
  <si>
    <t>hs.jung@tbell.co.kr</t>
    <phoneticPr fontId="5" type="noConversion"/>
  </si>
  <si>
    <t>김포한강2로 361, 707동 1002호(장기동,호반베르디움 더퍼스트)</t>
    <phoneticPr fontId="5" type="noConversion"/>
  </si>
  <si>
    <t>주호정</t>
    <phoneticPr fontId="5" type="noConversion"/>
  </si>
  <si>
    <t>JOO, HoJeong</t>
  </si>
  <si>
    <t>021225-4151523</t>
    <phoneticPr fontId="5" type="noConversion"/>
  </si>
  <si>
    <t>010-4196-7157</t>
    <phoneticPr fontId="5" type="noConversion"/>
  </si>
  <si>
    <t>농협은행</t>
    <phoneticPr fontId="4" type="noConversion"/>
  </si>
  <si>
    <t>302-1491-6153-41</t>
    <phoneticPr fontId="5" type="noConversion"/>
  </si>
  <si>
    <t>010-6376-7157</t>
    <phoneticPr fontId="5" type="noConversion"/>
  </si>
  <si>
    <t>hj.joo@tbell.co.kr</t>
    <phoneticPr fontId="5" type="noConversion"/>
  </si>
  <si>
    <t>시흥시</t>
    <phoneticPr fontId="5" type="noConversion"/>
  </si>
  <si>
    <t>역전로 375-8, 101동 704호 (정왕동, 화성아파트)</t>
    <phoneticPr fontId="5" type="noConversion"/>
  </si>
  <si>
    <t>이정원</t>
    <phoneticPr fontId="5" type="noConversion"/>
  </si>
  <si>
    <t>Lee, JeongWon</t>
  </si>
  <si>
    <t>050819-3080113</t>
    <phoneticPr fontId="5" type="noConversion"/>
  </si>
  <si>
    <t>010-5698-2819</t>
    <phoneticPr fontId="5" type="noConversion"/>
  </si>
  <si>
    <t>992-021736-02-012</t>
    <phoneticPr fontId="5" type="noConversion"/>
  </si>
  <si>
    <t>jw.lee@tbell.co.kr</t>
    <phoneticPr fontId="5" type="noConversion"/>
  </si>
  <si>
    <t>성내천로43라길8, 201호(마천동,을해빌라 4차)</t>
    <phoneticPr fontId="5" type="noConversion"/>
  </si>
  <si>
    <t>이상현</t>
    <phoneticPr fontId="5" type="noConversion"/>
  </si>
  <si>
    <t>LEE, Sanghyun</t>
  </si>
  <si>
    <t>051220-3011514</t>
    <phoneticPr fontId="5" type="noConversion"/>
  </si>
  <si>
    <t>010-2214-2891</t>
    <phoneticPr fontId="5" type="noConversion"/>
  </si>
  <si>
    <t>973-067582-01-016</t>
    <phoneticPr fontId="5" type="noConversion"/>
  </si>
  <si>
    <t>sanghyun.lee@tbell.co.kr</t>
    <phoneticPr fontId="5" type="noConversion"/>
  </si>
  <si>
    <t>중랑천로 8, 1502호 (면목동,형진아파트)</t>
    <phoneticPr fontId="5" type="noConversion"/>
  </si>
  <si>
    <t>이수정</t>
    <phoneticPr fontId="5" type="noConversion"/>
  </si>
  <si>
    <t>LEE, SooJung</t>
  </si>
  <si>
    <t>020314-4058711</t>
    <phoneticPr fontId="5" type="noConversion"/>
  </si>
  <si>
    <t>010-2448-3518</t>
    <phoneticPr fontId="5" type="noConversion"/>
  </si>
  <si>
    <t>덕원여자고등학교</t>
    <phoneticPr fontId="5" type="noConversion"/>
  </si>
  <si>
    <t>478-080669-01-015</t>
    <phoneticPr fontId="5" type="noConversion"/>
  </si>
  <si>
    <t>sj.lee@tbell.co.kr</t>
    <phoneticPr fontId="5" type="noConversion"/>
  </si>
  <si>
    <t>화곡로19길 41, B동 402호(화곡동,다솜타운)</t>
    <phoneticPr fontId="5" type="noConversion"/>
  </si>
  <si>
    <t>김민서</t>
    <phoneticPr fontId="5" type="noConversion"/>
  </si>
  <si>
    <t>KIM, MinSeo</t>
  </si>
  <si>
    <t>030712-4411610</t>
    <phoneticPr fontId="5" type="noConversion"/>
  </si>
  <si>
    <t>010-4934-2783</t>
    <phoneticPr fontId="5" type="noConversion"/>
  </si>
  <si>
    <t>보성여자고등학교</t>
    <phoneticPr fontId="5" type="noConversion"/>
  </si>
  <si>
    <t>926-009780-02-012</t>
    <phoneticPr fontId="5" type="noConversion"/>
  </si>
  <si>
    <t>010-5212-2783</t>
    <phoneticPr fontId="5" type="noConversion"/>
  </si>
  <si>
    <t>ms.kim@tbell.co.kr</t>
    <phoneticPr fontId="5" type="noConversion"/>
  </si>
  <si>
    <t>용산구</t>
    <phoneticPr fontId="5" type="noConversion"/>
  </si>
  <si>
    <t>대사관로20길 33</t>
    <phoneticPr fontId="5" type="noConversion"/>
  </si>
  <si>
    <t>용상수</t>
    <phoneticPr fontId="5" type="noConversion"/>
  </si>
  <si>
    <t>YONG, SangSoo</t>
  </si>
  <si>
    <t>850420-1321416</t>
    <phoneticPr fontId="5" type="noConversion"/>
  </si>
  <si>
    <t>010-9873-7139</t>
    <phoneticPr fontId="5" type="noConversion"/>
  </si>
  <si>
    <t>티체크</t>
    <phoneticPr fontId="5" type="noConversion"/>
  </si>
  <si>
    <t>15년 9개월</t>
    <phoneticPr fontId="5" type="noConversion"/>
  </si>
  <si>
    <t>경북전문대학교</t>
    <phoneticPr fontId="5" type="noConversion"/>
  </si>
  <si>
    <t>422-147442-02-019</t>
    <phoneticPr fontId="5" type="noConversion"/>
  </si>
  <si>
    <t>ss.yong@tbell.co.kr</t>
    <phoneticPr fontId="5" type="noConversion"/>
  </si>
  <si>
    <t>오산시</t>
    <phoneticPr fontId="5" type="noConversion"/>
  </si>
  <si>
    <t>운천로 16-22, 604동 304호(원동,주공아파트)</t>
    <phoneticPr fontId="5" type="noConversion"/>
  </si>
  <si>
    <t>이소연</t>
    <phoneticPr fontId="5" type="noConversion"/>
  </si>
  <si>
    <t>LEE, SoYeon</t>
  </si>
  <si>
    <t>930909-2930714</t>
    <phoneticPr fontId="5" type="noConversion"/>
  </si>
  <si>
    <t>010-5027-6528</t>
    <phoneticPr fontId="5" type="noConversion"/>
  </si>
  <si>
    <t>창원문성대학교</t>
    <phoneticPr fontId="5" type="noConversion"/>
  </si>
  <si>
    <t>사회복지행정과</t>
    <phoneticPr fontId="5" type="noConversion"/>
  </si>
  <si>
    <t>580-024864-01-014</t>
    <phoneticPr fontId="5" type="noConversion"/>
  </si>
  <si>
    <t>010-9101-6779</t>
    <phoneticPr fontId="5" type="noConversion"/>
  </si>
  <si>
    <t>sy.lee@tbell.co.kr</t>
    <phoneticPr fontId="5" type="noConversion"/>
  </si>
  <si>
    <t>강서로231, 101동 1403호(화곡동, 우장산역 해링턴타워)</t>
    <phoneticPr fontId="5" type="noConversion"/>
  </si>
  <si>
    <t>김민지</t>
    <phoneticPr fontId="5" type="noConversion"/>
  </si>
  <si>
    <t>KIM, MinJi</t>
  </si>
  <si>
    <t>951229-2249611</t>
    <phoneticPr fontId="5" type="noConversion"/>
  </si>
  <si>
    <t>010-2020-1692</t>
    <phoneticPr fontId="5" type="noConversion"/>
  </si>
  <si>
    <t>극동대학교</t>
    <phoneticPr fontId="5" type="noConversion"/>
  </si>
  <si>
    <t>광고컨테츠디자인학과</t>
    <phoneticPr fontId="5" type="noConversion"/>
  </si>
  <si>
    <t>583-061997-01-019</t>
    <phoneticPr fontId="5" type="noConversion"/>
  </si>
  <si>
    <t>010-3383-4599</t>
    <phoneticPr fontId="5" type="noConversion"/>
  </si>
  <si>
    <t>minji.kim@tbell.co.kr</t>
    <phoneticPr fontId="5" type="noConversion"/>
  </si>
  <si>
    <t>사은로126번길 33, 205동 1001호(보라동, 민속마을신창미선힐아파트)</t>
    <phoneticPr fontId="5" type="noConversion"/>
  </si>
  <si>
    <t>이인혜</t>
    <phoneticPr fontId="5" type="noConversion"/>
  </si>
  <si>
    <t>LEE, InHye</t>
  </si>
  <si>
    <t>930703-2169520</t>
    <phoneticPr fontId="5" type="noConversion"/>
  </si>
  <si>
    <t>010-4424-4922</t>
    <phoneticPr fontId="5" type="noConversion"/>
  </si>
  <si>
    <t>단국대학교</t>
    <phoneticPr fontId="5" type="noConversion"/>
  </si>
  <si>
    <t>공예과</t>
    <phoneticPr fontId="5" type="noConversion"/>
  </si>
  <si>
    <t>583-062008-01-011</t>
    <phoneticPr fontId="5" type="noConversion"/>
  </si>
  <si>
    <t>ih.lee@tbell.co.kr</t>
    <phoneticPr fontId="5" type="noConversion"/>
  </si>
  <si>
    <t>충청남도</t>
    <phoneticPr fontId="5" type="noConversion"/>
  </si>
  <si>
    <t>천안시</t>
    <phoneticPr fontId="5" type="noConversion"/>
  </si>
  <si>
    <t>서북구</t>
    <phoneticPr fontId="5" type="noConversion"/>
  </si>
  <si>
    <t>천안대로 980-17, 106동 2403호</t>
    <phoneticPr fontId="5" type="noConversion"/>
  </si>
  <si>
    <t>이수용</t>
    <phoneticPr fontId="5" type="noConversion"/>
  </si>
  <si>
    <t>LEE, SooYong</t>
  </si>
  <si>
    <t>930225-1144016</t>
    <phoneticPr fontId="5" type="noConversion"/>
  </si>
  <si>
    <t>010-2536-1153</t>
    <phoneticPr fontId="5" type="noConversion"/>
  </si>
  <si>
    <t>5년 3개월</t>
    <phoneticPr fontId="5" type="noConversion"/>
  </si>
  <si>
    <t>서남대학교</t>
    <phoneticPr fontId="5" type="noConversion"/>
  </si>
  <si>
    <t>컴퓨터정보학과</t>
    <phoneticPr fontId="5" type="noConversion"/>
  </si>
  <si>
    <t>568-042838-02-013</t>
    <phoneticPr fontId="5" type="noConversion"/>
  </si>
  <si>
    <t>sooyong.lee@tbell.co.kr</t>
    <phoneticPr fontId="5" type="noConversion"/>
  </si>
  <si>
    <t>장안구</t>
    <phoneticPr fontId="5" type="noConversion"/>
  </si>
  <si>
    <t>정자로19번길 18, 503동 702호</t>
    <phoneticPr fontId="5" type="noConversion"/>
  </si>
  <si>
    <t>조미선</t>
    <phoneticPr fontId="5" type="noConversion"/>
  </si>
  <si>
    <t>Cho, MiSeon</t>
  </si>
  <si>
    <t>830722-2081321</t>
    <phoneticPr fontId="5" type="noConversion"/>
  </si>
  <si>
    <t>010-7409-6847</t>
    <phoneticPr fontId="5" type="noConversion"/>
  </si>
  <si>
    <t>수원여자대학교</t>
    <phoneticPr fontId="5" type="noConversion"/>
  </si>
  <si>
    <t>영어과</t>
    <phoneticPr fontId="5" type="noConversion"/>
  </si>
  <si>
    <t>081-053285-01-024</t>
    <phoneticPr fontId="5" type="noConversion"/>
  </si>
  <si>
    <t>010-6293-6847</t>
    <phoneticPr fontId="5" type="noConversion"/>
  </si>
  <si>
    <t>ms.cho@tbell.co.kr</t>
    <phoneticPr fontId="5" type="noConversion"/>
  </si>
  <si>
    <t>남부순환로95길 54, 105동 708호</t>
    <phoneticPr fontId="5" type="noConversion"/>
  </si>
  <si>
    <t>배종은</t>
    <phoneticPr fontId="5" type="noConversion"/>
  </si>
  <si>
    <t>Bae, JongEun</t>
  </si>
  <si>
    <t>950602-1253522</t>
    <phoneticPr fontId="5" type="noConversion"/>
  </si>
  <si>
    <t>010-8077-8426</t>
    <phoneticPr fontId="5" type="noConversion"/>
  </si>
  <si>
    <t>목원대학교</t>
    <phoneticPr fontId="5" type="noConversion"/>
  </si>
  <si>
    <t>경영학과</t>
    <phoneticPr fontId="5" type="noConversion"/>
  </si>
  <si>
    <t>353-095189-01-010</t>
    <phoneticPr fontId="5" type="noConversion"/>
  </si>
  <si>
    <t>010-2000-9141</t>
    <phoneticPr fontId="5" type="noConversion"/>
  </si>
  <si>
    <t>je.bae@tcheck.co.kr</t>
    <phoneticPr fontId="5" type="noConversion"/>
  </si>
  <si>
    <t>평택시</t>
    <phoneticPr fontId="5" type="noConversion"/>
  </si>
  <si>
    <t>송일로37번길 28, 201호</t>
    <phoneticPr fontId="5" type="noConversion"/>
  </si>
  <si>
    <t>강요한</t>
    <phoneticPr fontId="5" type="noConversion"/>
  </si>
  <si>
    <t>KANG, YoHan</t>
  </si>
  <si>
    <t>920206-1018822</t>
    <phoneticPr fontId="5" type="noConversion"/>
  </si>
  <si>
    <t>010-4166-9783</t>
    <phoneticPr fontId="5" type="noConversion"/>
  </si>
  <si>
    <t>6년 8개월</t>
    <phoneticPr fontId="5" type="noConversion"/>
  </si>
  <si>
    <t>게임컨텐츠과</t>
    <phoneticPr fontId="5" type="noConversion"/>
  </si>
  <si>
    <t>568-036115-01-017</t>
    <phoneticPr fontId="5" type="noConversion"/>
  </si>
  <si>
    <t>yh.kang@tbell.co.kr</t>
    <phoneticPr fontId="5" type="noConversion"/>
  </si>
  <si>
    <t>신장로136번길 38, 지1층(덕풍동)</t>
    <phoneticPr fontId="5" type="noConversion"/>
  </si>
  <si>
    <t>김건희</t>
    <phoneticPr fontId="5" type="noConversion"/>
  </si>
  <si>
    <t>KIM, GeonHui</t>
  </si>
  <si>
    <t>941007-1167928</t>
    <phoneticPr fontId="5" type="noConversion"/>
  </si>
  <si>
    <t>010-9371-6472</t>
    <phoneticPr fontId="5" type="noConversion"/>
  </si>
  <si>
    <t>3년 2개월</t>
    <phoneticPr fontId="5" type="noConversion"/>
  </si>
  <si>
    <t>스마트IT컨텐츠과</t>
    <phoneticPr fontId="5" type="noConversion"/>
  </si>
  <si>
    <t>299-083329-02-013</t>
    <phoneticPr fontId="5" type="noConversion"/>
  </si>
  <si>
    <t>geonhui.kim@tbell.co.kr</t>
    <phoneticPr fontId="5" type="noConversion"/>
  </si>
  <si>
    <t>강남동로20, 505동 601호(구갈동,강남마을코오롱하늘채)</t>
    <phoneticPr fontId="5" type="noConversion"/>
  </si>
  <si>
    <t>김효민</t>
    <phoneticPr fontId="5" type="noConversion"/>
  </si>
  <si>
    <t>KIM, HyoMin</t>
  </si>
  <si>
    <t>980814-2066420</t>
    <phoneticPr fontId="5" type="noConversion"/>
  </si>
  <si>
    <t>010-5675-2940</t>
    <phoneticPr fontId="5" type="noConversion"/>
  </si>
  <si>
    <t>2년 1개월</t>
    <phoneticPr fontId="5" type="noConversion"/>
  </si>
  <si>
    <t>컴퓨터소프트웨어과</t>
    <phoneticPr fontId="5" type="noConversion"/>
  </si>
  <si>
    <t>513-049147-02-015</t>
    <phoneticPr fontId="5" type="noConversion"/>
  </si>
  <si>
    <t>hm.kim@tbell.co.kr</t>
    <phoneticPr fontId="5" type="noConversion"/>
  </si>
  <si>
    <t>독서당로62길 43,10동 1304호(응봉동,대림아파트)</t>
    <phoneticPr fontId="5" type="noConversion"/>
  </si>
  <si>
    <t>홍운주</t>
    <phoneticPr fontId="5" type="noConversion"/>
  </si>
  <si>
    <t>Hong, UnJoo</t>
  </si>
  <si>
    <t>000601-4196626</t>
    <phoneticPr fontId="5" type="noConversion"/>
  </si>
  <si>
    <t>010-2396-2814</t>
    <phoneticPr fontId="5" type="noConversion"/>
  </si>
  <si>
    <t>1년 1개월</t>
    <phoneticPr fontId="5" type="noConversion"/>
  </si>
  <si>
    <t>장안대학교</t>
    <phoneticPr fontId="5" type="noConversion"/>
  </si>
  <si>
    <t>589-060521-01-015</t>
    <phoneticPr fontId="5" type="noConversion"/>
  </si>
  <si>
    <t>010-4322-2814</t>
    <phoneticPr fontId="5" type="noConversion"/>
  </si>
  <si>
    <t>uj.hong@tbell.co.kr</t>
    <phoneticPr fontId="5" type="noConversion"/>
  </si>
  <si>
    <t>동두천시</t>
    <phoneticPr fontId="5" type="noConversion"/>
  </si>
  <si>
    <t>동두천로 185, 504동 1002호(생연동,부영아파트)</t>
    <phoneticPr fontId="5" type="noConversion"/>
  </si>
  <si>
    <t>정기명</t>
    <phoneticPr fontId="5" type="noConversion"/>
  </si>
  <si>
    <t>Jeong, KiMyoung</t>
  </si>
  <si>
    <t>900103-1567413</t>
    <phoneticPr fontId="5" type="noConversion"/>
  </si>
  <si>
    <t>010-6221-3129</t>
    <phoneticPr fontId="5" type="noConversion"/>
  </si>
  <si>
    <t>3년 4개월</t>
    <phoneticPr fontId="5" type="noConversion"/>
  </si>
  <si>
    <t>영진전문대학교</t>
    <phoneticPr fontId="5" type="noConversion"/>
  </si>
  <si>
    <t>컴퓨터정보계열</t>
    <phoneticPr fontId="5" type="noConversion"/>
  </si>
  <si>
    <t>469-049691-01-015</t>
    <phoneticPr fontId="5" type="noConversion"/>
  </si>
  <si>
    <t>km.jeong@tbell.co.kr</t>
    <phoneticPr fontId="5" type="noConversion"/>
  </si>
  <si>
    <t>느티로 22, A동 616호(정자동, 백궁동양파라곤)</t>
    <phoneticPr fontId="5" type="noConversion"/>
  </si>
  <si>
    <t>고재권</t>
    <phoneticPr fontId="5" type="noConversion"/>
  </si>
  <si>
    <t>Go, HaeKwon</t>
  </si>
  <si>
    <t>011011-3207011</t>
    <phoneticPr fontId="5" type="noConversion"/>
  </si>
  <si>
    <t>010-7240-6963</t>
    <phoneticPr fontId="5" type="noConversion"/>
  </si>
  <si>
    <t>오산대학교</t>
    <phoneticPr fontId="5" type="noConversion"/>
  </si>
  <si>
    <t>소프트웨어학과</t>
    <phoneticPr fontId="5" type="noConversion"/>
  </si>
  <si>
    <t>129-083867-01-014</t>
    <phoneticPr fontId="5" type="noConversion"/>
  </si>
  <si>
    <t>jk.go@tcheck.co.kr</t>
    <phoneticPr fontId="5" type="noConversion"/>
  </si>
  <si>
    <t>온사로290번길 33,라동 103호(오산동,은하연림)</t>
    <phoneticPr fontId="5" type="noConversion"/>
  </si>
  <si>
    <t>최재현</t>
    <phoneticPr fontId="5" type="noConversion"/>
  </si>
  <si>
    <t>Choi, JaeHyeon</t>
  </si>
  <si>
    <t>960509-1411810</t>
    <phoneticPr fontId="5" type="noConversion"/>
  </si>
  <si>
    <t>010-5644-6110</t>
    <phoneticPr fontId="5" type="noConversion"/>
  </si>
  <si>
    <t>순천향대학교</t>
    <phoneticPr fontId="5" type="noConversion"/>
  </si>
  <si>
    <t>ㅊLD</t>
    <phoneticPr fontId="5" type="noConversion"/>
  </si>
  <si>
    <t>341-125333-02-014</t>
    <phoneticPr fontId="5" type="noConversion"/>
  </si>
  <si>
    <t>jh.choi@tbell.co.kr</t>
    <phoneticPr fontId="5" type="noConversion"/>
  </si>
  <si>
    <t>신촌로73번길 5-7, 203호(보정동)</t>
    <phoneticPr fontId="5" type="noConversion"/>
  </si>
  <si>
    <t>문희</t>
    <phoneticPr fontId="5" type="noConversion"/>
  </si>
  <si>
    <t>Mun, Hee</t>
    <phoneticPr fontId="5" type="noConversion"/>
  </si>
  <si>
    <t>781205-2231712</t>
    <phoneticPr fontId="5" type="noConversion"/>
  </si>
  <si>
    <t>010-7208-8722</t>
    <phoneticPr fontId="5" type="noConversion"/>
  </si>
  <si>
    <t>7년 7개월</t>
    <phoneticPr fontId="5" type="noConversion"/>
  </si>
  <si>
    <t>0년1개월</t>
  </si>
  <si>
    <t>산업경영과</t>
    <phoneticPr fontId="5" type="noConversion"/>
  </si>
  <si>
    <t>미해당</t>
  </si>
  <si>
    <t>954-038150-02-019</t>
    <phoneticPr fontId="5" type="noConversion"/>
  </si>
  <si>
    <t>h.mun@tbell.co.kr</t>
    <phoneticPr fontId="5" type="noConversion"/>
  </si>
  <si>
    <t>강동구</t>
    <phoneticPr fontId="5" type="noConversion"/>
  </si>
  <si>
    <t>상암로79길 88, 708동 2801호(상일동,고덕롯데캐슬베네루체)</t>
    <phoneticPr fontId="5" type="noConversion"/>
  </si>
  <si>
    <t>김현수</t>
    <phoneticPr fontId="5" type="noConversion"/>
  </si>
  <si>
    <t>KIM, HyunSoo</t>
  </si>
  <si>
    <t>930812-1262113</t>
    <phoneticPr fontId="5" type="noConversion"/>
  </si>
  <si>
    <t>010-4067-6295</t>
    <phoneticPr fontId="5" type="noConversion"/>
  </si>
  <si>
    <t>세명대학교</t>
    <phoneticPr fontId="5" type="noConversion"/>
  </si>
  <si>
    <t>072-142509-02-012</t>
    <phoneticPr fontId="5" type="noConversion"/>
  </si>
  <si>
    <t>010-7240-5295</t>
    <phoneticPr fontId="5" type="noConversion"/>
  </si>
  <si>
    <t>hs.kim@tbell.co.kr</t>
    <phoneticPr fontId="5" type="noConversion"/>
  </si>
  <si>
    <t>효령로 22, 602호 (방배동, 멤버스뷰)</t>
    <phoneticPr fontId="5" type="noConversion"/>
  </si>
  <si>
    <t>오은규</t>
    <phoneticPr fontId="5" type="noConversion"/>
  </si>
  <si>
    <t>Oh, EunGyu</t>
  </si>
  <si>
    <t>000104-3198211</t>
    <phoneticPr fontId="5" type="noConversion"/>
  </si>
  <si>
    <t>010-2298-2143</t>
    <phoneticPr fontId="5" type="noConversion"/>
  </si>
  <si>
    <t>345-151104-02-011</t>
    <phoneticPr fontId="5" type="noConversion"/>
  </si>
  <si>
    <t>eg.oh@tbell.co.kr</t>
    <phoneticPr fontId="5" type="noConversion"/>
  </si>
  <si>
    <t>상록구</t>
    <phoneticPr fontId="5" type="noConversion"/>
  </si>
  <si>
    <t>본삼로8, 110동 104호(본오동,본오주공아파트)</t>
    <phoneticPr fontId="5" type="noConversion"/>
  </si>
  <si>
    <t>이광진</t>
    <phoneticPr fontId="5" type="noConversion"/>
  </si>
  <si>
    <t>LEE, KwangJin</t>
  </si>
  <si>
    <t>960104-1209218</t>
    <phoneticPr fontId="5" type="noConversion"/>
  </si>
  <si>
    <t>010-9605-4294</t>
    <phoneticPr fontId="5" type="noConversion"/>
  </si>
  <si>
    <t>건축과</t>
    <phoneticPr fontId="5" type="noConversion"/>
  </si>
  <si>
    <t>261-080888-01-012</t>
    <phoneticPr fontId="5" type="noConversion"/>
  </si>
  <si>
    <t>kj.lee@tbell.co.kr</t>
    <phoneticPr fontId="5" type="noConversion"/>
  </si>
  <si>
    <t>아차산로29길 52-10</t>
    <phoneticPr fontId="5" type="noConversion"/>
  </si>
  <si>
    <t>김지성</t>
    <phoneticPr fontId="5" type="noConversion"/>
  </si>
  <si>
    <t>KIM, JISEONG</t>
  </si>
  <si>
    <t>950107-1063331</t>
    <phoneticPr fontId="5" type="noConversion"/>
  </si>
  <si>
    <t>010-2799-1701</t>
    <phoneticPr fontId="5" type="noConversion"/>
  </si>
  <si>
    <t>강릉원주대학교</t>
    <phoneticPr fontId="5" type="noConversion"/>
  </si>
  <si>
    <t>051-040474-01-025</t>
    <phoneticPr fontId="5" type="noConversion"/>
  </si>
  <si>
    <t>jiseong.kim@tbell.co.kr</t>
    <phoneticPr fontId="5" type="noConversion"/>
  </si>
  <si>
    <t>공항대로61길 60, 103동 601호(염창동,태영송화아파트)</t>
    <phoneticPr fontId="5" type="noConversion"/>
  </si>
  <si>
    <t>최수빈</t>
    <phoneticPr fontId="5" type="noConversion"/>
  </si>
  <si>
    <t>CHOI, SuBin</t>
  </si>
  <si>
    <t>990322-2162318</t>
    <phoneticPr fontId="5" type="noConversion"/>
  </si>
  <si>
    <t>010-8779-7325</t>
    <phoneticPr fontId="5" type="noConversion"/>
  </si>
  <si>
    <t>2년 9개월</t>
    <phoneticPr fontId="5" type="noConversion"/>
  </si>
  <si>
    <t>한국폴리텍대학</t>
    <phoneticPr fontId="5" type="noConversion"/>
  </si>
  <si>
    <t>컴퓨터정보과</t>
    <phoneticPr fontId="5" type="noConversion"/>
  </si>
  <si>
    <t>034-105765-02-011</t>
    <phoneticPr fontId="5" type="noConversion"/>
  </si>
  <si>
    <t>sb.choi@tbell.co.kr</t>
    <phoneticPr fontId="5" type="noConversion"/>
  </si>
  <si>
    <t>중동로364번길 28-13,A동503호</t>
    <phoneticPr fontId="5" type="noConversion"/>
  </si>
  <si>
    <t>홍승재</t>
    <phoneticPr fontId="5" type="noConversion"/>
  </si>
  <si>
    <t>HONG, SeungJae</t>
  </si>
  <si>
    <t>970503-1042339</t>
    <phoneticPr fontId="5" type="noConversion"/>
  </si>
  <si>
    <t>010-9771-3654</t>
    <phoneticPr fontId="5" type="noConversion"/>
  </si>
  <si>
    <t>연성대학교</t>
    <phoneticPr fontId="5" type="noConversion"/>
  </si>
  <si>
    <t>디지털전자과</t>
    <phoneticPr fontId="5" type="noConversion"/>
  </si>
  <si>
    <t>973-004745-01-012</t>
    <phoneticPr fontId="5" type="noConversion"/>
  </si>
  <si>
    <t>sj.hong@tbell.co.kr</t>
    <phoneticPr fontId="5" type="noConversion"/>
  </si>
  <si>
    <t>은평구</t>
    <phoneticPr fontId="5" type="noConversion"/>
  </si>
  <si>
    <t>연서로9길 10-1, 402호</t>
    <phoneticPr fontId="5" type="noConversion"/>
  </si>
  <si>
    <t>김민주b</t>
    <phoneticPr fontId="5" type="noConversion"/>
  </si>
  <si>
    <t>KIM, MinJu</t>
  </si>
  <si>
    <t>040423-4066721</t>
    <phoneticPr fontId="5" type="noConversion"/>
  </si>
  <si>
    <t>010-9343-9036</t>
    <phoneticPr fontId="5" type="noConversion"/>
  </si>
  <si>
    <t>미림여자정보과학고등학교</t>
    <phoneticPr fontId="5" type="noConversion"/>
  </si>
  <si>
    <t>뉴미디어웹솔루션과</t>
    <phoneticPr fontId="5" type="noConversion"/>
  </si>
  <si>
    <t>071-106268-01-014</t>
    <phoneticPr fontId="5" type="noConversion"/>
  </si>
  <si>
    <t>minju.kim@tbell.co.kr</t>
    <phoneticPr fontId="5" type="noConversion"/>
  </si>
  <si>
    <t>장승배기로19가길 26-4</t>
    <phoneticPr fontId="5" type="noConversion"/>
  </si>
  <si>
    <t>유정선</t>
    <phoneticPr fontId="5" type="noConversion"/>
  </si>
  <si>
    <t>RYU, JungSun</t>
  </si>
  <si>
    <t>920904-1017212</t>
    <phoneticPr fontId="5" type="noConversion"/>
  </si>
  <si>
    <t>010-7710-4562</t>
    <phoneticPr fontId="5" type="noConversion"/>
  </si>
  <si>
    <t>1년 10개월</t>
    <phoneticPr fontId="5" type="noConversion"/>
  </si>
  <si>
    <t>가천대학교</t>
    <phoneticPr fontId="5" type="noConversion"/>
  </si>
  <si>
    <t>수학금융정보학과</t>
    <phoneticPr fontId="5" type="noConversion"/>
  </si>
  <si>
    <t>SQL 개발자</t>
    <phoneticPr fontId="5" type="noConversion"/>
  </si>
  <si>
    <t>한국데이터산업진흥협회</t>
    <phoneticPr fontId="5" type="noConversion"/>
  </si>
  <si>
    <t>942-017219-01-011</t>
    <phoneticPr fontId="5" type="noConversion"/>
  </si>
  <si>
    <t>js.ryu@tbell.co.kr</t>
    <phoneticPr fontId="5" type="noConversion"/>
  </si>
  <si>
    <t>수정구</t>
    <phoneticPr fontId="5" type="noConversion"/>
  </si>
  <si>
    <t>창업로40번길 6, 101동 425호</t>
    <phoneticPr fontId="5" type="noConversion"/>
  </si>
  <si>
    <t>가라현</t>
    <phoneticPr fontId="5" type="noConversion"/>
  </si>
  <si>
    <t>KA, RaHyun</t>
  </si>
  <si>
    <t>000406-4194015</t>
    <phoneticPr fontId="5" type="noConversion"/>
  </si>
  <si>
    <t>010-9817-0737</t>
    <phoneticPr fontId="5" type="noConversion"/>
  </si>
  <si>
    <t>2년 3개월</t>
    <phoneticPr fontId="5" type="noConversion"/>
  </si>
  <si>
    <t>호텔관광과</t>
    <phoneticPr fontId="5" type="noConversion"/>
  </si>
  <si>
    <t>855-019508-02-013</t>
    <phoneticPr fontId="5" type="noConversion"/>
  </si>
  <si>
    <t>010-3517-0737</t>
    <phoneticPr fontId="5" type="noConversion"/>
  </si>
  <si>
    <t>rh.ka@tbell.co.kr</t>
    <phoneticPr fontId="5" type="noConversion"/>
  </si>
  <si>
    <t>수유동 270-82 하나아이파크 304호</t>
    <phoneticPr fontId="5" type="noConversion"/>
  </si>
  <si>
    <t>박현수</t>
    <phoneticPr fontId="5" type="noConversion"/>
  </si>
  <si>
    <t>PARK, Hyeonsu</t>
  </si>
  <si>
    <t>970909-1300811</t>
    <phoneticPr fontId="5" type="noConversion"/>
  </si>
  <si>
    <t>010-5098-9577</t>
    <phoneticPr fontId="5" type="noConversion"/>
  </si>
  <si>
    <t>구미대학교</t>
    <phoneticPr fontId="5" type="noConversion"/>
  </si>
  <si>
    <t>컴퓨터소프트웨어</t>
    <phoneticPr fontId="5" type="noConversion"/>
  </si>
  <si>
    <t>973-010585-01-014</t>
    <phoneticPr fontId="5" type="noConversion"/>
  </si>
  <si>
    <t>hs.park@tbell.co.kr</t>
    <phoneticPr fontId="5" type="noConversion"/>
  </si>
  <si>
    <t>향남읍</t>
    <phoneticPr fontId="5" type="noConversion"/>
  </si>
  <si>
    <t>향남로39번길 22, 1501동 602호</t>
    <phoneticPr fontId="5" type="noConversion"/>
  </si>
  <si>
    <t>황성호</t>
    <phoneticPr fontId="5" type="noConversion"/>
  </si>
  <si>
    <t>HWANG, SeongHo</t>
  </si>
  <si>
    <t>950704-1067513</t>
    <phoneticPr fontId="5" type="noConversion"/>
  </si>
  <si>
    <t>010-3322-7462</t>
    <phoneticPr fontId="5" type="noConversion"/>
  </si>
  <si>
    <t>국립군산대학교</t>
    <phoneticPr fontId="5" type="noConversion"/>
  </si>
  <si>
    <t>소프트웨어융합공학과</t>
    <phoneticPr fontId="5" type="noConversion"/>
  </si>
  <si>
    <t>중퇴</t>
    <phoneticPr fontId="5" type="noConversion"/>
  </si>
  <si>
    <t>480-079387-01-015</t>
    <phoneticPr fontId="5" type="noConversion"/>
  </si>
  <si>
    <t>010-8595-3085</t>
    <phoneticPr fontId="5" type="noConversion"/>
  </si>
  <si>
    <t>sh.hwang@tbell.co.kr</t>
    <phoneticPr fontId="5" type="noConversion"/>
  </si>
  <si>
    <t>체육로</t>
    <phoneticPr fontId="5" type="noConversion"/>
  </si>
  <si>
    <t>278, 102동 230호 (녹양동, 휴먼시아 아파트)</t>
    <phoneticPr fontId="5" type="noConversion"/>
  </si>
  <si>
    <t>사지영</t>
    <phoneticPr fontId="5" type="noConversion"/>
  </si>
  <si>
    <t>SA, JiYoung</t>
  </si>
  <si>
    <t>041221-4032411</t>
    <phoneticPr fontId="5" type="noConversion"/>
  </si>
  <si>
    <t>010-7152-9054</t>
    <phoneticPr fontId="5" type="noConversion"/>
  </si>
  <si>
    <t>반도체소프트웨어과</t>
    <phoneticPr fontId="5" type="noConversion"/>
  </si>
  <si>
    <t>재학중</t>
    <phoneticPr fontId="5" type="noConversion"/>
  </si>
  <si>
    <t>310-151525-02-010</t>
    <phoneticPr fontId="5" type="noConversion"/>
  </si>
  <si>
    <t>jy.sa@tbell.co.kr</t>
    <phoneticPr fontId="5" type="noConversion"/>
  </si>
  <si>
    <t>도봉로98길 33, 101동 305호 (번동, 삼성아파트)</t>
    <phoneticPr fontId="5" type="noConversion"/>
  </si>
  <si>
    <t>조하은</t>
    <phoneticPr fontId="5" type="noConversion"/>
  </si>
  <si>
    <t>CHO, HaEun</t>
  </si>
  <si>
    <t>980714-2187713</t>
    <phoneticPr fontId="5" type="noConversion"/>
  </si>
  <si>
    <t>010-5403-0640</t>
    <phoneticPr fontId="5" type="noConversion"/>
  </si>
  <si>
    <t>경인여자대학교</t>
    <phoneticPr fontId="5" type="noConversion"/>
  </si>
  <si>
    <t>사회복지과</t>
    <phoneticPr fontId="5" type="noConversion"/>
  </si>
  <si>
    <t>149-126673-02-018</t>
    <phoneticPr fontId="5" type="noConversion"/>
  </si>
  <si>
    <t>010-5293-7534</t>
    <phoneticPr fontId="5" type="noConversion"/>
  </si>
  <si>
    <t>he.cho@tbell.co.kr</t>
    <phoneticPr fontId="5" type="noConversion"/>
  </si>
  <si>
    <t>대방천로14길 32, 301동 810호 (신길동, 우성아파트)</t>
    <phoneticPr fontId="5" type="noConversion"/>
  </si>
  <si>
    <t>김진</t>
    <phoneticPr fontId="5" type="noConversion"/>
  </si>
  <si>
    <t>KIM, Jin</t>
    <phoneticPr fontId="5" type="noConversion"/>
  </si>
  <si>
    <t>980216-1057527</t>
    <phoneticPr fontId="5" type="noConversion"/>
  </si>
  <si>
    <t>010-9822-4849</t>
    <phoneticPr fontId="5" type="noConversion"/>
  </si>
  <si>
    <t>458-072001-01-011</t>
    <phoneticPr fontId="5" type="noConversion"/>
  </si>
  <si>
    <t>010-5342-4849</t>
    <phoneticPr fontId="5" type="noConversion"/>
  </si>
  <si>
    <t>jin.kim@tbell.co.kr</t>
    <phoneticPr fontId="5" type="noConversion"/>
  </si>
  <si>
    <t>일산서구</t>
    <phoneticPr fontId="5" type="noConversion"/>
  </si>
  <si>
    <t>산현로17번길 38, 1107동 602호 (탄현동, 탄현마을)</t>
    <phoneticPr fontId="5" type="noConversion"/>
  </si>
  <si>
    <t>김종혁</t>
    <phoneticPr fontId="5" type="noConversion"/>
  </si>
  <si>
    <t>KIM, JongHyuk</t>
  </si>
  <si>
    <t>790303-1560519</t>
    <phoneticPr fontId="5" type="noConversion"/>
  </si>
  <si>
    <t>010-9872-4812</t>
    <phoneticPr fontId="5" type="noConversion"/>
  </si>
  <si>
    <t>19년 8개월</t>
    <phoneticPr fontId="5" type="noConversion"/>
  </si>
  <si>
    <t>성공회대학교</t>
    <phoneticPr fontId="5" type="noConversion"/>
  </si>
  <si>
    <t>257-107264-01-012</t>
    <phoneticPr fontId="5" type="noConversion"/>
  </si>
  <si>
    <t>아내</t>
    <phoneticPr fontId="5" type="noConversion"/>
  </si>
  <si>
    <t>010-9872-0246</t>
    <phoneticPr fontId="5" type="noConversion"/>
  </si>
  <si>
    <t>jonghyuk.kim@tbell.co.kr</t>
    <phoneticPr fontId="5" type="noConversion"/>
  </si>
  <si>
    <t>도림로 313, 나동 1201호</t>
    <phoneticPr fontId="5" type="noConversion"/>
  </si>
  <si>
    <t>주재우</t>
    <phoneticPr fontId="5" type="noConversion"/>
  </si>
  <si>
    <t>JU, JaeWoo</t>
  </si>
  <si>
    <t>830422-1066210</t>
    <phoneticPr fontId="5" type="noConversion"/>
  </si>
  <si>
    <t>010-8214-4302</t>
    <phoneticPr fontId="5" type="noConversion"/>
  </si>
  <si>
    <t>11년 9개월</t>
    <phoneticPr fontId="5" type="noConversion"/>
  </si>
  <si>
    <t>게임프로그래밍과</t>
    <phoneticPr fontId="5" type="noConversion"/>
  </si>
  <si>
    <t>257-107327-01-011</t>
    <phoneticPr fontId="5" type="noConversion"/>
  </si>
  <si>
    <t>jw.joo@tbell.co.kr</t>
    <phoneticPr fontId="5" type="noConversion"/>
  </si>
  <si>
    <t>오정구</t>
    <phoneticPr fontId="5" type="noConversion"/>
  </si>
  <si>
    <t>소사로 855, 102동 606호</t>
    <phoneticPr fontId="5" type="noConversion"/>
  </si>
  <si>
    <t>구지원</t>
    <phoneticPr fontId="5" type="noConversion"/>
  </si>
  <si>
    <t>KOO, JiWon</t>
  </si>
  <si>
    <t>010523-4268717</t>
    <phoneticPr fontId="5" type="noConversion"/>
  </si>
  <si>
    <t>010-6536-7576</t>
    <phoneticPr fontId="5" type="noConversion"/>
  </si>
  <si>
    <t>비주얼게임컨텐츠</t>
    <phoneticPr fontId="5" type="noConversion"/>
  </si>
  <si>
    <t>564-063637-01-010</t>
    <phoneticPr fontId="5" type="noConversion"/>
  </si>
  <si>
    <t>010-9798-9009</t>
    <phoneticPr fontId="5" type="noConversion"/>
  </si>
  <si>
    <t>jw.koo@tbell.co.kr</t>
    <phoneticPr fontId="5" type="noConversion"/>
  </si>
  <si>
    <t>서울특별시</t>
    <phoneticPr fontId="5" type="noConversion"/>
  </si>
  <si>
    <t>서부샛길 528, 815호 (가산동, 가산 미소지움)</t>
    <phoneticPr fontId="5" type="noConversion"/>
  </si>
  <si>
    <t>박소현</t>
    <phoneticPr fontId="5" type="noConversion"/>
  </si>
  <si>
    <t>PARK, SoHyun</t>
  </si>
  <si>
    <t>960506-2213716</t>
    <phoneticPr fontId="5" type="noConversion"/>
  </si>
  <si>
    <t>010-6852-0631</t>
    <phoneticPr fontId="5" type="noConversion"/>
  </si>
  <si>
    <t>중부대학교</t>
    <phoneticPr fontId="5" type="noConversion"/>
  </si>
  <si>
    <t>427-160922-02-019</t>
    <phoneticPr fontId="5" type="noConversion"/>
  </si>
  <si>
    <t>sohyun.park@tbell.co.kr</t>
    <phoneticPr fontId="5" type="noConversion"/>
  </si>
  <si>
    <t>백남준로 50-12, A동 3층</t>
    <phoneticPr fontId="5" type="noConversion"/>
  </si>
  <si>
    <t>정승헌</t>
    <phoneticPr fontId="5" type="noConversion"/>
  </si>
  <si>
    <t>JEONG, SeungHeon</t>
  </si>
  <si>
    <t>910610-1068014</t>
    <phoneticPr fontId="5" type="noConversion"/>
  </si>
  <si>
    <t>010-5102-9345</t>
    <phoneticPr fontId="5" type="noConversion"/>
  </si>
  <si>
    <t>486-048961-01-018</t>
    <phoneticPr fontId="5" type="noConversion"/>
  </si>
  <si>
    <t>sh.jeong@tbell.co.kr</t>
    <phoneticPr fontId="5" type="noConversion"/>
  </si>
  <si>
    <t>장고개로337번길</t>
    <phoneticPr fontId="5" type="noConversion"/>
  </si>
  <si>
    <t>32, 5동 1408호</t>
    <phoneticPr fontId="5" type="noConversion"/>
  </si>
  <si>
    <t>최인석</t>
    <phoneticPr fontId="5" type="noConversion"/>
  </si>
  <si>
    <t>CHOI, Insuk</t>
  </si>
  <si>
    <t>881125-1163217</t>
    <phoneticPr fontId="5" type="noConversion"/>
  </si>
  <si>
    <t>010-4288-7185</t>
    <phoneticPr fontId="5" type="noConversion"/>
  </si>
  <si>
    <t>6년 2개월</t>
    <phoneticPr fontId="5" type="noConversion"/>
  </si>
  <si>
    <t>607-041129-01-011</t>
    <phoneticPr fontId="5" type="noConversion"/>
  </si>
  <si>
    <t>010-5518-6204</t>
    <phoneticPr fontId="5" type="noConversion"/>
  </si>
  <si>
    <t>is.choi@tbell.co.kr</t>
    <phoneticPr fontId="5" type="noConversion"/>
  </si>
  <si>
    <t>동탄공원로 21-12, 910동 2002호 (능동, 동탄푸른마을 포스코더샾 아파트)</t>
    <phoneticPr fontId="5" type="noConversion"/>
  </si>
  <si>
    <t>최현민</t>
    <phoneticPr fontId="5" type="noConversion"/>
  </si>
  <si>
    <t>CHOI, HyunMin</t>
  </si>
  <si>
    <t>930924-1185117</t>
    <phoneticPr fontId="5" type="noConversion"/>
  </si>
  <si>
    <t>010-2060-4263</t>
    <phoneticPr fontId="5" type="noConversion"/>
  </si>
  <si>
    <t>3년 7개월</t>
    <phoneticPr fontId="5" type="noConversion"/>
  </si>
  <si>
    <t>450-077390-01-017</t>
    <phoneticPr fontId="5" type="noConversion"/>
  </si>
  <si>
    <t>010-6470-4263</t>
    <phoneticPr fontId="5" type="noConversion"/>
  </si>
  <si>
    <t>hm.choi@tbell.co.kr</t>
    <phoneticPr fontId="5" type="noConversion"/>
  </si>
  <si>
    <t>성대로3길 16 (상도동)</t>
    <phoneticPr fontId="5" type="noConversion"/>
  </si>
  <si>
    <t>손진빈</t>
    <phoneticPr fontId="5" type="noConversion"/>
  </si>
  <si>
    <t>SON, JinBin</t>
  </si>
  <si>
    <t>000226-3047319</t>
    <phoneticPr fontId="5" type="noConversion"/>
  </si>
  <si>
    <t>010-3476-0882</t>
    <phoneticPr fontId="5" type="noConversion"/>
  </si>
  <si>
    <t>049-027897-01-032</t>
    <phoneticPr fontId="5" type="noConversion"/>
  </si>
  <si>
    <t>010-5671-0882</t>
    <phoneticPr fontId="5" type="noConversion"/>
  </si>
  <si>
    <t>jb.son@tbell.co.kr</t>
    <phoneticPr fontId="5" type="noConversion"/>
  </si>
  <si>
    <t>광성로 17, 101동 2102호</t>
    <phoneticPr fontId="5" type="noConversion"/>
  </si>
  <si>
    <t>홍선아</t>
    <phoneticPr fontId="5" type="noConversion"/>
  </si>
  <si>
    <t>HONG, SeonAh</t>
  </si>
  <si>
    <t>860401-2025211</t>
    <phoneticPr fontId="5" type="noConversion"/>
  </si>
  <si>
    <t>010-4557-0990</t>
    <phoneticPr fontId="5" type="noConversion"/>
  </si>
  <si>
    <t>3년 5개월</t>
    <phoneticPr fontId="5" type="noConversion"/>
  </si>
  <si>
    <t>컴퓨터과학과</t>
    <phoneticPr fontId="5" type="noConversion"/>
  </si>
  <si>
    <t>117-152460-01-012</t>
    <phoneticPr fontId="5" type="noConversion"/>
  </si>
  <si>
    <t>010-2409-0197</t>
    <phoneticPr fontId="5" type="noConversion"/>
  </si>
  <si>
    <t>sa.hong@tbell.co.kr</t>
    <phoneticPr fontId="5" type="noConversion"/>
  </si>
  <si>
    <t>처인구</t>
    <phoneticPr fontId="5" type="noConversion"/>
  </si>
  <si>
    <t>포곡읍 포곡로123번길 18-9, 403호 (태영아파트)</t>
    <phoneticPr fontId="5" type="noConversion"/>
  </si>
  <si>
    <t>최재영</t>
    <phoneticPr fontId="5" type="noConversion"/>
  </si>
  <si>
    <t>CHOI, JaeYeong</t>
  </si>
  <si>
    <t>950615-1019728</t>
    <phoneticPr fontId="5" type="noConversion"/>
  </si>
  <si>
    <t>010-4609-8633</t>
    <phoneticPr fontId="5" type="noConversion"/>
  </si>
  <si>
    <t>7년 1개월</t>
    <phoneticPr fontId="5" type="noConversion"/>
  </si>
  <si>
    <t>이동통신과</t>
    <phoneticPr fontId="5" type="noConversion"/>
  </si>
  <si>
    <t>2016.02.22</t>
    <phoneticPr fontId="5" type="noConversion"/>
  </si>
  <si>
    <t>060-159223-02-016</t>
    <phoneticPr fontId="5" type="noConversion"/>
  </si>
  <si>
    <t>010-2243-8633</t>
    <phoneticPr fontId="5" type="noConversion"/>
  </si>
  <si>
    <t>jy.choi@tbell.co.kr</t>
    <phoneticPr fontId="5" type="noConversion"/>
  </si>
  <si>
    <t>상일동 고덕리엔파크, 301-1001호</t>
    <phoneticPr fontId="5" type="noConversion"/>
  </si>
  <si>
    <t>최영훈</t>
    <phoneticPr fontId="5" type="noConversion"/>
  </si>
  <si>
    <t>CHOI, Younghun</t>
  </si>
  <si>
    <t>941115-1894718</t>
    <phoneticPr fontId="5" type="noConversion"/>
  </si>
  <si>
    <t>010-4955-9999</t>
    <phoneticPr fontId="5" type="noConversion"/>
  </si>
  <si>
    <t>유아특수교육과</t>
    <phoneticPr fontId="5" type="noConversion"/>
  </si>
  <si>
    <t>129-084462-02-016</t>
    <phoneticPr fontId="5" type="noConversion"/>
  </si>
  <si>
    <t>yh.choi@tbell.co.kr</t>
    <phoneticPr fontId="5" type="noConversion"/>
  </si>
  <si>
    <t>일산동구</t>
    <phoneticPr fontId="5" type="noConversion"/>
  </si>
  <si>
    <t>태극로 11</t>
    <phoneticPr fontId="5" type="noConversion"/>
  </si>
  <si>
    <t>김주완</t>
    <phoneticPr fontId="5" type="noConversion"/>
  </si>
  <si>
    <t>KIM, JuWan</t>
  </si>
  <si>
    <t>960328-1590814</t>
    <phoneticPr fontId="5" type="noConversion"/>
  </si>
  <si>
    <t>010-7154-2144</t>
    <phoneticPr fontId="5" type="noConversion"/>
  </si>
  <si>
    <t>2년 0개월</t>
    <phoneticPr fontId="5" type="noConversion"/>
  </si>
  <si>
    <t>백석대학교</t>
    <phoneticPr fontId="5" type="noConversion"/>
  </si>
  <si>
    <t>061-115010-02-016</t>
    <phoneticPr fontId="5" type="noConversion"/>
  </si>
  <si>
    <t>010-6665-2145</t>
    <phoneticPr fontId="5" type="noConversion"/>
  </si>
  <si>
    <t>juwan.kim@tbell.co.kr</t>
    <phoneticPr fontId="5" type="noConversion"/>
  </si>
  <si>
    <t>수풍로 90, 109동 1101호</t>
    <phoneticPr fontId="5" type="noConversion"/>
  </si>
  <si>
    <t>조준후</t>
    <phoneticPr fontId="5" type="noConversion"/>
  </si>
  <si>
    <t>JO, Junhu</t>
  </si>
  <si>
    <t>910518-1508819</t>
    <phoneticPr fontId="5" type="noConversion"/>
  </si>
  <si>
    <t>010-5018-4683</t>
    <phoneticPr fontId="5" type="noConversion"/>
  </si>
  <si>
    <t>남부대학교</t>
    <phoneticPr fontId="5" type="noConversion"/>
  </si>
  <si>
    <t>식품영양학과</t>
    <phoneticPr fontId="5" type="noConversion"/>
  </si>
  <si>
    <t>143-100142-01-016</t>
    <phoneticPr fontId="5" type="noConversion"/>
  </si>
  <si>
    <t>동생</t>
    <phoneticPr fontId="5" type="noConversion"/>
  </si>
  <si>
    <t>010-4928-8288</t>
    <phoneticPr fontId="5" type="noConversion"/>
  </si>
  <si>
    <t>jh.jo@tbell.co.kr</t>
    <phoneticPr fontId="5" type="noConversion"/>
  </si>
  <si>
    <t>언남길 49, 405호</t>
    <phoneticPr fontId="5" type="noConversion"/>
  </si>
  <si>
    <t>권혁만</t>
    <phoneticPr fontId="5" type="noConversion"/>
  </si>
  <si>
    <t>KWON, HyukMan</t>
  </si>
  <si>
    <t>801024-1348011</t>
    <phoneticPr fontId="5" type="noConversion"/>
  </si>
  <si>
    <t>010-2329-3437</t>
    <phoneticPr fontId="5" type="noConversion"/>
  </si>
  <si>
    <t>15년 7개월</t>
    <phoneticPr fontId="5" type="noConversion"/>
  </si>
  <si>
    <t>425-059512-02-018</t>
    <phoneticPr fontId="5" type="noConversion"/>
  </si>
  <si>
    <t>hm.kwon@tbell.co.kr</t>
    <phoneticPr fontId="5" type="noConversion"/>
  </si>
  <si>
    <t>도약로 146, 208동 2005호 (중동, 덕유마을)</t>
    <phoneticPr fontId="5" type="noConversion"/>
  </si>
  <si>
    <t>유예진</t>
    <phoneticPr fontId="5" type="noConversion"/>
  </si>
  <si>
    <t>YOO, YeJin</t>
  </si>
  <si>
    <t>970910-2360612</t>
    <phoneticPr fontId="5" type="noConversion"/>
  </si>
  <si>
    <t>010-8669-6831</t>
    <phoneticPr fontId="5" type="noConversion"/>
  </si>
  <si>
    <t>3년 3개월</t>
    <phoneticPr fontId="5" type="noConversion"/>
  </si>
  <si>
    <t>대전대학교</t>
    <phoneticPr fontId="5" type="noConversion"/>
  </si>
  <si>
    <t>전자정보통신공학과</t>
    <phoneticPr fontId="5" type="noConversion"/>
  </si>
  <si>
    <t>541-063698-02-014</t>
    <phoneticPr fontId="5" type="noConversion"/>
  </si>
  <si>
    <t>yj.yoo@tbell.co.kr</t>
    <phoneticPr fontId="5" type="noConversion"/>
  </si>
  <si>
    <t>사당로26길 90, 905호(사당동, 감골)</t>
    <phoneticPr fontId="5" type="noConversion"/>
  </si>
  <si>
    <t>문시원</t>
    <phoneticPr fontId="5" type="noConversion"/>
  </si>
  <si>
    <t>MOON, SiWon</t>
  </si>
  <si>
    <t>980620-1081426</t>
    <phoneticPr fontId="5" type="noConversion"/>
  </si>
  <si>
    <t>010-4827-7473</t>
    <phoneticPr fontId="5" type="noConversion"/>
  </si>
  <si>
    <t>2년 5개월</t>
    <phoneticPr fontId="5" type="noConversion"/>
  </si>
  <si>
    <t>충북도립대학교</t>
    <phoneticPr fontId="5" type="noConversion"/>
  </si>
  <si>
    <t>정보보안학과</t>
    <phoneticPr fontId="5" type="noConversion"/>
  </si>
  <si>
    <t>SQL 개발자</t>
  </si>
  <si>
    <t>060-159407-02-011</t>
    <phoneticPr fontId="5" type="noConversion"/>
  </si>
  <si>
    <t>sw.moon@tbell.co.kr</t>
    <phoneticPr fontId="5" type="noConversion"/>
  </si>
  <si>
    <t>진황도로25길 50, 101호</t>
    <phoneticPr fontId="5" type="noConversion"/>
  </si>
  <si>
    <t>문희은</t>
    <phoneticPr fontId="5" type="noConversion"/>
  </si>
  <si>
    <t>Mun, Heeeun</t>
  </si>
  <si>
    <t>890716-2651219</t>
    <phoneticPr fontId="5" type="noConversion"/>
  </si>
  <si>
    <t>010-6305-2254</t>
    <phoneticPr fontId="5" type="noConversion"/>
  </si>
  <si>
    <t>조선대학교</t>
    <phoneticPr fontId="5" type="noConversion"/>
  </si>
  <si>
    <t>컴퓨터통계학과</t>
    <phoneticPr fontId="5" type="noConversion"/>
  </si>
  <si>
    <t>311-068329-01-019</t>
    <phoneticPr fontId="5" type="noConversion"/>
  </si>
  <si>
    <t>남편</t>
    <phoneticPr fontId="5" type="noConversion"/>
  </si>
  <si>
    <t>010-6694-1688</t>
    <phoneticPr fontId="5" type="noConversion"/>
  </si>
  <si>
    <t>he.mun@tbell.co.kr</t>
    <phoneticPr fontId="5" type="noConversion"/>
  </si>
  <si>
    <t>동안구</t>
    <phoneticPr fontId="5" type="noConversion"/>
  </si>
  <si>
    <t>관평로 212번길 21, 310동 710호 (관양동, 공작부영아파트)</t>
    <phoneticPr fontId="5" type="noConversion"/>
  </si>
  <si>
    <t>이재령</t>
    <phoneticPr fontId="5" type="noConversion"/>
  </si>
  <si>
    <t>LEE, JaeRyeong</t>
  </si>
  <si>
    <t>041129-4067116</t>
    <phoneticPr fontId="5" type="noConversion"/>
  </si>
  <si>
    <t>010-6442-6837</t>
    <phoneticPr fontId="5" type="noConversion"/>
  </si>
  <si>
    <t>070-183872-01-019</t>
    <phoneticPr fontId="5" type="noConversion"/>
  </si>
  <si>
    <t>010-4750-6837</t>
    <phoneticPr fontId="5" type="noConversion"/>
  </si>
  <si>
    <t>jr.lee@tbell.co.kr</t>
    <phoneticPr fontId="5" type="noConversion"/>
  </si>
  <si>
    <t>은천로 93, 102동 304호 (봉천동, 벽산블루밍아파트)</t>
    <phoneticPr fontId="5" type="noConversion"/>
  </si>
  <si>
    <t>김수민</t>
    <phoneticPr fontId="5" type="noConversion"/>
  </si>
  <si>
    <t>KIM, SuMin</t>
  </si>
  <si>
    <t>040923-4070311</t>
    <phoneticPr fontId="5" type="noConversion"/>
  </si>
  <si>
    <t>010-8138-3332</t>
    <phoneticPr fontId="5" type="noConversion"/>
  </si>
  <si>
    <t>123-180345-01-017</t>
    <phoneticPr fontId="5" type="noConversion"/>
  </si>
  <si>
    <t>010-2547-5772</t>
    <phoneticPr fontId="5" type="noConversion"/>
  </si>
  <si>
    <t>sm.kim@tbell.co.kr</t>
    <phoneticPr fontId="5" type="noConversion"/>
  </si>
  <si>
    <t>인천광역시</t>
    <phoneticPr fontId="5" type="noConversion"/>
  </si>
  <si>
    <t>안남로222번길</t>
    <phoneticPr fontId="5" type="noConversion"/>
  </si>
  <si>
    <t>30, 202동 307호 (산곡동, 경남아파트)</t>
    <phoneticPr fontId="5" type="noConversion"/>
  </si>
  <si>
    <t>박수진</t>
    <phoneticPr fontId="5" type="noConversion"/>
  </si>
  <si>
    <t>Park, SuJin</t>
  </si>
  <si>
    <t>040320-4074114</t>
    <phoneticPr fontId="5" type="noConversion"/>
  </si>
  <si>
    <t>010-2450-4009</t>
    <phoneticPr fontId="5" type="noConversion"/>
  </si>
  <si>
    <t>301-116690-02-011</t>
    <phoneticPr fontId="5" type="noConversion"/>
  </si>
  <si>
    <t>010-8269-4009</t>
    <phoneticPr fontId="5" type="noConversion"/>
  </si>
  <si>
    <t>sj.park2@tbell.co.kr</t>
    <phoneticPr fontId="5" type="noConversion"/>
  </si>
  <si>
    <t>백련산로2길 19, 110동 1303호 (응암동, 백련산 힐스테이트1차)</t>
    <phoneticPr fontId="5" type="noConversion"/>
  </si>
  <si>
    <t>조현비</t>
    <phoneticPr fontId="5" type="noConversion"/>
  </si>
  <si>
    <t>Jo, HyeonBi</t>
  </si>
  <si>
    <t>040909-4159112</t>
    <phoneticPr fontId="5" type="noConversion"/>
  </si>
  <si>
    <t>010-7327-4528</t>
    <phoneticPr fontId="5" type="noConversion"/>
  </si>
  <si>
    <t>499-091708-01-019</t>
    <phoneticPr fontId="5" type="noConversion"/>
  </si>
  <si>
    <t>hb.jo@tbell.co.kr</t>
    <phoneticPr fontId="5" type="noConversion"/>
  </si>
  <si>
    <t>책향기로</t>
    <phoneticPr fontId="5" type="noConversion"/>
  </si>
  <si>
    <t>337, 302동 901호 (문발동, 숲속길마을 동문굿모닝힐)</t>
    <phoneticPr fontId="5" type="noConversion"/>
  </si>
  <si>
    <t>이동환</t>
    <phoneticPr fontId="5" type="noConversion"/>
  </si>
  <si>
    <t>LEE, DongHwan</t>
  </si>
  <si>
    <t>950427-1065325</t>
    <phoneticPr fontId="5" type="noConversion"/>
  </si>
  <si>
    <t>010-4704-3249</t>
    <phoneticPr fontId="5" type="noConversion"/>
  </si>
  <si>
    <t>1년 6개월</t>
    <phoneticPr fontId="5" type="noConversion"/>
  </si>
  <si>
    <t>한국공학대학교</t>
    <phoneticPr fontId="5" type="noConversion"/>
  </si>
  <si>
    <t>212-124681-02-019</t>
    <phoneticPr fontId="5" type="noConversion"/>
  </si>
  <si>
    <t>010-9990-3259</t>
    <phoneticPr fontId="5" type="noConversion"/>
  </si>
  <si>
    <t>dh.lee@tbell.co.kr</t>
    <phoneticPr fontId="5" type="noConversion"/>
  </si>
  <si>
    <t>신내로 155, 808동 1308호 (신내동, 화성아파트)</t>
    <phoneticPr fontId="5" type="noConversion"/>
  </si>
  <si>
    <t>김채영</t>
    <phoneticPr fontId="5" type="noConversion"/>
  </si>
  <si>
    <t>KIM, ChaeYoung</t>
  </si>
  <si>
    <t>961217-2169813</t>
    <phoneticPr fontId="5" type="noConversion"/>
  </si>
  <si>
    <t>010-5375-9350</t>
    <phoneticPr fontId="5" type="noConversion"/>
  </si>
  <si>
    <t>아주대학교</t>
    <phoneticPr fontId="5" type="noConversion"/>
  </si>
  <si>
    <t>422-081526-01-017</t>
    <phoneticPr fontId="5" type="noConversion"/>
  </si>
  <si>
    <t>010-3247-9350</t>
  </si>
  <si>
    <t>cy.kim@tbell.co.kr</t>
    <phoneticPr fontId="5" type="noConversion"/>
  </si>
  <si>
    <t>쌍림동 151-70, 301호</t>
    <phoneticPr fontId="5" type="noConversion"/>
  </si>
  <si>
    <t>문승익</t>
    <phoneticPr fontId="5" type="noConversion"/>
  </si>
  <si>
    <t>MOON, SeungIk</t>
  </si>
  <si>
    <t>960626-1177922</t>
    <phoneticPr fontId="5" type="noConversion"/>
  </si>
  <si>
    <t>010-5239-5925</t>
    <phoneticPr fontId="5" type="noConversion"/>
  </si>
  <si>
    <t>4년 3개월</t>
    <phoneticPr fontId="5" type="noConversion"/>
  </si>
  <si>
    <t>스마트소프트웨어학과</t>
    <phoneticPr fontId="5" type="noConversion"/>
  </si>
  <si>
    <t>931-030571-01-016</t>
    <phoneticPr fontId="5" type="noConversion"/>
  </si>
  <si>
    <t>010-3680-0935</t>
    <phoneticPr fontId="5" type="noConversion"/>
  </si>
  <si>
    <t>si.mun@tbell.co.kr</t>
    <phoneticPr fontId="5" type="noConversion"/>
  </si>
  <si>
    <t>관악대로359번길 10-18, 802호 (관양동, 신송프라자)</t>
    <phoneticPr fontId="5" type="noConversion"/>
  </si>
  <si>
    <t>서성현</t>
    <phoneticPr fontId="5" type="noConversion"/>
  </si>
  <si>
    <t>SEO, SeongHyeon</t>
  </si>
  <si>
    <t>951229-1158019</t>
    <phoneticPr fontId="5" type="noConversion"/>
  </si>
  <si>
    <t>010-8622-6519</t>
    <phoneticPr fontId="5" type="noConversion"/>
  </si>
  <si>
    <t>재능대학교</t>
    <phoneticPr fontId="5" type="noConversion"/>
  </si>
  <si>
    <t>381-109073-01-016</t>
    <phoneticPr fontId="5" type="noConversion"/>
  </si>
  <si>
    <t>010-9197-6519</t>
    <phoneticPr fontId="5" type="noConversion"/>
  </si>
  <si>
    <t>sh.seo@tbell.co.kr</t>
    <phoneticPr fontId="5" type="noConversion"/>
  </si>
  <si>
    <t>원인재로 59, 6동 501호</t>
    <phoneticPr fontId="5" type="noConversion"/>
  </si>
  <si>
    <t>오연지</t>
    <phoneticPr fontId="5" type="noConversion"/>
  </si>
  <si>
    <t>OH, YeonJi</t>
  </si>
  <si>
    <t>960207-2059417</t>
    <phoneticPr fontId="5" type="noConversion"/>
  </si>
  <si>
    <t>010-7128-3169</t>
    <phoneticPr fontId="5" type="noConversion"/>
  </si>
  <si>
    <t>식품영양전공</t>
    <phoneticPr fontId="5" type="noConversion"/>
  </si>
  <si>
    <t>421-066456-01-016</t>
    <phoneticPr fontId="5" type="noConversion"/>
  </si>
  <si>
    <t>010-5627-3207</t>
    <phoneticPr fontId="5" type="noConversion"/>
  </si>
  <si>
    <t>yj.oh@tbell.co.kr</t>
    <phoneticPr fontId="5" type="noConversion"/>
  </si>
  <si>
    <t>성복1로 62, 103동 303호</t>
    <phoneticPr fontId="5" type="noConversion"/>
  </si>
  <si>
    <t>김지연</t>
    <phoneticPr fontId="5" type="noConversion"/>
  </si>
  <si>
    <t>KIM, JiYeon</t>
  </si>
  <si>
    <t>970329-2157915</t>
    <phoneticPr fontId="5" type="noConversion"/>
  </si>
  <si>
    <t>010-5441-2491</t>
    <phoneticPr fontId="5" type="noConversion"/>
  </si>
  <si>
    <t>2년 7개월</t>
    <phoneticPr fontId="5" type="noConversion"/>
  </si>
  <si>
    <t>차의과학대학교</t>
    <phoneticPr fontId="5" type="noConversion"/>
  </si>
  <si>
    <t>데이터경영학과</t>
    <phoneticPr fontId="5" type="noConversion"/>
  </si>
  <si>
    <t>955-050799-02-011</t>
    <phoneticPr fontId="5" type="noConversion"/>
  </si>
  <si>
    <t>jy.kim@tbell.co.kr</t>
    <phoneticPr fontId="5" type="noConversion"/>
  </si>
  <si>
    <t>중봉대로586번길</t>
    <phoneticPr fontId="5" type="noConversion"/>
  </si>
  <si>
    <t>22, 103동 2006호 (청라동, 청라엑슬루타워)</t>
    <phoneticPr fontId="5" type="noConversion"/>
  </si>
  <si>
    <t>김채영b</t>
    <phoneticPr fontId="5" type="noConversion"/>
  </si>
  <si>
    <t>040714-4830418</t>
    <phoneticPr fontId="5" type="noConversion"/>
  </si>
  <si>
    <t>010-3144-6131</t>
    <phoneticPr fontId="5" type="noConversion"/>
  </si>
  <si>
    <t>070-184613-01-017</t>
    <phoneticPr fontId="5" type="noConversion"/>
  </si>
  <si>
    <t>010-5760-6125</t>
    <phoneticPr fontId="5" type="noConversion"/>
  </si>
  <si>
    <t>cy.kim2@tbell.co.kr</t>
    <phoneticPr fontId="5" type="noConversion"/>
  </si>
  <si>
    <t>난곡로16길 27 (신림동)</t>
    <phoneticPr fontId="5" type="noConversion"/>
  </si>
  <si>
    <t>홍승진</t>
    <phoneticPr fontId="5" type="noConversion"/>
  </si>
  <si>
    <t>HONG, SeungJin</t>
  </si>
  <si>
    <t>890317-1032912</t>
    <phoneticPr fontId="5" type="noConversion"/>
  </si>
  <si>
    <t>010-9117-2567</t>
    <phoneticPr fontId="5" type="noConversion"/>
  </si>
  <si>
    <t>8년 7개월</t>
    <phoneticPr fontId="5" type="noConversion"/>
  </si>
  <si>
    <t>홍익대학교</t>
    <phoneticPr fontId="5" type="noConversion"/>
  </si>
  <si>
    <t>261-079760-01-019</t>
    <phoneticPr fontId="5" type="noConversion"/>
  </si>
  <si>
    <t>010-9254-2569</t>
    <phoneticPr fontId="5" type="noConversion"/>
  </si>
  <si>
    <t>sj.hong2@tbell.co.kr</t>
    <phoneticPr fontId="5" type="noConversion"/>
  </si>
  <si>
    <t>곰달래로13길 8 (신월동)</t>
    <phoneticPr fontId="5" type="noConversion"/>
  </si>
  <si>
    <t>윤승한</t>
    <phoneticPr fontId="5" type="noConversion"/>
  </si>
  <si>
    <t>YUN, SeungHan</t>
  </si>
  <si>
    <t>910712-1057513</t>
    <phoneticPr fontId="5" type="noConversion"/>
  </si>
  <si>
    <t>010-7711-8963</t>
    <phoneticPr fontId="5" type="noConversion"/>
  </si>
  <si>
    <t>4년 10개월</t>
    <phoneticPr fontId="5" type="noConversion"/>
  </si>
  <si>
    <t>한세대학교</t>
    <phoneticPr fontId="5" type="noConversion"/>
  </si>
  <si>
    <t>471-043477-01-019</t>
    <phoneticPr fontId="5" type="noConversion"/>
  </si>
  <si>
    <t>sh.yun@tbell.co.kr</t>
    <phoneticPr fontId="5" type="noConversion"/>
  </si>
  <si>
    <t>도림로20길 30, 가동 810호 (구로동, 성락아파트)</t>
    <phoneticPr fontId="5" type="noConversion"/>
  </si>
  <si>
    <t>노선동</t>
    <phoneticPr fontId="5" type="noConversion"/>
  </si>
  <si>
    <t>NOH, SunDong</t>
  </si>
  <si>
    <t>810119-1051829</t>
    <phoneticPr fontId="5" type="noConversion"/>
  </si>
  <si>
    <t>010-2830-8561</t>
    <phoneticPr fontId="5" type="noConversion"/>
  </si>
  <si>
    <t>18년 11개월</t>
    <phoneticPr fontId="5" type="noConversion"/>
  </si>
  <si>
    <t>경동대학교</t>
    <phoneticPr fontId="5" type="noConversion"/>
  </si>
  <si>
    <t>257-092694-01-019</t>
    <phoneticPr fontId="5" type="noConversion"/>
  </si>
  <si>
    <t>010-9376-3581</t>
    <phoneticPr fontId="5" type="noConversion"/>
  </si>
  <si>
    <t>sd.noh@tbell.co.kr</t>
    <phoneticPr fontId="5" type="noConversion"/>
  </si>
  <si>
    <t>천호대로134길 46, 602호</t>
    <phoneticPr fontId="5" type="noConversion"/>
  </si>
  <si>
    <t>금동해</t>
    <phoneticPr fontId="5" type="noConversion"/>
  </si>
  <si>
    <t>KEUM, DongHae</t>
  </si>
  <si>
    <t>851119-1247113</t>
    <phoneticPr fontId="5" type="noConversion"/>
  </si>
  <si>
    <t>010-3868-7162</t>
    <phoneticPr fontId="5" type="noConversion"/>
  </si>
  <si>
    <t>12년 6개월</t>
    <phoneticPr fontId="5" type="noConversion"/>
  </si>
  <si>
    <t>336-076379-01-014</t>
    <phoneticPr fontId="5" type="noConversion"/>
  </si>
  <si>
    <t>dh.keum@tbell.co.kr</t>
    <phoneticPr fontId="5" type="noConversion"/>
  </si>
  <si>
    <t>신대방14가길 7-3, 303호 (신대방동, 대방아트빌)</t>
    <phoneticPr fontId="5" type="noConversion"/>
  </si>
  <si>
    <t>추경운</t>
    <phoneticPr fontId="5" type="noConversion"/>
  </si>
  <si>
    <t>CHU, KyungWoon</t>
  </si>
  <si>
    <t>960503-1481521</t>
    <phoneticPr fontId="5" type="noConversion"/>
  </si>
  <si>
    <t>010-5491-1508</t>
    <phoneticPr fontId="5" type="noConversion"/>
  </si>
  <si>
    <t>1년 11개월</t>
    <phoneticPr fontId="5" type="noConversion"/>
  </si>
  <si>
    <t>전주대학교</t>
    <phoneticPr fontId="5" type="noConversion"/>
  </si>
  <si>
    <t>부동산학과</t>
    <phoneticPr fontId="5" type="noConversion"/>
  </si>
  <si>
    <t>206-116264-01-019</t>
    <phoneticPr fontId="5" type="noConversion"/>
  </si>
  <si>
    <t>010-8626-1508</t>
    <phoneticPr fontId="5" type="noConversion"/>
  </si>
  <si>
    <t>kw.chu@tbell.co.kr</t>
    <phoneticPr fontId="5" type="noConversion"/>
  </si>
  <si>
    <t>조원로13길 66, 204호 (신림동, 로얄럭스시티)</t>
    <phoneticPr fontId="5" type="noConversion"/>
  </si>
  <si>
    <t>김동욱b</t>
    <phoneticPr fontId="5" type="noConversion"/>
  </si>
  <si>
    <t>KIM, DongUk</t>
  </si>
  <si>
    <t>910831-1057423</t>
    <phoneticPr fontId="5" type="noConversion"/>
  </si>
  <si>
    <t>010-9990-1755</t>
    <phoneticPr fontId="5" type="noConversion"/>
  </si>
  <si>
    <t>토목환경과</t>
    <phoneticPr fontId="5" type="noConversion"/>
  </si>
  <si>
    <t>203-152408-01-016</t>
    <phoneticPr fontId="5" type="noConversion"/>
  </si>
  <si>
    <t>010-3686-5907</t>
    <phoneticPr fontId="5" type="noConversion"/>
  </si>
  <si>
    <t>du.kim@tbell.co.kr</t>
    <phoneticPr fontId="5" type="noConversion"/>
  </si>
  <si>
    <t>구로중앙로12길 13-15 (구로동)</t>
    <phoneticPr fontId="5" type="noConversion"/>
  </si>
  <si>
    <t>채주리</t>
    <phoneticPr fontId="5" type="noConversion"/>
  </si>
  <si>
    <t>CHAE, JooRi</t>
  </si>
  <si>
    <t>980704-2066921</t>
    <phoneticPr fontId="5" type="noConversion"/>
  </si>
  <si>
    <t>010-9177-7011</t>
    <phoneticPr fontId="5" type="noConversion"/>
  </si>
  <si>
    <t>5년 6개월</t>
    <phoneticPr fontId="5" type="noConversion"/>
  </si>
  <si>
    <t>988-011833-01-011</t>
    <phoneticPr fontId="5" type="noConversion"/>
  </si>
  <si>
    <t>010-6393-9128</t>
    <phoneticPr fontId="5" type="noConversion"/>
  </si>
  <si>
    <t>jr.chae@tbell.co.kr</t>
    <phoneticPr fontId="5" type="noConversion"/>
  </si>
  <si>
    <t>덕릉로 193-11</t>
    <phoneticPr fontId="5" type="noConversion"/>
  </si>
  <si>
    <t>육근원</t>
    <phoneticPr fontId="5" type="noConversion"/>
  </si>
  <si>
    <t>YUK, GeunWon</t>
  </si>
  <si>
    <t>861122-1013021</t>
    <phoneticPr fontId="5" type="noConversion"/>
  </si>
  <si>
    <t>010-4208-8403</t>
    <phoneticPr fontId="5" type="noConversion"/>
  </si>
  <si>
    <t>컴퓨터전자과</t>
    <phoneticPr fontId="5" type="noConversion"/>
  </si>
  <si>
    <t>048-085423-02-016</t>
    <phoneticPr fontId="5" type="noConversion"/>
  </si>
  <si>
    <t>010-6698-6601</t>
    <phoneticPr fontId="5" type="noConversion"/>
  </si>
  <si>
    <t>gw.yuk@tbell.co.kr</t>
    <phoneticPr fontId="5" type="noConversion"/>
  </si>
  <si>
    <t>자양로44길 45, 402호 (구의동)</t>
    <phoneticPr fontId="5" type="noConversion"/>
  </si>
  <si>
    <t>이정민</t>
    <phoneticPr fontId="5" type="noConversion"/>
  </si>
  <si>
    <t>LEE, JeongMin</t>
  </si>
  <si>
    <t>941012-1483410</t>
    <phoneticPr fontId="5" type="noConversion"/>
  </si>
  <si>
    <t>010-6687-1928</t>
    <phoneticPr fontId="5" type="noConversion"/>
  </si>
  <si>
    <t>2년 6개월</t>
    <phoneticPr fontId="5" type="noConversion"/>
  </si>
  <si>
    <t>132-122173-02-012</t>
    <phoneticPr fontId="5" type="noConversion"/>
  </si>
  <si>
    <t>010-5013-1928</t>
    <phoneticPr fontId="5" type="noConversion"/>
  </si>
  <si>
    <t>jm.lee@tbell.co.kr</t>
    <phoneticPr fontId="5" type="noConversion"/>
  </si>
  <si>
    <t>오금로20길 4-4, 203동 (송파동)</t>
    <phoneticPr fontId="5" type="noConversion"/>
  </si>
  <si>
    <t>홍현준</t>
    <phoneticPr fontId="5" type="noConversion"/>
  </si>
  <si>
    <t>HONG, HyeonJun</t>
  </si>
  <si>
    <t>941120-1300413</t>
    <phoneticPr fontId="5" type="noConversion"/>
  </si>
  <si>
    <t>010-3265-6987</t>
    <phoneticPr fontId="5" type="noConversion"/>
  </si>
  <si>
    <t>동해광희고등학교</t>
    <phoneticPr fontId="5" type="noConversion"/>
  </si>
  <si>
    <t>-</t>
    <phoneticPr fontId="5" type="noConversion"/>
  </si>
  <si>
    <t>427-163167-02-014</t>
    <phoneticPr fontId="5" type="noConversion"/>
  </si>
  <si>
    <t>010-5478-6987</t>
    <phoneticPr fontId="5" type="noConversion"/>
  </si>
  <si>
    <t>hj.hong@tbell.co.kr</t>
    <phoneticPr fontId="5" type="noConversion"/>
  </si>
  <si>
    <t>덕양구</t>
    <phoneticPr fontId="5" type="noConversion"/>
  </si>
  <si>
    <t>고만로 48, 902동 705호</t>
    <phoneticPr fontId="5" type="noConversion"/>
  </si>
  <si>
    <t>한혜민</t>
    <phoneticPr fontId="5" type="noConversion"/>
  </si>
  <si>
    <t>HAN, HyeMin</t>
  </si>
  <si>
    <t>961101-2151410</t>
    <phoneticPr fontId="5" type="noConversion"/>
  </si>
  <si>
    <t>010-2994-2362</t>
    <phoneticPr fontId="5" type="noConversion"/>
  </si>
  <si>
    <t>식품영양과</t>
    <phoneticPr fontId="5" type="noConversion"/>
  </si>
  <si>
    <t>635-042981-01-012</t>
    <phoneticPr fontId="5" type="noConversion"/>
  </si>
  <si>
    <t>오빠</t>
    <phoneticPr fontId="5" type="noConversion"/>
  </si>
  <si>
    <t>010-5500-4937</t>
    <phoneticPr fontId="5" type="noConversion"/>
  </si>
  <si>
    <t>hm.han@tbell.co.kr</t>
    <phoneticPr fontId="5" type="noConversion"/>
  </si>
  <si>
    <t>한보라2로 168, 707동 203호 (공세동, 한보라마을 휴먼시아)</t>
    <phoneticPr fontId="5" type="noConversion"/>
  </si>
  <si>
    <t>김연경</t>
    <phoneticPr fontId="5" type="noConversion"/>
  </si>
  <si>
    <t>KIM, Yeonkyeong</t>
  </si>
  <si>
    <t>981124-2066417</t>
    <phoneticPr fontId="5" type="noConversion"/>
  </si>
  <si>
    <t>010-9265-8700</t>
    <phoneticPr fontId="5" type="noConversion"/>
  </si>
  <si>
    <t>5년 4개월</t>
    <phoneticPr fontId="5" type="noConversion"/>
  </si>
  <si>
    <t>302-2110-8339-51</t>
    <phoneticPr fontId="5" type="noConversion"/>
  </si>
  <si>
    <t>010-3118-3533</t>
    <phoneticPr fontId="5" type="noConversion"/>
  </si>
  <si>
    <t>yk.kim2@tbell.co.kr</t>
    <phoneticPr fontId="5" type="noConversion"/>
  </si>
  <si>
    <t>샘골로7길 22, 502호 (본오동, 크리스탈타운)</t>
    <phoneticPr fontId="5" type="noConversion"/>
  </si>
  <si>
    <t>심혜지</t>
    <phoneticPr fontId="5" type="noConversion"/>
  </si>
  <si>
    <t>SHIM, HyeJi</t>
  </si>
  <si>
    <t>910810-2067213</t>
    <phoneticPr fontId="5" type="noConversion"/>
  </si>
  <si>
    <t>010-4080-3865</t>
    <phoneticPr fontId="5" type="noConversion"/>
  </si>
  <si>
    <t>1년 5개월</t>
    <phoneticPr fontId="5" type="noConversion"/>
  </si>
  <si>
    <t>재난관리공학과</t>
    <phoneticPr fontId="5" type="noConversion"/>
  </si>
  <si>
    <t>500-024570-01-019</t>
    <phoneticPr fontId="5" type="noConversion"/>
  </si>
  <si>
    <t>010-6265-3855</t>
    <phoneticPr fontId="5" type="noConversion"/>
  </si>
  <si>
    <t>hj.shim@tbell.co.kr</t>
    <phoneticPr fontId="5" type="noConversion"/>
  </si>
  <si>
    <t>상현로 142, 1005동 102호 (상현동, 성복역 아이파크)</t>
    <phoneticPr fontId="5" type="noConversion"/>
  </si>
  <si>
    <t>신소영</t>
    <phoneticPr fontId="5" type="noConversion"/>
  </si>
  <si>
    <t>SHIN, Soyoung</t>
  </si>
  <si>
    <t>980316-2352225</t>
    <phoneticPr fontId="5" type="noConversion"/>
  </si>
  <si>
    <t>010-4967-6924</t>
    <phoneticPr fontId="5" type="noConversion"/>
  </si>
  <si>
    <t>2년 4개월</t>
    <phoneticPr fontId="5" type="noConversion"/>
  </si>
  <si>
    <t>의료경영삭과</t>
    <phoneticPr fontId="5" type="noConversion"/>
  </si>
  <si>
    <t>214-128827-01-013</t>
    <phoneticPr fontId="5" type="noConversion"/>
  </si>
  <si>
    <t>sy.shin@tbell.co.kr</t>
    <phoneticPr fontId="5" type="noConversion"/>
  </si>
  <si>
    <t>경인로 232, 207호(오류동, 칸타빌레 9차)</t>
    <phoneticPr fontId="5" type="noConversion"/>
  </si>
  <si>
    <t>유우상</t>
    <phoneticPr fontId="5" type="noConversion"/>
  </si>
  <si>
    <t>YU, USang</t>
  </si>
  <si>
    <t>000410-3058735</t>
    <phoneticPr fontId="5" type="noConversion"/>
  </si>
  <si>
    <t>010-5196-8513</t>
    <phoneticPr fontId="5" type="noConversion"/>
  </si>
  <si>
    <t>973-041718-01-019</t>
    <phoneticPr fontId="5" type="noConversion"/>
  </si>
  <si>
    <t>010-2289-8513</t>
    <phoneticPr fontId="5" type="noConversion"/>
  </si>
  <si>
    <t>us.yu@tbell.co.kr</t>
    <phoneticPr fontId="5" type="noConversion"/>
  </si>
  <si>
    <t>동대문구</t>
    <phoneticPr fontId="5" type="noConversion"/>
  </si>
  <si>
    <t>망우로14가길 25, 201호 (휘경동, 동성네스트빌2차)</t>
    <phoneticPr fontId="5" type="noConversion"/>
  </si>
  <si>
    <t>이민규</t>
    <phoneticPr fontId="5" type="noConversion"/>
  </si>
  <si>
    <t>LEE, Minkyu</t>
  </si>
  <si>
    <t>790921-1543711</t>
    <phoneticPr fontId="5" type="noConversion"/>
  </si>
  <si>
    <t>010-8150-3259</t>
    <phoneticPr fontId="5" type="noConversion"/>
  </si>
  <si>
    <t>18년6개월</t>
    <phoneticPr fontId="5" type="noConversion"/>
  </si>
  <si>
    <t>498-006773-02-010</t>
    <phoneticPr fontId="5" type="noConversion"/>
  </si>
  <si>
    <t>010-3410-3280</t>
  </si>
  <si>
    <t>mk.lee@tbell.co.kr</t>
    <phoneticPr fontId="5" type="noConversion"/>
  </si>
  <si>
    <t>대전광역시</t>
    <phoneticPr fontId="5" type="noConversion"/>
  </si>
  <si>
    <t>유성구</t>
    <phoneticPr fontId="5" type="noConversion"/>
  </si>
  <si>
    <t>노은로</t>
  </si>
  <si>
    <t>416(송림마을5단지아파트) 510동 1104호</t>
    <phoneticPr fontId="5" type="noConversion"/>
  </si>
  <si>
    <t>조소리</t>
    <phoneticPr fontId="5" type="noConversion"/>
  </si>
  <si>
    <t>JO, SoRi</t>
  </si>
  <si>
    <t>801224-2405919</t>
    <phoneticPr fontId="5" type="noConversion"/>
  </si>
  <si>
    <t>010-8978-0264</t>
    <phoneticPr fontId="5" type="noConversion"/>
  </si>
  <si>
    <t>한성대학교</t>
    <phoneticPr fontId="5" type="noConversion"/>
  </si>
  <si>
    <t>의상디자인과</t>
    <phoneticPr fontId="5" type="noConversion"/>
  </si>
  <si>
    <t>027-089597-01-010</t>
    <phoneticPr fontId="5" type="noConversion"/>
  </si>
  <si>
    <t>010-9115-0264</t>
    <phoneticPr fontId="5" type="noConversion"/>
  </si>
  <si>
    <t>sr.jo@tbell.co.kr</t>
    <phoneticPr fontId="5" type="noConversion"/>
  </si>
  <si>
    <t>한글비석로 479, 104동 1508호 (상계동, 보람아파트)</t>
    <phoneticPr fontId="5" type="noConversion"/>
  </si>
  <si>
    <t>이은미</t>
    <phoneticPr fontId="5" type="noConversion"/>
  </si>
  <si>
    <t>LEE, EunMi</t>
  </si>
  <si>
    <t>780628-2019721</t>
    <phoneticPr fontId="5" type="noConversion"/>
  </si>
  <si>
    <t>010-7488-6522</t>
    <phoneticPr fontId="5" type="noConversion"/>
  </si>
  <si>
    <t>서울여자대학교</t>
    <phoneticPr fontId="5" type="noConversion"/>
  </si>
  <si>
    <t>478-036068-01-014</t>
    <phoneticPr fontId="5" type="noConversion"/>
  </si>
  <si>
    <t>010-2008-8224</t>
    <phoneticPr fontId="5" type="noConversion"/>
  </si>
  <si>
    <t>um.lee@tbell.co.kr</t>
    <phoneticPr fontId="5" type="noConversion"/>
  </si>
  <si>
    <t>월드컵북로 502-7, 1207동 403호 (상암동, 상암월드컵파크12단지)</t>
    <phoneticPr fontId="5" type="noConversion"/>
  </si>
  <si>
    <t>이정현</t>
    <phoneticPr fontId="5" type="noConversion"/>
  </si>
  <si>
    <t>LEE, JeongHyeon</t>
  </si>
  <si>
    <t>920211-1075228</t>
    <phoneticPr fontId="5" type="noConversion"/>
  </si>
  <si>
    <t>010-3660-6648</t>
    <phoneticPr fontId="5" type="noConversion"/>
  </si>
  <si>
    <t>대영고등학교</t>
    <phoneticPr fontId="5" type="noConversion"/>
  </si>
  <si>
    <t>203-152611-01-010</t>
    <phoneticPr fontId="5" type="noConversion"/>
  </si>
  <si>
    <t>010-2311-6648</t>
    <phoneticPr fontId="5" type="noConversion"/>
  </si>
  <si>
    <t>jh.lee@tbell.co.kr</t>
    <phoneticPr fontId="5" type="noConversion"/>
  </si>
  <si>
    <t>도림로 107, 1동 808호 (구로동, 럭키아파트)</t>
    <phoneticPr fontId="5" type="noConversion"/>
  </si>
  <si>
    <t>이영택</t>
    <phoneticPr fontId="5" type="noConversion"/>
  </si>
  <si>
    <t>LEE, YoungTaek</t>
  </si>
  <si>
    <t>850924-1065713</t>
    <phoneticPr fontId="5" type="noConversion"/>
  </si>
  <si>
    <t>010-6343-0748</t>
    <phoneticPr fontId="5" type="noConversion"/>
  </si>
  <si>
    <t>8년 0개월</t>
    <phoneticPr fontId="5" type="noConversion"/>
  </si>
  <si>
    <t>국제대학교</t>
    <phoneticPr fontId="5" type="noConversion"/>
  </si>
  <si>
    <t>항공여행경영과</t>
    <phoneticPr fontId="5" type="noConversion"/>
  </si>
  <si>
    <t>257-106086-01-011</t>
    <phoneticPr fontId="5" type="noConversion"/>
  </si>
  <si>
    <t>yt.lee@tbell.co.kr</t>
    <phoneticPr fontId="5" type="noConversion"/>
  </si>
  <si>
    <t>인천</t>
    <phoneticPr fontId="5" type="noConversion"/>
  </si>
  <si>
    <t>부평동</t>
    <phoneticPr fontId="5" type="noConversion"/>
  </si>
  <si>
    <t>열우물로 90, 111동 3203호 (십정동, 더샵부평센트럴시티)</t>
    <phoneticPr fontId="5" type="noConversion"/>
  </si>
  <si>
    <t>박호서</t>
    <phoneticPr fontId="5" type="noConversion"/>
  </si>
  <si>
    <t>Park, HoSeo</t>
  </si>
  <si>
    <t>840603-1057511</t>
    <phoneticPr fontId="5" type="noConversion"/>
  </si>
  <si>
    <t>010-3924-8406</t>
    <phoneticPr fontId="5" type="noConversion"/>
  </si>
  <si>
    <t>15년 8개월</t>
    <phoneticPr fontId="5" type="noConversion"/>
  </si>
  <si>
    <t>257-092299-01-014</t>
    <phoneticPr fontId="5" type="noConversion"/>
  </si>
  <si>
    <t>hs.park3@tbell.co.kr</t>
    <phoneticPr fontId="5" type="noConversion"/>
  </si>
  <si>
    <t>김포한강1로 10, 205동 702호 (장기동, 초당마을 우미린아파트)</t>
    <phoneticPr fontId="5" type="noConversion"/>
  </si>
  <si>
    <t>이원호</t>
    <phoneticPr fontId="5" type="noConversion"/>
  </si>
  <si>
    <t>LEE, WonHo</t>
  </si>
  <si>
    <t>901008-1081512</t>
    <phoneticPr fontId="5" type="noConversion"/>
  </si>
  <si>
    <t>010-3639-3657</t>
    <phoneticPr fontId="5" type="noConversion"/>
  </si>
  <si>
    <t>건국대학교</t>
    <phoneticPr fontId="5" type="noConversion"/>
  </si>
  <si>
    <t>ISTQB(FL)</t>
    <phoneticPr fontId="5" type="noConversion"/>
  </si>
  <si>
    <t>323-150291-02-010</t>
    <phoneticPr fontId="5" type="noConversion"/>
  </si>
  <si>
    <t>wh.lee@tbell.co.kr</t>
    <phoneticPr fontId="5" type="noConversion"/>
  </si>
  <si>
    <t>오금로53길 39-10, 503호 (거여동, 팰리스힐)</t>
    <phoneticPr fontId="5" type="noConversion"/>
  </si>
  <si>
    <t>이진희</t>
    <phoneticPr fontId="5" type="noConversion"/>
  </si>
  <si>
    <t>LEE, JinHee</t>
  </si>
  <si>
    <t>970218-1104136</t>
    <phoneticPr fontId="5" type="noConversion"/>
  </si>
  <si>
    <t>010-7173-5348</t>
    <phoneticPr fontId="5" type="noConversion"/>
  </si>
  <si>
    <t>3년 0개월</t>
    <phoneticPr fontId="5" type="noConversion"/>
  </si>
  <si>
    <t>컴퓨터정보통신과</t>
    <phoneticPr fontId="5" type="noConversion"/>
  </si>
  <si>
    <t>166-126690-01-011</t>
    <phoneticPr fontId="5" type="noConversion"/>
  </si>
  <si>
    <t>jh.lee4@tbell.co.kr</t>
    <phoneticPr fontId="5" type="noConversion"/>
  </si>
  <si>
    <t>홍제내길 38 (홍제동)</t>
    <phoneticPr fontId="5" type="noConversion"/>
  </si>
  <si>
    <t>강성진</t>
    <phoneticPr fontId="5" type="noConversion"/>
  </si>
  <si>
    <t>KANG, SungJin</t>
  </si>
  <si>
    <t>791205-1183523</t>
    <phoneticPr fontId="5" type="noConversion"/>
  </si>
  <si>
    <t>010-4130-3424</t>
    <phoneticPr fontId="5" type="noConversion"/>
  </si>
  <si>
    <t>14년 3개월</t>
    <phoneticPr fontId="5" type="noConversion"/>
  </si>
  <si>
    <t>부천대학교</t>
    <phoneticPr fontId="5" type="noConversion"/>
  </si>
  <si>
    <t>137-057684-01-017</t>
    <phoneticPr fontId="5" type="noConversion"/>
  </si>
  <si>
    <t>sj.kang@tbell.co.kr</t>
    <phoneticPr fontId="5" type="noConversion"/>
  </si>
  <si>
    <t>완정로92번길 28, 104동 1003호 (마전동, 검단아이파크아파트)</t>
    <phoneticPr fontId="5" type="noConversion"/>
  </si>
  <si>
    <t>장대열</t>
    <phoneticPr fontId="5" type="noConversion"/>
  </si>
  <si>
    <t>JANG, DaeYeol</t>
  </si>
  <si>
    <t>971208-1011613</t>
    <phoneticPr fontId="5" type="noConversion"/>
  </si>
  <si>
    <t>010-9736-7275</t>
    <phoneticPr fontId="5" type="noConversion"/>
  </si>
  <si>
    <t>관광비즈니스일어과</t>
    <phoneticPr fontId="5" type="noConversion"/>
  </si>
  <si>
    <t>121-180184-01-019</t>
    <phoneticPr fontId="5" type="noConversion"/>
  </si>
  <si>
    <t>dy.jang@tbell.co.kr</t>
    <phoneticPr fontId="5" type="noConversion"/>
  </si>
  <si>
    <t>오목로 190, 501호 (신정동, 천우비지움오피스텔)</t>
    <phoneticPr fontId="5" type="noConversion"/>
  </si>
  <si>
    <t>김정한</t>
    <phoneticPr fontId="5" type="noConversion"/>
  </si>
  <si>
    <t>KIM, JeongHan</t>
  </si>
  <si>
    <t>960627-1154613</t>
    <phoneticPr fontId="5" type="noConversion"/>
  </si>
  <si>
    <t>010-4110-4643</t>
    <phoneticPr fontId="5" type="noConversion"/>
  </si>
  <si>
    <t>4년 7개월</t>
    <phoneticPr fontId="5" type="noConversion"/>
  </si>
  <si>
    <t>483-062758-01-010</t>
    <phoneticPr fontId="5" type="noConversion"/>
  </si>
  <si>
    <t>jh.kim@tbell.co.kr</t>
    <phoneticPr fontId="5" type="noConversion"/>
  </si>
  <si>
    <t>양주시</t>
    <phoneticPr fontId="5" type="noConversion"/>
  </si>
  <si>
    <t>회천중앙로 220, 204동 2604호 (덕계동, 회천대광로제비앙더센트럴)</t>
    <phoneticPr fontId="5" type="noConversion"/>
  </si>
  <si>
    <t>유하은</t>
    <phoneticPr fontId="5" type="noConversion"/>
  </si>
  <si>
    <t>YU, HaEun</t>
  </si>
  <si>
    <t>001122-4216026</t>
    <phoneticPr fontId="5" type="noConversion"/>
  </si>
  <si>
    <t>010-3634-1613</t>
    <phoneticPr fontId="5" type="noConversion"/>
  </si>
  <si>
    <t>IT융합비즈니스과</t>
    <phoneticPr fontId="5" type="noConversion"/>
  </si>
  <si>
    <t>568-043941-01-011</t>
    <phoneticPr fontId="5" type="noConversion"/>
  </si>
  <si>
    <t>he.yu@tbell.co.kr</t>
    <phoneticPr fontId="5" type="noConversion"/>
  </si>
  <si>
    <t>은행로 208, 203동 601호 (대야동, 우성아파트)</t>
    <phoneticPr fontId="5" type="noConversion"/>
  </si>
  <si>
    <t>이소현</t>
    <phoneticPr fontId="5" type="noConversion"/>
  </si>
  <si>
    <t>LEE, SoHyun</t>
  </si>
  <si>
    <t>970118-2245510</t>
    <phoneticPr fontId="5" type="noConversion"/>
  </si>
  <si>
    <t>010-3405-3370</t>
    <phoneticPr fontId="5" type="noConversion"/>
  </si>
  <si>
    <t>여주대학교</t>
    <phoneticPr fontId="5" type="noConversion"/>
  </si>
  <si>
    <t>작업치료과</t>
    <phoneticPr fontId="5" type="noConversion"/>
  </si>
  <si>
    <t>074-117119-02-019</t>
    <phoneticPr fontId="5" type="noConversion"/>
  </si>
  <si>
    <t>010-3444-3370</t>
    <phoneticPr fontId="5" type="noConversion"/>
  </si>
  <si>
    <t>sh.lee2@tbell.co.kr</t>
    <phoneticPr fontId="5" type="noConversion"/>
  </si>
  <si>
    <t>조원로 109, 404호 (신림동)</t>
    <phoneticPr fontId="5" type="noConversion"/>
  </si>
  <si>
    <t>최성기</t>
    <phoneticPr fontId="5" type="noConversion"/>
  </si>
  <si>
    <t>Choi, SeongKi</t>
  </si>
  <si>
    <t>860712-1566212</t>
    <phoneticPr fontId="5" type="noConversion"/>
  </si>
  <si>
    <t>010-4658-9415</t>
    <phoneticPr fontId="5" type="noConversion"/>
  </si>
  <si>
    <t>037-502198-01-010</t>
    <phoneticPr fontId="5" type="noConversion"/>
  </si>
  <si>
    <t>010-4400-1223</t>
    <phoneticPr fontId="5" type="noConversion"/>
  </si>
  <si>
    <t>sk.choi@tbell.co.kr</t>
    <phoneticPr fontId="5" type="noConversion"/>
  </si>
  <si>
    <t>동판교로 91, 416동 1003호 (백현동, 백현마을)</t>
    <phoneticPr fontId="5" type="noConversion"/>
  </si>
  <si>
    <t>김민영</t>
    <phoneticPr fontId="5" type="noConversion"/>
  </si>
  <si>
    <t>KIM, MinYeong</t>
  </si>
  <si>
    <t>910924-2659717</t>
    <phoneticPr fontId="5" type="noConversion"/>
  </si>
  <si>
    <t>010-4079-4667</t>
    <phoneticPr fontId="5" type="noConversion"/>
  </si>
  <si>
    <t>원자력공학과</t>
    <phoneticPr fontId="5" type="noConversion"/>
  </si>
  <si>
    <t>189-148857-01-010</t>
    <phoneticPr fontId="5" type="noConversion"/>
  </si>
  <si>
    <t>010-9110-6897</t>
    <phoneticPr fontId="5" type="noConversion"/>
  </si>
  <si>
    <t>my.kim@tbell.co.kr</t>
    <phoneticPr fontId="5" type="noConversion"/>
  </si>
  <si>
    <t>호암로 417, 106동 602호 (신림동, 국제산장아파트)</t>
    <phoneticPr fontId="5" type="noConversion"/>
  </si>
  <si>
    <t>현기성</t>
    <phoneticPr fontId="5" type="noConversion"/>
  </si>
  <si>
    <t>HYUN, KiSung</t>
  </si>
  <si>
    <t>881208-1237510</t>
    <phoneticPr fontId="5" type="noConversion"/>
  </si>
  <si>
    <t>010-3367-1753</t>
    <phoneticPr fontId="5" type="noConversion"/>
  </si>
  <si>
    <t>7년 10개월</t>
    <phoneticPr fontId="5" type="noConversion"/>
  </si>
  <si>
    <t>932-021345-01-011</t>
    <phoneticPr fontId="5" type="noConversion"/>
  </si>
  <si>
    <t>ks.hyun@tbell.co.kr</t>
    <phoneticPr fontId="5" type="noConversion"/>
  </si>
  <si>
    <t>백현로144번길 10 (정자동)</t>
    <phoneticPr fontId="5" type="noConversion"/>
  </si>
  <si>
    <t>이준현</t>
    <phoneticPr fontId="5" type="noConversion"/>
  </si>
  <si>
    <t>LEE, JunHyun</t>
  </si>
  <si>
    <t>901225-1178425</t>
    <phoneticPr fontId="5" type="noConversion"/>
  </si>
  <si>
    <t>010-6419-8120</t>
    <phoneticPr fontId="5" type="noConversion"/>
  </si>
  <si>
    <t>5년 2개월</t>
    <phoneticPr fontId="5" type="noConversion"/>
  </si>
  <si>
    <t>서울사이버대학교</t>
    <phoneticPr fontId="5" type="noConversion"/>
  </si>
  <si>
    <t>인공지능학과</t>
    <phoneticPr fontId="5" type="noConversion"/>
  </si>
  <si>
    <t>기업은행</t>
    <phoneticPr fontId="5" type="noConversion"/>
  </si>
  <si>
    <t>107-110341-01-019</t>
    <phoneticPr fontId="5" type="noConversion"/>
  </si>
  <si>
    <t>010-2312-8120</t>
    <phoneticPr fontId="5" type="noConversion"/>
  </si>
  <si>
    <t>jh.lee5@tbell.co.kr</t>
    <phoneticPr fontId="5" type="noConversion"/>
  </si>
  <si>
    <t>송파대로 567, 510동 1502호 (잠실동, 아파트)</t>
    <phoneticPr fontId="5" type="noConversion"/>
  </si>
  <si>
    <t>김영민</t>
    <phoneticPr fontId="5" type="noConversion"/>
  </si>
  <si>
    <t>KIM, YoungMin</t>
  </si>
  <si>
    <t>800628-1177538</t>
    <phoneticPr fontId="5" type="noConversion"/>
  </si>
  <si>
    <t>010-8555-1317</t>
    <phoneticPr fontId="5" type="noConversion"/>
  </si>
  <si>
    <t>17년 2개월</t>
    <phoneticPr fontId="5" type="noConversion"/>
  </si>
  <si>
    <t>390-044253-02-015</t>
    <phoneticPr fontId="5" type="noConversion"/>
  </si>
  <si>
    <t>ym.kim@tbell.co.kr</t>
    <phoneticPr fontId="5" type="noConversion"/>
  </si>
  <si>
    <t>본삼로 48, 123동 106호(본오동, 월드아파트)</t>
    <phoneticPr fontId="5" type="noConversion"/>
  </si>
  <si>
    <t>임재민</t>
    <phoneticPr fontId="5" type="noConversion"/>
  </si>
  <si>
    <t>LIM, JaeMin</t>
  </si>
  <si>
    <t>920404-1041627</t>
  </si>
  <si>
    <t>010-4932-9244</t>
    <phoneticPr fontId="5" type="noConversion"/>
  </si>
  <si>
    <t>충남대학교</t>
    <phoneticPr fontId="5" type="noConversion"/>
  </si>
  <si>
    <t>농업경제학과</t>
    <phoneticPr fontId="5" type="noConversion"/>
  </si>
  <si>
    <t>074-120081-02-016</t>
    <phoneticPr fontId="5" type="noConversion"/>
  </si>
  <si>
    <t>jm.lim@tbell.co.kr</t>
    <phoneticPr fontId="5" type="noConversion"/>
  </si>
  <si>
    <t>신림로11길 73-14, 601호 (신림동)</t>
    <phoneticPr fontId="5" type="noConversion"/>
  </si>
  <si>
    <t>김기식</t>
    <phoneticPr fontId="5" type="noConversion"/>
  </si>
  <si>
    <t>KIM, GiSik</t>
  </si>
  <si>
    <t>830625-1386117</t>
    <phoneticPr fontId="5" type="noConversion"/>
  </si>
  <si>
    <t>010-2800-9245</t>
    <phoneticPr fontId="5" type="noConversion"/>
  </si>
  <si>
    <t>21년 0개월</t>
    <phoneticPr fontId="5" type="noConversion"/>
  </si>
  <si>
    <t>김천대학교</t>
    <phoneticPr fontId="5" type="noConversion"/>
  </si>
  <si>
    <t>CSTS(FL)</t>
    <phoneticPr fontId="5" type="noConversion"/>
  </si>
  <si>
    <t>158/8/11</t>
    <phoneticPr fontId="5" type="noConversion"/>
  </si>
  <si>
    <t>001-417448-01-010</t>
    <phoneticPr fontId="5" type="noConversion"/>
  </si>
  <si>
    <t>gs.kim@tbell.co.kr</t>
    <phoneticPr fontId="5" type="noConversion"/>
  </si>
  <si>
    <t>수정남로326번길 10-6, 201호</t>
    <phoneticPr fontId="5" type="noConversion"/>
  </si>
  <si>
    <t>김연서</t>
    <phoneticPr fontId="5" type="noConversion"/>
  </si>
  <si>
    <t>KIM, YeoJin</t>
  </si>
  <si>
    <t>020804-4140313</t>
    <phoneticPr fontId="5" type="noConversion"/>
  </si>
  <si>
    <t>010-4284-0752</t>
    <phoneticPr fontId="5" type="noConversion"/>
  </si>
  <si>
    <t>심리치료학과</t>
    <phoneticPr fontId="5" type="noConversion"/>
  </si>
  <si>
    <t>566-036166-01-015</t>
    <phoneticPr fontId="5" type="noConversion"/>
  </si>
  <si>
    <t>010-2284-0752</t>
    <phoneticPr fontId="5" type="noConversion"/>
  </si>
  <si>
    <t>yj.kim@tbell.co.kr</t>
    <phoneticPr fontId="5" type="noConversion"/>
  </si>
  <si>
    <t>상정로 41, 104동 2102호</t>
    <phoneticPr fontId="5" type="noConversion"/>
  </si>
  <si>
    <t>임나연</t>
    <phoneticPr fontId="5" type="noConversion"/>
  </si>
  <si>
    <t>LIM, NaYeon</t>
  </si>
  <si>
    <t>910217-2011729</t>
    <phoneticPr fontId="5" type="noConversion"/>
  </si>
  <si>
    <t>010-4654-3459</t>
    <phoneticPr fontId="5" type="noConversion"/>
  </si>
  <si>
    <t>Griffith University</t>
    <phoneticPr fontId="5" type="noConversion"/>
  </si>
  <si>
    <t>호텔경영학과</t>
    <phoneticPr fontId="5" type="noConversion"/>
  </si>
  <si>
    <t>학사</t>
  </si>
  <si>
    <t>420-099398-02-018</t>
    <phoneticPr fontId="5" type="noConversion"/>
  </si>
  <si>
    <t>ny.lim@tbell.co.kr</t>
    <phoneticPr fontId="5" type="noConversion"/>
  </si>
  <si>
    <t>동일로 126길 35-16, 202호</t>
    <phoneticPr fontId="5" type="noConversion"/>
  </si>
  <si>
    <t>김명호</t>
    <phoneticPr fontId="5" type="noConversion"/>
  </si>
  <si>
    <t>KIM, MyeongHo</t>
  </si>
  <si>
    <t>930928-1041214</t>
    <phoneticPr fontId="5" type="noConversion"/>
  </si>
  <si>
    <t>010-2669-7577</t>
    <phoneticPr fontId="5" type="noConversion"/>
  </si>
  <si>
    <t>세종대학교</t>
    <phoneticPr fontId="5" type="noConversion"/>
  </si>
  <si>
    <t>물리천문과학</t>
    <phoneticPr fontId="5" type="noConversion"/>
  </si>
  <si>
    <t>301-115541-02-015</t>
    <phoneticPr fontId="5" type="noConversion"/>
  </si>
  <si>
    <t>010-4944-8948</t>
    <phoneticPr fontId="5" type="noConversion"/>
  </si>
  <si>
    <t>mh.kim@tbell.co.kr</t>
    <phoneticPr fontId="5" type="noConversion"/>
  </si>
  <si>
    <t>포방터2나길 21-8, 201호</t>
    <phoneticPr fontId="5" type="noConversion"/>
  </si>
  <si>
    <t>김성현b</t>
    <phoneticPr fontId="5" type="noConversion"/>
  </si>
  <si>
    <t>KIM, SungHyeon</t>
  </si>
  <si>
    <t>970726-1274012</t>
    <phoneticPr fontId="5" type="noConversion"/>
  </si>
  <si>
    <t>010-7517-6137</t>
    <phoneticPr fontId="5" type="noConversion"/>
  </si>
  <si>
    <t>3년 9개월</t>
    <phoneticPr fontId="5" type="noConversion"/>
  </si>
  <si>
    <t>영어영문학과</t>
    <phoneticPr fontId="5" type="noConversion"/>
  </si>
  <si>
    <t>421-072023-02-017</t>
    <phoneticPr fontId="5" type="noConversion"/>
  </si>
  <si>
    <t>010-2405-6137</t>
    <phoneticPr fontId="5" type="noConversion"/>
  </si>
  <si>
    <t>sh.kim2@tbell.co.kr</t>
    <phoneticPr fontId="5" type="noConversion"/>
  </si>
  <si>
    <t xml:space="preserve"> 서울특별시</t>
    <phoneticPr fontId="5" type="noConversion"/>
  </si>
  <si>
    <t>광교로 120, 911호 (이의동, 스페이스광교)</t>
    <phoneticPr fontId="5" type="noConversion"/>
  </si>
  <si>
    <t>제상우</t>
    <phoneticPr fontId="5" type="noConversion"/>
  </si>
  <si>
    <t>CHE, Sangwoo</t>
  </si>
  <si>
    <t>860901-1026310</t>
    <phoneticPr fontId="5" type="noConversion"/>
  </si>
  <si>
    <t>010-3738-2736</t>
    <phoneticPr fontId="5" type="noConversion"/>
  </si>
  <si>
    <t>12년 1개월</t>
    <phoneticPr fontId="5" type="noConversion"/>
  </si>
  <si>
    <t>경희사이버대학교</t>
    <phoneticPr fontId="5" type="noConversion"/>
  </si>
  <si>
    <t>글로벌경영학과</t>
    <phoneticPr fontId="5" type="noConversion"/>
  </si>
  <si>
    <t>010-070158-02-018</t>
    <phoneticPr fontId="5" type="noConversion"/>
  </si>
  <si>
    <t>sw.che@tbell.co.kr</t>
    <phoneticPr fontId="5" type="noConversion"/>
  </si>
  <si>
    <t>장월로18길 34(장위동)</t>
    <phoneticPr fontId="5" type="noConversion"/>
  </si>
  <si>
    <t>박미염</t>
    <phoneticPr fontId="5" type="noConversion"/>
  </si>
  <si>
    <t>PIAO, MeiYan</t>
  </si>
  <si>
    <t>000326-8140033</t>
    <phoneticPr fontId="5" type="noConversion"/>
  </si>
  <si>
    <t>여자</t>
    <phoneticPr fontId="5" type="noConversion"/>
  </si>
  <si>
    <t>중국</t>
    <phoneticPr fontId="5" type="noConversion"/>
  </si>
  <si>
    <t>010-8040-3073</t>
    <phoneticPr fontId="5" type="noConversion"/>
  </si>
  <si>
    <t>Yanbian University</t>
    <phoneticPr fontId="5" type="noConversion"/>
  </si>
  <si>
    <t>일본어과</t>
    <phoneticPr fontId="5" type="noConversion"/>
  </si>
  <si>
    <t>114-195241-01-018</t>
    <phoneticPr fontId="5" type="noConversion"/>
  </si>
  <si>
    <t>010-6428-3073</t>
    <phoneticPr fontId="5" type="noConversion"/>
  </si>
  <si>
    <t>my.park@tbell.co.kr</t>
    <phoneticPr fontId="5" type="noConversion"/>
  </si>
  <si>
    <t>조마루로 358번길 23, 302호</t>
    <phoneticPr fontId="5" type="noConversion"/>
  </si>
  <si>
    <t>김하연</t>
    <phoneticPr fontId="5" type="noConversion"/>
  </si>
  <si>
    <t>KIM, HaYeon</t>
  </si>
  <si>
    <t>850510-2079712</t>
    <phoneticPr fontId="5" type="noConversion"/>
  </si>
  <si>
    <t>010-6461-0307</t>
    <phoneticPr fontId="5" type="noConversion"/>
  </si>
  <si>
    <t>유한대학교</t>
    <phoneticPr fontId="5" type="noConversion"/>
  </si>
  <si>
    <t>전자정보과</t>
    <phoneticPr fontId="5" type="noConversion"/>
  </si>
  <si>
    <t>신한은행</t>
    <phoneticPr fontId="5" type="noConversion"/>
  </si>
  <si>
    <t>110-167-391700</t>
    <phoneticPr fontId="5" type="noConversion"/>
  </si>
  <si>
    <t>친구</t>
    <phoneticPr fontId="5" type="noConversion"/>
  </si>
  <si>
    <t>010-8995-2004</t>
    <phoneticPr fontId="5" type="noConversion"/>
  </si>
  <si>
    <t>hy.kim@tbell.co.kr</t>
    <phoneticPr fontId="5" type="noConversion"/>
  </si>
  <si>
    <t>동탄대로1길 96, 2817동 502호</t>
    <phoneticPr fontId="5" type="noConversion"/>
  </si>
  <si>
    <t>최병성</t>
    <phoneticPr fontId="5" type="noConversion"/>
  </si>
  <si>
    <t>CHOI, ByeongSeong</t>
  </si>
  <si>
    <t>910713-1249127</t>
    <phoneticPr fontId="5" type="noConversion"/>
  </si>
  <si>
    <t>010-9276-0371</t>
    <phoneticPr fontId="5" type="noConversion"/>
  </si>
  <si>
    <t>사이버정보보안과</t>
    <phoneticPr fontId="5" type="noConversion"/>
  </si>
  <si>
    <t>242-094259-01-011</t>
    <phoneticPr fontId="5" type="noConversion"/>
  </si>
  <si>
    <t>010-4216-3021</t>
    <phoneticPr fontId="5" type="noConversion"/>
  </si>
  <si>
    <t>bs.choi@tbell.co.kr</t>
    <phoneticPr fontId="5" type="noConversion"/>
  </si>
  <si>
    <t>백옥대로 1255-6, 302호</t>
    <phoneticPr fontId="5" type="noConversion"/>
  </si>
  <si>
    <t>조하율</t>
    <phoneticPr fontId="5" type="noConversion"/>
  </si>
  <si>
    <t>JO, HaYul</t>
  </si>
  <si>
    <t>991016-2923616</t>
    <phoneticPr fontId="5" type="noConversion"/>
  </si>
  <si>
    <t>010-8884-2821</t>
    <phoneticPr fontId="5" type="noConversion"/>
  </si>
  <si>
    <t>한국폴리텍6대학</t>
    <phoneticPr fontId="5" type="noConversion"/>
  </si>
  <si>
    <t>콘텐츠디자인과</t>
    <phoneticPr fontId="5" type="noConversion"/>
  </si>
  <si>
    <t>217-095737-01-019</t>
    <phoneticPr fontId="5" type="noConversion"/>
  </si>
  <si>
    <t>010-7578-3125</t>
    <phoneticPr fontId="5" type="noConversion"/>
  </si>
  <si>
    <t>hy.jo@tbell.co.kr</t>
    <phoneticPr fontId="5" type="noConversion"/>
  </si>
  <si>
    <t>강남구</t>
    <phoneticPr fontId="5" type="noConversion"/>
  </si>
  <si>
    <t>삼성로107길 23-13, 401호</t>
    <phoneticPr fontId="5" type="noConversion"/>
  </si>
  <si>
    <t>우은순</t>
    <phoneticPr fontId="5" type="noConversion"/>
  </si>
  <si>
    <t>WOO, EunSoon</t>
  </si>
  <si>
    <t>791211-2224414</t>
    <phoneticPr fontId="5" type="noConversion"/>
  </si>
  <si>
    <t>010-6249-5993</t>
    <phoneticPr fontId="5" type="noConversion"/>
  </si>
  <si>
    <t>19년 0개월</t>
    <phoneticPr fontId="5" type="noConversion"/>
  </si>
  <si>
    <t>자동화개발</t>
    <phoneticPr fontId="5" type="noConversion"/>
  </si>
  <si>
    <t>개발자</t>
    <phoneticPr fontId="5" type="noConversion"/>
  </si>
  <si>
    <t>056-123415-01-012</t>
    <phoneticPr fontId="5" type="noConversion"/>
  </si>
  <si>
    <t>010-6201-1801</t>
    <phoneticPr fontId="5" type="noConversion"/>
  </si>
  <si>
    <t>es.woo@tbell.co.kr</t>
    <phoneticPr fontId="5" type="noConversion"/>
  </si>
  <si>
    <t>서달로 123, 102동 1502호 (흑석동, 롯데캐슬에듀포레)</t>
    <phoneticPr fontId="5" type="noConversion"/>
  </si>
  <si>
    <t>신진욱</t>
    <phoneticPr fontId="5" type="noConversion"/>
  </si>
  <si>
    <t>SHIN, JinWook</t>
  </si>
  <si>
    <t>800530-1148114</t>
    <phoneticPr fontId="5" type="noConversion"/>
  </si>
  <si>
    <t>010-7108-6171</t>
    <phoneticPr fontId="5" type="noConversion"/>
  </si>
  <si>
    <t>20년 10개월</t>
    <phoneticPr fontId="5" type="noConversion"/>
  </si>
  <si>
    <t>257-077170-02-017</t>
    <phoneticPr fontId="5" type="noConversion"/>
  </si>
  <si>
    <t>jw.shin@tbell.co.kr</t>
    <phoneticPr fontId="5" type="noConversion"/>
  </si>
  <si>
    <t>봉천로13나길 71-3, 502호 (봉천동, 성도빌라)</t>
    <phoneticPr fontId="5" type="noConversion"/>
  </si>
  <si>
    <t>정승아</t>
    <phoneticPr fontId="5" type="noConversion"/>
  </si>
  <si>
    <t>Jung, Seunga</t>
  </si>
  <si>
    <t>831109-2830813</t>
    <phoneticPr fontId="5" type="noConversion"/>
  </si>
  <si>
    <t>양력</t>
  </si>
  <si>
    <t>한국</t>
  </si>
  <si>
    <t>010-9309-4338</t>
    <phoneticPr fontId="5" type="noConversion"/>
  </si>
  <si>
    <t>18년 0개월</t>
    <phoneticPr fontId="5" type="noConversion"/>
  </si>
  <si>
    <t>동덕여자대학교</t>
    <phoneticPr fontId="5" type="noConversion"/>
  </si>
  <si>
    <t>IT기획 및 품질관리</t>
  </si>
  <si>
    <t>테스팅 엔지니어</t>
  </si>
  <si>
    <t>기업은행</t>
  </si>
  <si>
    <t>477-015367-02-016</t>
    <phoneticPr fontId="5" type="noConversion"/>
  </si>
  <si>
    <t>sa.jeong@tbell.co.kr</t>
    <phoneticPr fontId="5" type="noConversion"/>
  </si>
  <si>
    <t>삼성로61길 6, 301호</t>
    <phoneticPr fontId="5" type="noConversion"/>
  </si>
  <si>
    <t>김종협</t>
    <phoneticPr fontId="5" type="noConversion"/>
  </si>
  <si>
    <t>KIM, JongHyub</t>
  </si>
  <si>
    <t>790616-1024315</t>
    <phoneticPr fontId="5" type="noConversion"/>
  </si>
  <si>
    <t>010-3237-1119</t>
    <phoneticPr fontId="5" type="noConversion"/>
  </si>
  <si>
    <t>TBELL</t>
  </si>
  <si>
    <t>통신공학과</t>
    <phoneticPr fontId="5" type="noConversion"/>
  </si>
  <si>
    <t>257-075671-02-017</t>
    <phoneticPr fontId="5" type="noConversion"/>
  </si>
  <si>
    <t>jh.kim2@tbell.co.kr</t>
    <phoneticPr fontId="5" type="noConversion"/>
  </si>
  <si>
    <t>하남유니온로 10, 103동 1701호</t>
    <phoneticPr fontId="5" type="noConversion"/>
  </si>
  <si>
    <t>김영하</t>
    <phoneticPr fontId="5" type="noConversion"/>
  </si>
  <si>
    <t>KIM, YoungHa</t>
  </si>
  <si>
    <t>790107-1019620</t>
    <phoneticPr fontId="5" type="noConversion"/>
  </si>
  <si>
    <t>010-9557-7821</t>
    <phoneticPr fontId="5" type="noConversion"/>
  </si>
  <si>
    <t>21년 1개월</t>
    <phoneticPr fontId="5" type="noConversion"/>
  </si>
  <si>
    <t>학점은행제</t>
    <phoneticPr fontId="5" type="noConversion"/>
  </si>
  <si>
    <t>536-015343-01-014</t>
    <phoneticPr fontId="5" type="noConversion"/>
  </si>
  <si>
    <t>yh.kim@tbell.co.kr</t>
    <phoneticPr fontId="5" type="noConversion"/>
  </si>
  <si>
    <t>별내5로 189-130, 5402동 401호</t>
    <phoneticPr fontId="5" type="noConversion"/>
  </si>
  <si>
    <t>장한별</t>
    <phoneticPr fontId="5" type="noConversion"/>
  </si>
  <si>
    <t>JANG, Hanbyeol</t>
  </si>
  <si>
    <t>920417-2038014</t>
    <phoneticPr fontId="5" type="noConversion"/>
  </si>
  <si>
    <t>010-7371-7305</t>
    <phoneticPr fontId="5" type="noConversion"/>
  </si>
  <si>
    <t>282-057435-01-019</t>
    <phoneticPr fontId="5" type="noConversion"/>
  </si>
  <si>
    <t>010-5204-3238</t>
    <phoneticPr fontId="5" type="noConversion"/>
  </si>
  <si>
    <t>hb.jang@tbell.co.kr</t>
    <phoneticPr fontId="5" type="noConversion"/>
  </si>
  <si>
    <t>별내면</t>
    <phoneticPr fontId="5" type="noConversion"/>
  </si>
  <si>
    <t>청학로 114번길 17, 104동 1202호</t>
    <phoneticPr fontId="5" type="noConversion"/>
  </si>
  <si>
    <t>임주호</t>
    <phoneticPr fontId="5" type="noConversion"/>
  </si>
  <si>
    <t>YIM, JuHo</t>
  </si>
  <si>
    <t>880506-1233513</t>
  </si>
  <si>
    <t>010-4424-5623</t>
    <phoneticPr fontId="5" type="noConversion"/>
  </si>
  <si>
    <t>13년 9개월</t>
    <phoneticPr fontId="5" type="noConversion"/>
  </si>
  <si>
    <t>신안산대학교</t>
    <phoneticPr fontId="5" type="noConversion"/>
  </si>
  <si>
    <t>345-056191-01-011</t>
  </si>
  <si>
    <t>jh.lim@tbell.co.kr</t>
    <phoneticPr fontId="5" type="noConversion"/>
  </si>
  <si>
    <t>경기도</t>
  </si>
  <si>
    <t>광주시</t>
  </si>
  <si>
    <t>고불로 461-26, 106동 505호</t>
    <phoneticPr fontId="5" type="noConversion"/>
  </si>
  <si>
    <t>맹세연</t>
    <phoneticPr fontId="5" type="noConversion"/>
  </si>
  <si>
    <t>MAENG, SeYeon</t>
  </si>
  <si>
    <t>950413-2164810</t>
  </si>
  <si>
    <t>010-9403-6764</t>
    <phoneticPr fontId="5" type="noConversion"/>
  </si>
  <si>
    <t>산업경영공학과</t>
    <phoneticPr fontId="5" type="noConversion"/>
  </si>
  <si>
    <t>037-138028-02-019</t>
  </si>
  <si>
    <t>sy.maeng@tbell.co.kr</t>
    <phoneticPr fontId="5" type="noConversion"/>
  </si>
  <si>
    <t>봉담읍</t>
    <phoneticPr fontId="5" type="noConversion"/>
  </si>
  <si>
    <t>상리3길 87, 505동 701호</t>
    <phoneticPr fontId="5" type="noConversion"/>
  </si>
  <si>
    <t>진용범</t>
    <phoneticPr fontId="5" type="noConversion"/>
  </si>
  <si>
    <t>JIN, YongBeom</t>
  </si>
  <si>
    <t>970124-1163320</t>
  </si>
  <si>
    <t>010-3437-6092</t>
    <phoneticPr fontId="5" type="noConversion"/>
  </si>
  <si>
    <t>982-031210-01-011</t>
  </si>
  <si>
    <t>010-8257-6092</t>
    <phoneticPr fontId="5" type="noConversion"/>
  </si>
  <si>
    <t>yb.jin@tbell.co.kr</t>
    <phoneticPr fontId="5" type="noConversion"/>
  </si>
  <si>
    <t>권선구</t>
    <phoneticPr fontId="5" type="noConversion"/>
  </si>
  <si>
    <t>권중로 82, 701동 303호</t>
    <phoneticPr fontId="5" type="noConversion"/>
  </si>
  <si>
    <t>김지훈</t>
    <phoneticPr fontId="5" type="noConversion"/>
  </si>
  <si>
    <t>KIM, JiHun</t>
  </si>
  <si>
    <t>960911-1033121</t>
  </si>
  <si>
    <t>010-3915-8818</t>
    <phoneticPr fontId="5" type="noConversion"/>
  </si>
  <si>
    <t>5년 11개월</t>
    <phoneticPr fontId="5" type="noConversion"/>
  </si>
  <si>
    <t>토목공학과</t>
    <phoneticPr fontId="5" type="noConversion"/>
  </si>
  <si>
    <t>037-138014-01-016</t>
  </si>
  <si>
    <t>010-9618-8265</t>
    <phoneticPr fontId="5" type="noConversion"/>
  </si>
  <si>
    <t>jh.kim3@tbell.co.kr</t>
    <phoneticPr fontId="5" type="noConversion"/>
  </si>
  <si>
    <t>서울특별시</t>
  </si>
  <si>
    <t>도봉구</t>
  </si>
  <si>
    <t>해등로 286-5, 104동 907호</t>
    <phoneticPr fontId="5" type="noConversion"/>
  </si>
  <si>
    <t>탁예본</t>
    <phoneticPr fontId="5" type="noConversion"/>
  </si>
  <si>
    <t>TAK, YeBon</t>
  </si>
  <si>
    <t>960327-2113311</t>
  </si>
  <si>
    <t>010-7928-2429</t>
    <phoneticPr fontId="5" type="noConversion"/>
  </si>
  <si>
    <t>금명여자고등학교</t>
    <phoneticPr fontId="5" type="noConversion"/>
  </si>
  <si>
    <t>037-138030-01-017</t>
  </si>
  <si>
    <t>010-9971-1309</t>
    <phoneticPr fontId="5" type="noConversion"/>
  </si>
  <si>
    <t>yb.tak@tbell.co.kr</t>
    <phoneticPr fontId="5" type="noConversion"/>
  </si>
  <si>
    <t>은평구</t>
  </si>
  <si>
    <t>은평로11길 23, 402호</t>
    <phoneticPr fontId="5" type="noConversion"/>
  </si>
  <si>
    <t>서영주</t>
    <phoneticPr fontId="5" type="noConversion"/>
  </si>
  <si>
    <t>SEO, YoungJu</t>
  </si>
  <si>
    <t>960227-2852836</t>
  </si>
  <si>
    <t>010-5262-4130</t>
    <phoneticPr fontId="5" type="noConversion"/>
  </si>
  <si>
    <t>037-138075-02-011</t>
    <phoneticPr fontId="4" type="noConversion"/>
  </si>
  <si>
    <t>010-3696-0871</t>
    <phoneticPr fontId="5" type="noConversion"/>
  </si>
  <si>
    <t>yj.seo@tbell.co.kr</t>
    <phoneticPr fontId="5" type="noConversion"/>
  </si>
  <si>
    <t>성북구</t>
  </si>
  <si>
    <t>솔샘로25길 28, 116동 9층 901호</t>
    <phoneticPr fontId="5" type="noConversion"/>
  </si>
  <si>
    <t>이혜리</t>
    <phoneticPr fontId="5" type="noConversion"/>
  </si>
  <si>
    <t>LEE, HyeRi</t>
    <phoneticPr fontId="5" type="noConversion"/>
  </si>
  <si>
    <t>950626-2057818</t>
  </si>
  <si>
    <t>010-7466-5673</t>
    <phoneticPr fontId="5" type="noConversion"/>
  </si>
  <si>
    <t>310-156127-01-015</t>
    <phoneticPr fontId="5" type="noConversion"/>
  </si>
  <si>
    <t>hr.lee@tbell.co.kr</t>
    <phoneticPr fontId="5" type="noConversion"/>
  </si>
  <si>
    <t>길음로 118, 416동 1901호</t>
    <phoneticPr fontId="5" type="noConversion"/>
  </si>
  <si>
    <t>김현아</t>
    <phoneticPr fontId="5" type="noConversion"/>
  </si>
  <si>
    <t>KIM, HyunA</t>
  </si>
  <si>
    <t>901229-2203421</t>
  </si>
  <si>
    <t>010-5150-1292</t>
    <phoneticPr fontId="5" type="noConversion"/>
  </si>
  <si>
    <t>경복대학교</t>
    <phoneticPr fontId="5" type="noConversion"/>
  </si>
  <si>
    <t>세무회계정보과</t>
    <phoneticPr fontId="5" type="noConversion"/>
  </si>
  <si>
    <t>014-147364-02-018</t>
  </si>
  <si>
    <t>010-9172-9282</t>
    <phoneticPr fontId="5" type="noConversion"/>
  </si>
  <si>
    <t>ha.kim@tbell.co.kr</t>
    <phoneticPr fontId="5" type="noConversion"/>
  </si>
  <si>
    <t>중랑구</t>
  </si>
  <si>
    <t>망우로 346, 101동 1903호</t>
    <phoneticPr fontId="5" type="noConversion"/>
  </si>
  <si>
    <t>허윤지</t>
    <phoneticPr fontId="5" type="noConversion"/>
  </si>
  <si>
    <t>HUH, YunJee</t>
  </si>
  <si>
    <t>040705-4201312</t>
  </si>
  <si>
    <t>010-7697-7524</t>
    <phoneticPr fontId="5" type="noConversion"/>
  </si>
  <si>
    <t>305-100678-02-012</t>
  </si>
  <si>
    <t>010-9593-3167</t>
    <phoneticPr fontId="5" type="noConversion"/>
  </si>
  <si>
    <t>yj.heo@tbell.co.kr</t>
    <phoneticPr fontId="5" type="noConversion"/>
  </si>
  <si>
    <t>과천시</t>
  </si>
  <si>
    <t>별양로 110, 618동 1604호</t>
    <phoneticPr fontId="5" type="noConversion"/>
  </si>
  <si>
    <t>조예서</t>
    <phoneticPr fontId="5" type="noConversion"/>
  </si>
  <si>
    <t>CHO, YeSeo</t>
  </si>
  <si>
    <t>050106-4063513</t>
  </si>
  <si>
    <t>010-7567-3278</t>
    <phoneticPr fontId="5" type="noConversion"/>
  </si>
  <si>
    <t>917-920934-02-018</t>
    <phoneticPr fontId="5" type="noConversion"/>
  </si>
  <si>
    <t>ys.cho@tbell.co.kr</t>
    <phoneticPr fontId="5" type="noConversion"/>
  </si>
  <si>
    <t>양주시</t>
  </si>
  <si>
    <t>옥정동로 104, 2111동 1203호</t>
    <phoneticPr fontId="5" type="noConversion"/>
  </si>
  <si>
    <t>이영주</t>
    <phoneticPr fontId="5" type="noConversion"/>
  </si>
  <si>
    <t>LEE, YeongJu</t>
  </si>
  <si>
    <t>811118-2036114</t>
  </si>
  <si>
    <t>010-6203-5131</t>
    <phoneticPr fontId="5" type="noConversion"/>
  </si>
  <si>
    <t>이화여자대학교</t>
    <phoneticPr fontId="5" type="noConversion"/>
  </si>
  <si>
    <t>037-138021-02-013</t>
  </si>
  <si>
    <t>매</t>
    <phoneticPr fontId="5" type="noConversion"/>
  </si>
  <si>
    <t>010-9143-3493</t>
    <phoneticPr fontId="5" type="noConversion"/>
  </si>
  <si>
    <t>yj.lee@tbell.co.kr</t>
    <phoneticPr fontId="5" type="noConversion"/>
  </si>
  <si>
    <t>중구</t>
  </si>
  <si>
    <t>만리재로 175</t>
    <phoneticPr fontId="5" type="noConversion"/>
  </si>
  <si>
    <t>장환진</t>
    <phoneticPr fontId="5" type="noConversion"/>
  </si>
  <si>
    <t>JANG, HwanJin</t>
    <phoneticPr fontId="5" type="noConversion"/>
  </si>
  <si>
    <t>031119-3216310</t>
  </si>
  <si>
    <t>010-4931-9580</t>
    <phoneticPr fontId="5" type="noConversion"/>
  </si>
  <si>
    <t>4년 1개월</t>
    <phoneticPr fontId="5" type="noConversion"/>
  </si>
  <si>
    <t>경기경영고등학교</t>
    <phoneticPr fontId="5" type="noConversion"/>
  </si>
  <si>
    <t>982-187192-01-013</t>
  </si>
  <si>
    <t>hj.jang@tbell.co.kr</t>
    <phoneticPr fontId="5" type="noConversion"/>
  </si>
  <si>
    <t>시흥시</t>
  </si>
  <si>
    <t>검바위1로 38, 나동 1층 104호</t>
    <phoneticPr fontId="5" type="noConversion"/>
  </si>
  <si>
    <t>박형국</t>
    <phoneticPr fontId="5" type="noConversion"/>
  </si>
  <si>
    <t>PARK, HyeongKuk</t>
  </si>
  <si>
    <t>030430-3183310</t>
  </si>
  <si>
    <t>010-3751-8052</t>
    <phoneticPr fontId="5" type="noConversion"/>
  </si>
  <si>
    <t>334-103686-01-011</t>
  </si>
  <si>
    <t>hk.park@tbell.co.kr</t>
    <phoneticPr fontId="5" type="noConversion"/>
  </si>
  <si>
    <t>삼작로416번길 3, 402호</t>
    <phoneticPr fontId="5" type="noConversion"/>
  </si>
  <si>
    <t>성기용</t>
    <phoneticPr fontId="5" type="noConversion"/>
  </si>
  <si>
    <t>Sung, GiYoung</t>
  </si>
  <si>
    <t>940913-1030715</t>
  </si>
  <si>
    <t>010-2928-0913</t>
    <phoneticPr fontId="5" type="noConversion"/>
  </si>
  <si>
    <t>9년 6개월</t>
    <phoneticPr fontId="5" type="noConversion"/>
  </si>
  <si>
    <t>광운전자공업고등학교</t>
    <phoneticPr fontId="5" type="noConversion"/>
  </si>
  <si>
    <t>광운인공지능고등학교</t>
    <phoneticPr fontId="5" type="noConversion"/>
  </si>
  <si>
    <t>504-036933-01-011</t>
    <phoneticPr fontId="5" type="noConversion"/>
  </si>
  <si>
    <t>010-3187-0845</t>
    <phoneticPr fontId="5" type="noConversion"/>
  </si>
  <si>
    <t>gy.sung@tbell.co.kr</t>
    <phoneticPr fontId="5" type="noConversion"/>
  </si>
  <si>
    <t>인수봉로85길 16, 201호</t>
    <phoneticPr fontId="5" type="noConversion"/>
  </si>
  <si>
    <t>이채원</t>
    <phoneticPr fontId="5" type="noConversion"/>
  </si>
  <si>
    <t>LEE, Chae-Won</t>
  </si>
  <si>
    <t>040923-4250831</t>
  </si>
  <si>
    <t>010-2037-8625</t>
  </si>
  <si>
    <t>한양여자대학교</t>
  </si>
  <si>
    <t>스마트IT과</t>
  </si>
  <si>
    <t>전문학사</t>
  </si>
  <si>
    <t>488-095276-02-016</t>
  </si>
  <si>
    <t>cw.lee@tbell.co.kr</t>
    <phoneticPr fontId="5" type="noConversion"/>
  </si>
  <si>
    <t>용인시 수지구</t>
  </si>
  <si>
    <t>풍덕천로 91</t>
  </si>
  <si>
    <t>103동 1802호</t>
  </si>
  <si>
    <t>기타</t>
  </si>
  <si>
    <t>문지훈</t>
    <phoneticPr fontId="5" type="noConversion"/>
  </si>
  <si>
    <t>MUN, JI-HUN</t>
    <phoneticPr fontId="5" type="noConversion"/>
  </si>
  <si>
    <t>970525-1085212</t>
  </si>
  <si>
    <t>010-8308-1597</t>
    <phoneticPr fontId="5" type="noConversion"/>
  </si>
  <si>
    <t>김포외국어고등학교</t>
  </si>
  <si>
    <t>고졸</t>
  </si>
  <si>
    <t>147-119018-02-017</t>
  </si>
  <si>
    <t>jh.mun@tbell.co.kr</t>
    <phoneticPr fontId="5" type="noConversion"/>
  </si>
  <si>
    <t>성남시 수정구</t>
  </si>
  <si>
    <t>성남대로 1210</t>
  </si>
  <si>
    <t>1006호</t>
  </si>
  <si>
    <t>임채영</t>
    <phoneticPr fontId="5" type="noConversion"/>
  </si>
  <si>
    <t>LIM, Chae-Young</t>
    <phoneticPr fontId="5" type="noConversion"/>
  </si>
  <si>
    <t>051027-4046619</t>
    <phoneticPr fontId="5" type="noConversion"/>
  </si>
  <si>
    <t>010-7268-5521</t>
  </si>
  <si>
    <t>배화여자대학교</t>
  </si>
  <si>
    <t>반도체소프트웨어과</t>
  </si>
  <si>
    <t>cy.lim@tbell.co.kr</t>
    <phoneticPr fontId="5" type="noConversion"/>
  </si>
  <si>
    <t>서울시</t>
  </si>
  <si>
    <t>마포구</t>
  </si>
  <si>
    <t>만리재로 74</t>
  </si>
  <si>
    <t>206동 1203호</t>
  </si>
  <si>
    <t>서울시 마포구 만리재로 74 206동 1203호</t>
  </si>
  <si>
    <t>주일영</t>
    <phoneticPr fontId="5" type="noConversion"/>
  </si>
  <si>
    <t>JOO, Il-Yung</t>
  </si>
  <si>
    <t>720311-1466314</t>
  </si>
  <si>
    <t>720311</t>
  </si>
  <si>
    <t>03</t>
  </si>
  <si>
    <t>남자</t>
  </si>
  <si>
    <t>010-2064-4849</t>
  </si>
  <si>
    <t>명지대학교</t>
  </si>
  <si>
    <t>토목환경공학과</t>
  </si>
  <si>
    <t>109-070140-01-011</t>
  </si>
  <si>
    <t>jh.mun@tbell.co.kr</t>
  </si>
  <si>
    <t>성남시 분당구</t>
  </si>
  <si>
    <t>양현로94번길 29</t>
  </si>
  <si>
    <t>612동 901호</t>
  </si>
  <si>
    <t>경기도 성남시 분당구 양현로94번길 29 612동 901호</t>
  </si>
  <si>
    <t>홍혜정</t>
    <phoneticPr fontId="5" type="noConversion"/>
  </si>
  <si>
    <t>HONG, Hye-Jung</t>
  </si>
  <si>
    <t>030927-4233119</t>
  </si>
  <si>
    <t>010-6347-7491</t>
  </si>
  <si>
    <t>우리은행</t>
    <phoneticPr fontId="5" type="noConversion"/>
  </si>
  <si>
    <t>1002-239-973614</t>
  </si>
  <si>
    <t>hj.hong2@tbell.co.kr</t>
  </si>
  <si>
    <t>파주시 조리읍</t>
  </si>
  <si>
    <t>능안로 37</t>
  </si>
  <si>
    <t>109동 1106호</t>
  </si>
  <si>
    <t>이민지</t>
    <phoneticPr fontId="5" type="noConversion"/>
  </si>
  <si>
    <t>LEE, MinJi</t>
  </si>
  <si>
    <t>030301-4076714</t>
    <phoneticPr fontId="5" type="noConversion"/>
  </si>
  <si>
    <t>010-8377-7443</t>
    <phoneticPr fontId="5" type="noConversion"/>
  </si>
  <si>
    <t>동국대학교</t>
    <phoneticPr fontId="5" type="noConversion"/>
  </si>
  <si>
    <t>우리은행</t>
    <phoneticPr fontId="4" type="noConversion"/>
  </si>
  <si>
    <t>1002-263-440398</t>
    <phoneticPr fontId="5" type="noConversion"/>
  </si>
  <si>
    <t>mj.lee2@tbell.co.kr</t>
    <phoneticPr fontId="5" type="noConversion"/>
  </si>
  <si>
    <t>수정로58, 303호(수진동,세일띠아모아파트)</t>
    <phoneticPr fontId="5" type="noConversion"/>
  </si>
  <si>
    <t/>
  </si>
  <si>
    <t>김윤옥</t>
    <phoneticPr fontId="5" type="noConversion"/>
  </si>
  <si>
    <t>KIM, YoonOk</t>
  </si>
  <si>
    <t>680705-2899121</t>
    <phoneticPr fontId="5" type="noConversion"/>
  </si>
  <si>
    <t>010-3587-0768</t>
    <phoneticPr fontId="5" type="noConversion"/>
  </si>
  <si>
    <t>26년 5개월</t>
    <phoneticPr fontId="5" type="noConversion"/>
  </si>
  <si>
    <t>부산외국어대학교</t>
    <phoneticPr fontId="5" type="noConversion"/>
  </si>
  <si>
    <t>063-035447-01-013</t>
    <phoneticPr fontId="5" type="noConversion"/>
  </si>
  <si>
    <t>yo.kim@tbell.co.kr</t>
    <phoneticPr fontId="5" type="noConversion"/>
  </si>
  <si>
    <t>서원10길 8, 가동 205호 (신림동, 황해연립)</t>
    <phoneticPr fontId="5" type="noConversion"/>
  </si>
  <si>
    <t>조웅기</t>
    <phoneticPr fontId="5" type="noConversion"/>
  </si>
  <si>
    <t>JO, UngGi</t>
  </si>
  <si>
    <t>930929-1057412</t>
  </si>
  <si>
    <t>010-7268-7378</t>
    <phoneticPr fontId="5" type="noConversion"/>
  </si>
  <si>
    <t>1년 7개월</t>
    <phoneticPr fontId="5" type="noConversion"/>
  </si>
  <si>
    <t>강남대학교</t>
  </si>
  <si>
    <t>문헌정보학과</t>
  </si>
  <si>
    <t>경영지원</t>
  </si>
  <si>
    <t>512-064389-01-016</t>
  </si>
  <si>
    <t>모</t>
  </si>
  <si>
    <t>010-3038-7378</t>
  </si>
  <si>
    <t>ug.jo@tbell.co.kr</t>
    <phoneticPr fontId="5" type="noConversion"/>
  </si>
  <si>
    <t>의왕시</t>
    <phoneticPr fontId="5" type="noConversion"/>
  </si>
  <si>
    <t>내손순환로7, 304동 1201호(내손동,래미안 에버하임아파트)</t>
    <phoneticPr fontId="5" type="noConversion"/>
  </si>
  <si>
    <t>박성호C</t>
    <phoneticPr fontId="5" type="noConversion"/>
  </si>
  <si>
    <t>PARK, SeongHo</t>
  </si>
  <si>
    <t>680414-1057318</t>
    <phoneticPr fontId="5" type="noConversion"/>
  </si>
  <si>
    <t>010-8984-8448</t>
    <phoneticPr fontId="5" type="noConversion"/>
  </si>
  <si>
    <t>사업관리</t>
    <phoneticPr fontId="5" type="noConversion"/>
  </si>
  <si>
    <t>257-067062-01-011</t>
    <phoneticPr fontId="5" type="noConversion"/>
  </si>
  <si>
    <t>seongho.park@tbell.co.kr</t>
    <phoneticPr fontId="5" type="noConversion"/>
  </si>
  <si>
    <t>주엽로 98, 1707동 2001호</t>
    <phoneticPr fontId="5" type="noConversion"/>
  </si>
  <si>
    <t>김민아</t>
    <phoneticPr fontId="5" type="noConversion"/>
  </si>
  <si>
    <t>KIM, Min-Ah</t>
  </si>
  <si>
    <t>801215-2177727</t>
  </si>
  <si>
    <t>010-3980-2847</t>
  </si>
  <si>
    <t>오타와대학교</t>
  </si>
  <si>
    <t>예술학부</t>
  </si>
  <si>
    <t>222-026919-02-016</t>
  </si>
  <si>
    <t>ma.kim@tbell.co.kr</t>
    <phoneticPr fontId="5" type="noConversion"/>
  </si>
  <si>
    <t>서초구</t>
  </si>
  <si>
    <t>효령로72길 57</t>
  </si>
  <si>
    <t>A-2003호</t>
  </si>
  <si>
    <t>이성진</t>
    <phoneticPr fontId="5" type="noConversion"/>
  </si>
  <si>
    <t>LEE, Sung-Jin</t>
    <phoneticPr fontId="4" type="noConversion"/>
  </si>
  <si>
    <t>730620-2490013</t>
    <phoneticPr fontId="4" type="noConversion"/>
  </si>
  <si>
    <t>010-3243-5707</t>
    <phoneticPr fontId="4" type="noConversion"/>
  </si>
  <si>
    <t>호원대학교</t>
    <phoneticPr fontId="4" type="noConversion"/>
  </si>
  <si>
    <t>회계학과</t>
    <phoneticPr fontId="4" type="noConversion"/>
  </si>
  <si>
    <t>035-119957-01-017</t>
    <phoneticPr fontId="4" type="noConversion"/>
  </si>
  <si>
    <t>njin0418@naver.com</t>
  </si>
  <si>
    <t>서강로 95</t>
    <phoneticPr fontId="4" type="noConversion"/>
  </si>
  <si>
    <t>101동 903호</t>
    <phoneticPr fontId="4" type="noConversion"/>
  </si>
  <si>
    <t>서북권</t>
    <phoneticPr fontId="4" type="noConversion"/>
  </si>
  <si>
    <t>이수연</t>
    <phoneticPr fontId="5" type="noConversion"/>
  </si>
  <si>
    <t>LEE, Su-Youn</t>
    <phoneticPr fontId="4" type="noConversion"/>
  </si>
  <si>
    <t>701210-2173625</t>
    <phoneticPr fontId="4" type="noConversion"/>
  </si>
  <si>
    <t>010-7277-8651</t>
    <phoneticPr fontId="4" type="noConversion"/>
  </si>
  <si>
    <t>경민비즈니스고등학교</t>
    <phoneticPr fontId="4" type="noConversion"/>
  </si>
  <si>
    <t>고졸</t>
    <phoneticPr fontId="4" type="noConversion"/>
  </si>
  <si>
    <t>014-062034-01-028</t>
    <phoneticPr fontId="4" type="noConversion"/>
  </si>
  <si>
    <t>ysy8651n@naver.com</t>
  </si>
  <si>
    <t>중랑구</t>
    <phoneticPr fontId="4" type="noConversion"/>
  </si>
  <si>
    <t>겸재로49길 58</t>
    <phoneticPr fontId="4" type="noConversion"/>
  </si>
  <si>
    <t>102호</t>
    <phoneticPr fontId="4" type="noConversion"/>
  </si>
  <si>
    <t>동북권</t>
    <phoneticPr fontId="4" type="noConversion"/>
  </si>
  <si>
    <t>박소연</t>
    <phoneticPr fontId="5" type="noConversion"/>
  </si>
  <si>
    <t>PARK, So-Yeon</t>
  </si>
  <si>
    <t>801111-2056011</t>
  </si>
  <si>
    <t>010-2292-0101</t>
  </si>
  <si>
    <t>부천대학교</t>
  </si>
  <si>
    <t>컴퓨터응용전공</t>
  </si>
  <si>
    <t>110-470-188945</t>
  </si>
  <si>
    <t>palpal07@naver.com</t>
    <phoneticPr fontId="5" type="noConversion"/>
  </si>
  <si>
    <t>고양시 일산서구</t>
  </si>
  <si>
    <t>일현로 140</t>
  </si>
  <si>
    <t>102동 1406호</t>
  </si>
  <si>
    <t>경기도 고양시 일산서구 일현로 140 102동 1406호</t>
  </si>
  <si>
    <t>정주연</t>
    <phoneticPr fontId="5" type="noConversion"/>
  </si>
  <si>
    <t>JUNG, JooYeon</t>
  </si>
  <si>
    <t>670324-1642519</t>
    <phoneticPr fontId="5" type="noConversion"/>
  </si>
  <si>
    <t>010-2602-0680</t>
    <phoneticPr fontId="5" type="noConversion"/>
  </si>
  <si>
    <t>전남대학교</t>
    <phoneticPr fontId="5" type="noConversion"/>
  </si>
  <si>
    <t>경제학부</t>
    <phoneticPr fontId="5" type="noConversion"/>
  </si>
  <si>
    <t>408801-01-351443</t>
    <phoneticPr fontId="5" type="noConversion"/>
  </si>
  <si>
    <t>jy.jeong@tbell.co.kr</t>
    <phoneticPr fontId="5" type="noConversion"/>
  </si>
  <si>
    <t>화랑로47길 38, 105동 1104호</t>
    <phoneticPr fontId="5" type="noConversion"/>
  </si>
  <si>
    <t>강영진</t>
    <phoneticPr fontId="5" type="noConversion"/>
  </si>
  <si>
    <t>KANG, YoungJin</t>
  </si>
  <si>
    <t>750125-2051219</t>
    <phoneticPr fontId="5" type="noConversion"/>
  </si>
  <si>
    <t>010-8871-0637</t>
    <phoneticPr fontId="5" type="noConversion"/>
  </si>
  <si>
    <t>13년 10개월</t>
    <phoneticPr fontId="5" type="noConversion"/>
  </si>
  <si>
    <t>서서울생활과학고등학교</t>
    <phoneticPr fontId="5" type="noConversion"/>
  </si>
  <si>
    <t>상업과</t>
    <phoneticPr fontId="5" type="noConversion"/>
  </si>
  <si>
    <t>신한은행</t>
    <phoneticPr fontId="4" type="noConversion"/>
  </si>
  <si>
    <t>110-141-148493</t>
    <phoneticPr fontId="5" type="noConversion"/>
  </si>
  <si>
    <t>yj.kang@tbell.co.kr</t>
    <phoneticPr fontId="5" type="noConversion"/>
  </si>
  <si>
    <t>도림로3길 40, 302호 (구로동)</t>
    <phoneticPr fontId="5" type="noConversion"/>
  </si>
  <si>
    <t>도은정</t>
    <phoneticPr fontId="5" type="noConversion"/>
  </si>
  <si>
    <t>DO, EunJung</t>
  </si>
  <si>
    <t>760825-2635223</t>
    <phoneticPr fontId="5" type="noConversion"/>
  </si>
  <si>
    <t>010-5898-7426</t>
    <phoneticPr fontId="5" type="noConversion"/>
  </si>
  <si>
    <t>9년 0개월</t>
    <phoneticPr fontId="5" type="noConversion"/>
  </si>
  <si>
    <t>벌교상업고등학교</t>
    <phoneticPr fontId="5" type="noConversion"/>
  </si>
  <si>
    <t>정보처리과</t>
    <phoneticPr fontId="5" type="noConversion"/>
  </si>
  <si>
    <t>694-045570-02-018</t>
    <phoneticPr fontId="5" type="noConversion"/>
  </si>
  <si>
    <t>ej.do@tbell.co.kr</t>
    <phoneticPr fontId="5" type="noConversion"/>
  </si>
  <si>
    <t>후곡로 35, 501동 1201호</t>
    <phoneticPr fontId="5" type="noConversion"/>
  </si>
  <si>
    <t>안제승</t>
    <phoneticPr fontId="5" type="noConversion"/>
  </si>
  <si>
    <t>AN, JeSeung</t>
  </si>
  <si>
    <t>950409-1031314</t>
    <phoneticPr fontId="5" type="noConversion"/>
  </si>
  <si>
    <t>010-7793-1675</t>
    <phoneticPr fontId="5" type="noConversion"/>
  </si>
  <si>
    <t>덕수고등학교</t>
    <phoneticPr fontId="5" type="noConversion"/>
  </si>
  <si>
    <t>077-161828-01-011</t>
    <phoneticPr fontId="5" type="noConversion"/>
  </si>
  <si>
    <t>js.an@tbell.co.kr</t>
    <phoneticPr fontId="5" type="noConversion"/>
  </si>
  <si>
    <t>삼양로80가길 35 (수유동)</t>
    <phoneticPr fontId="5" type="noConversion"/>
  </si>
  <si>
    <t>조재훈</t>
    <phoneticPr fontId="5" type="noConversion"/>
  </si>
  <si>
    <t>JO, JaeHoon</t>
  </si>
  <si>
    <t>840326-1058618</t>
    <phoneticPr fontId="5" type="noConversion"/>
  </si>
  <si>
    <t>010-5819-8403</t>
    <phoneticPr fontId="5" type="noConversion"/>
  </si>
  <si>
    <t>인덕대학교</t>
    <phoneticPr fontId="5" type="noConversion"/>
  </si>
  <si>
    <t>008-501415-02-013</t>
    <phoneticPr fontId="5" type="noConversion"/>
  </si>
  <si>
    <t>jh.jo2@tbell.co.kr</t>
    <phoneticPr fontId="5" type="noConversion"/>
  </si>
  <si>
    <t>번영로</t>
    <phoneticPr fontId="5" type="noConversion"/>
  </si>
  <si>
    <t>403, 502동 1006호 (산본동, 가야아파트)</t>
    <phoneticPr fontId="5" type="noConversion"/>
  </si>
  <si>
    <t>노은희</t>
    <phoneticPr fontId="5" type="noConversion"/>
  </si>
  <si>
    <t>NOH, EunHee</t>
  </si>
  <si>
    <t>760122-2522911</t>
  </si>
  <si>
    <t>010-9405-0781</t>
  </si>
  <si>
    <t>20년 8개월</t>
    <phoneticPr fontId="5" type="noConversion"/>
  </si>
  <si>
    <t>세무회계학과</t>
    <phoneticPr fontId="5" type="noConversion"/>
  </si>
  <si>
    <t>특급</t>
  </si>
  <si>
    <t>국민은행</t>
  </si>
  <si>
    <t>099-21-0186-549</t>
  </si>
  <si>
    <t>eh.noh@tbell.co.kr</t>
    <phoneticPr fontId="5" type="noConversion"/>
  </si>
  <si>
    <t>광명시</t>
  </si>
  <si>
    <t>안현로</t>
  </si>
  <si>
    <t>34, 305동 102호 (하안동, 고층주공아파트)</t>
  </si>
  <si>
    <t>이선희</t>
    <phoneticPr fontId="5" type="noConversion"/>
  </si>
  <si>
    <t>LEE, SeonHee</t>
  </si>
  <si>
    <t>630319-2037417</t>
    <phoneticPr fontId="5" type="noConversion"/>
  </si>
  <si>
    <t>010-2578-8644</t>
    <phoneticPr fontId="5" type="noConversion"/>
  </si>
  <si>
    <t>16년 3개월</t>
    <phoneticPr fontId="5" type="noConversion"/>
  </si>
  <si>
    <t>교육학과</t>
    <phoneticPr fontId="5" type="noConversion"/>
  </si>
  <si>
    <t>국민은행</t>
    <phoneticPr fontId="5" type="noConversion"/>
  </si>
  <si>
    <t>472902-01-242624</t>
    <phoneticPr fontId="5" type="noConversion"/>
  </si>
  <si>
    <t>sh.lee3@tbell.co.kr</t>
    <phoneticPr fontId="5" type="noConversion"/>
  </si>
  <si>
    <t xml:space="preserve">상일로 74, 339동 1103호 </t>
    <phoneticPr fontId="5" type="noConversion"/>
  </si>
  <si>
    <t>김미란</t>
    <phoneticPr fontId="5" type="noConversion"/>
  </si>
  <si>
    <t>KIM, Miran</t>
  </si>
  <si>
    <t>720408-2654912</t>
    <phoneticPr fontId="5" type="noConversion"/>
  </si>
  <si>
    <t>010-9000-4038</t>
    <phoneticPr fontId="5" type="noConversion"/>
  </si>
  <si>
    <t>전자계산학과</t>
    <phoneticPr fontId="5" type="noConversion"/>
  </si>
  <si>
    <t>459602-01-119897</t>
    <phoneticPr fontId="5" type="noConversion"/>
  </si>
  <si>
    <t>mr.kim@tbell.co.kr</t>
    <phoneticPr fontId="5" type="noConversion"/>
  </si>
  <si>
    <t>신정로 293, 107동 1203호</t>
    <phoneticPr fontId="5" type="noConversion"/>
  </si>
  <si>
    <t>황연수</t>
    <phoneticPr fontId="5" type="noConversion"/>
  </si>
  <si>
    <t>HWANG, YeonSu</t>
  </si>
  <si>
    <t>721101-2388712</t>
    <phoneticPr fontId="5" type="noConversion"/>
  </si>
  <si>
    <t>010-2769-9170</t>
    <phoneticPr fontId="5" type="noConversion"/>
  </si>
  <si>
    <t>21년 8개월</t>
    <phoneticPr fontId="5" type="noConversion"/>
  </si>
  <si>
    <t>전산경영기술공학부</t>
    <phoneticPr fontId="5" type="noConversion"/>
  </si>
  <si>
    <t>077-151562-01-010</t>
    <phoneticPr fontId="5" type="noConversion"/>
  </si>
  <si>
    <t>ys.hwang@tbell.co.kr</t>
    <phoneticPr fontId="5" type="noConversion"/>
  </si>
  <si>
    <t>다산중앙로20번길 7, 5401동 902호 (다산동, 다산e편한세상 더퍼스트)</t>
    <phoneticPr fontId="5" type="noConversion"/>
  </si>
  <si>
    <t>유애정</t>
    <phoneticPr fontId="5" type="noConversion"/>
  </si>
  <si>
    <t>YU, Aejeong</t>
  </si>
  <si>
    <t>710625-2031114</t>
    <phoneticPr fontId="5" type="noConversion"/>
  </si>
  <si>
    <t>010-3384-0528</t>
    <phoneticPr fontId="5" type="noConversion"/>
  </si>
  <si>
    <t>성암여자정보산업고등학교</t>
    <phoneticPr fontId="5" type="noConversion"/>
  </si>
  <si>
    <t>210-085626-01-016</t>
    <phoneticPr fontId="5" type="noConversion"/>
  </si>
  <si>
    <t>aj.yu@tbell.co.k</t>
    <phoneticPr fontId="5" type="noConversion"/>
  </si>
  <si>
    <t>은형터널로 60, 103동 1103호(수색동, DMC진흥)</t>
    <phoneticPr fontId="5" type="noConversion"/>
  </si>
  <si>
    <t>박성호</t>
    <phoneticPr fontId="5" type="noConversion"/>
  </si>
  <si>
    <t>PARK, Seongho</t>
  </si>
  <si>
    <t>860119-1042317</t>
    <phoneticPr fontId="5" type="noConversion"/>
  </si>
  <si>
    <t>010-4691-3252</t>
    <phoneticPr fontId="5" type="noConversion"/>
  </si>
  <si>
    <t>14년 11개월</t>
    <phoneticPr fontId="5" type="noConversion"/>
  </si>
  <si>
    <t>컴퓨터정보통신공학과</t>
    <phoneticPr fontId="5" type="noConversion"/>
  </si>
  <si>
    <t>하나은행</t>
    <phoneticPr fontId="5" type="noConversion"/>
  </si>
  <si>
    <t>203-890901-11407</t>
    <phoneticPr fontId="5" type="noConversion"/>
  </si>
  <si>
    <t>sh.park2@tbell.co.kr</t>
    <phoneticPr fontId="5" type="noConversion"/>
  </si>
  <si>
    <t>중산로 5길 11-20, 3층 301호(증산동)</t>
    <phoneticPr fontId="5" type="noConversion"/>
  </si>
  <si>
    <t>박명숙</t>
    <phoneticPr fontId="5" type="noConversion"/>
  </si>
  <si>
    <t>PARK, MyungSuk</t>
  </si>
  <si>
    <t>771203-2006118</t>
    <phoneticPr fontId="5" type="noConversion"/>
  </si>
  <si>
    <t>010-9317-8396</t>
    <phoneticPr fontId="5" type="noConversion"/>
  </si>
  <si>
    <t>6년 4개월</t>
    <phoneticPr fontId="5" type="noConversion"/>
  </si>
  <si>
    <t>서울정화상업고등학교</t>
    <phoneticPr fontId="5" type="noConversion"/>
  </si>
  <si>
    <t>011201-04-156029</t>
    <phoneticPr fontId="5" type="noConversion"/>
  </si>
  <si>
    <t>ms.park@tbell.co.kr</t>
    <phoneticPr fontId="5" type="noConversion"/>
  </si>
  <si>
    <t>화도읍</t>
    <phoneticPr fontId="5" type="noConversion"/>
  </si>
  <si>
    <t>경춘로 2102-16, 103동 1606호 (마석그랜드힐아파트)</t>
    <phoneticPr fontId="5" type="noConversion"/>
  </si>
  <si>
    <t>윤제진</t>
  </si>
  <si>
    <t>Yoon, Jae Jin</t>
  </si>
  <si>
    <t>750126-1075327</t>
  </si>
  <si>
    <t>750126</t>
  </si>
  <si>
    <t>01</t>
  </si>
  <si>
    <t>010-4344-1439</t>
  </si>
  <si>
    <t>13년3개월</t>
  </si>
  <si>
    <t>13년 3개월</t>
    <phoneticPr fontId="5" type="noConversion"/>
  </si>
  <si>
    <t>0년2개월</t>
  </si>
  <si>
    <t>한성대학교</t>
  </si>
  <si>
    <t>정보시스템공학</t>
  </si>
  <si>
    <t>MCP</t>
  </si>
  <si>
    <t>MicroSoft</t>
  </si>
  <si>
    <t>케이뱅크</t>
  </si>
  <si>
    <t>100-208-351493</t>
  </si>
  <si>
    <t>처</t>
  </si>
  <si>
    <t>010-7721-5349</t>
  </si>
  <si>
    <t>jj.yoon@tbell.co.kr</t>
  </si>
  <si>
    <t>고양시</t>
  </si>
  <si>
    <t>고양대로 1384번길 60 어울림마을 대명5단지 아파트 502동 403호</t>
  </si>
  <si>
    <t>경기도 고양시 덕양구 고양대로 1384번길 60 어울림마을 대명5단지 아파트 502동 403호</t>
  </si>
  <si>
    <t>오순종</t>
    <phoneticPr fontId="5" type="noConversion"/>
  </si>
  <si>
    <t>OH, SoonJong</t>
  </si>
  <si>
    <t>721221-2622314</t>
  </si>
  <si>
    <t>010-6562-0314</t>
    <phoneticPr fontId="5" type="noConversion"/>
  </si>
  <si>
    <t>송원대학교</t>
  </si>
  <si>
    <t>세무회계과</t>
  </si>
  <si>
    <t>우리은행</t>
  </si>
  <si>
    <t>352-262100-02-001</t>
  </si>
  <si>
    <t>sj.oh@tbell.co.kr</t>
  </si>
  <si>
    <t>영등포구</t>
  </si>
  <si>
    <t>당산로 95, 101동 1503호 (당산동2가, 현대아파트)</t>
  </si>
  <si>
    <t>서남권</t>
  </si>
  <si>
    <t>서울특별시 영등포구 당산로 95, 101동 1503호 (당산동2가, 현대아파트)</t>
  </si>
  <si>
    <t>손희정</t>
    <phoneticPr fontId="5" type="noConversion"/>
  </si>
  <si>
    <t>SON, HeeJung</t>
  </si>
  <si>
    <t>691010-2000210</t>
    <phoneticPr fontId="5" type="noConversion"/>
  </si>
  <si>
    <t>010-2408-3160</t>
    <phoneticPr fontId="5" type="noConversion"/>
  </si>
  <si>
    <t>35년 1개월</t>
    <phoneticPr fontId="5" type="noConversion"/>
  </si>
  <si>
    <t>방송통신대학교</t>
    <phoneticPr fontId="5" type="noConversion"/>
  </si>
  <si>
    <t>문화교양</t>
    <phoneticPr fontId="5" type="noConversion"/>
  </si>
  <si>
    <t>045-121314-02-013</t>
    <phoneticPr fontId="5" type="noConversion"/>
  </si>
  <si>
    <t>hj.son@tbell.co.kr</t>
    <phoneticPr fontId="5" type="noConversion"/>
  </si>
  <si>
    <t xml:space="preserve"> </t>
    <phoneticPr fontId="5" type="noConversion"/>
  </si>
  <si>
    <t>.</t>
    <phoneticPr fontId="5" type="noConversion"/>
  </si>
  <si>
    <r>
      <t>일본전자전문학교 (日本電子</t>
    </r>
    <r>
      <rPr>
        <sz val="10"/>
        <color rgb="FF000000"/>
        <rFont val="Yu Gothic"/>
        <family val="3"/>
        <charset val="128"/>
      </rPr>
      <t>専</t>
    </r>
    <r>
      <rPr>
        <sz val="10"/>
        <color rgb="FF000000"/>
        <rFont val="나눔고딕"/>
        <charset val="129"/>
      </rPr>
      <t>門</t>
    </r>
    <r>
      <rPr>
        <sz val="10"/>
        <color rgb="FF000000"/>
        <rFont val="Yu Gothic"/>
        <family val="3"/>
        <charset val="128"/>
      </rPr>
      <t>学</t>
    </r>
    <r>
      <rPr>
        <sz val="10"/>
        <color rgb="FF000000"/>
        <rFont val="나눔고딕"/>
        <charset val="129"/>
      </rPr>
      <t>校)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</si>
</sst>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_(* #,##0_);_(* \(#,##0\);_(* &quot;-&quot;_);_(@_)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2" tint="-0.249977111117893"/>
      <name val="나눔고딕"/>
      <charset val="129"/>
    </font>
    <font>
      <b/>
      <sz val="10"/>
      <color theme="1"/>
      <name val="나눔고딕"/>
      <charset val="129"/>
    </font>
    <font>
      <sz val="10"/>
      <color theme="1"/>
      <name val="나눔고딕"/>
      <charset val="129"/>
    </font>
    <font>
      <sz val="10"/>
      <color rgb="FF000000"/>
      <name val="나눔고딕"/>
      <charset val="129"/>
    </font>
    <font>
      <u/>
      <sz val="10"/>
      <color theme="10"/>
      <name val="나눔고딕"/>
      <charset val="129"/>
    </font>
    <font>
      <sz val="10"/>
      <color rgb="FF000000"/>
      <name val="Yu Gothic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rgb="FF0F243E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/>
    <xf numFmtId="177" fontId="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49" fontId="14" fillId="0" borderId="0" xfId="2" applyNumberFormat="1" applyFont="1" applyAlignment="1">
      <alignment horizontal="center" vertical="center" wrapText="1"/>
    </xf>
    <xf numFmtId="49" fontId="14" fillId="0" borderId="0" xfId="2" applyNumberFormat="1" applyFont="1" applyAlignment="1">
      <alignment horizontal="center" vertical="center" shrinkToFit="1"/>
    </xf>
    <xf numFmtId="0" fontId="15" fillId="2" borderId="1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76" fontId="15" fillId="2" borderId="1" xfId="2" applyNumberFormat="1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wrapText="1" shrinkToFit="1"/>
    </xf>
    <xf numFmtId="14" fontId="15" fillId="2" borderId="1" xfId="2" applyNumberFormat="1" applyFont="1" applyFill="1" applyBorder="1" applyAlignment="1">
      <alignment horizontal="center" vertical="center" wrapText="1"/>
    </xf>
    <xf numFmtId="0" fontId="15" fillId="2" borderId="1" xfId="2" applyFont="1" applyFill="1" applyBorder="1" applyAlignment="1">
      <alignment horizontal="center" vertical="center" shrinkToFit="1"/>
    </xf>
    <xf numFmtId="14" fontId="15" fillId="2" borderId="1" xfId="2" applyNumberFormat="1" applyFont="1" applyFill="1" applyBorder="1" applyAlignment="1">
      <alignment horizontal="center" vertical="center" shrinkToFit="1"/>
    </xf>
    <xf numFmtId="0" fontId="15" fillId="3" borderId="1" xfId="2" applyFont="1" applyFill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center" wrapText="1"/>
    </xf>
    <xf numFmtId="176" fontId="17" fillId="0" borderId="2" xfId="2" applyNumberFormat="1" applyFont="1" applyBorder="1" applyAlignment="1">
      <alignment horizontal="center" vertical="center" wrapText="1"/>
    </xf>
    <xf numFmtId="176" fontId="16" fillId="3" borderId="2" xfId="2" applyNumberFormat="1" applyFont="1" applyFill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center" wrapText="1" shrinkToFit="1"/>
    </xf>
    <xf numFmtId="0" fontId="16" fillId="0" borderId="1" xfId="2" applyFont="1" applyBorder="1" applyAlignment="1">
      <alignment horizontal="center" vertical="center" wrapText="1"/>
    </xf>
    <xf numFmtId="14" fontId="16" fillId="0" borderId="2" xfId="2" applyNumberFormat="1" applyFont="1" applyBorder="1" applyAlignment="1">
      <alignment horizontal="center" vertical="center" wrapText="1"/>
    </xf>
    <xf numFmtId="0" fontId="17" fillId="0" borderId="2" xfId="2" applyFont="1" applyBorder="1" applyAlignment="1">
      <alignment horizontal="center" vertical="center" shrinkToFit="1"/>
    </xf>
    <xf numFmtId="0" fontId="17" fillId="0" borderId="1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center" shrinkToFit="1"/>
    </xf>
    <xf numFmtId="0" fontId="16" fillId="0" borderId="2" xfId="2" applyFont="1" applyBorder="1" applyAlignment="1">
      <alignment horizontal="center" vertical="top" wrapText="1" shrinkToFit="1"/>
    </xf>
    <xf numFmtId="0" fontId="17" fillId="0" borderId="2" xfId="2" applyFont="1" applyBorder="1" applyAlignment="1">
      <alignment horizontal="center" vertical="top" wrapText="1" shrinkToFit="1"/>
    </xf>
    <xf numFmtId="0" fontId="17" fillId="0" borderId="1" xfId="2" applyFont="1" applyBorder="1" applyAlignment="1">
      <alignment horizontal="center" vertical="center" wrapText="1" shrinkToFit="1"/>
    </xf>
    <xf numFmtId="0" fontId="16" fillId="0" borderId="1" xfId="2" applyFont="1" applyBorder="1" applyAlignment="1">
      <alignment horizontal="center" vertical="center" wrapText="1" shrinkToFit="1"/>
    </xf>
    <xf numFmtId="0" fontId="17" fillId="0" borderId="2" xfId="2" applyFont="1" applyBorder="1" applyAlignment="1">
      <alignment horizontal="center" vertical="center" wrapText="1" shrinkToFit="1"/>
    </xf>
    <xf numFmtId="0" fontId="17" fillId="0" borderId="1" xfId="2" applyFont="1" applyBorder="1" applyAlignment="1">
      <alignment horizontal="center" vertical="center" shrinkToFit="1"/>
    </xf>
    <xf numFmtId="0" fontId="17" fillId="3" borderId="1" xfId="2" applyFont="1" applyFill="1" applyBorder="1" applyAlignment="1">
      <alignment horizontal="center" vertical="center" wrapText="1" shrinkToFit="1"/>
    </xf>
    <xf numFmtId="0" fontId="16" fillId="3" borderId="2" xfId="2" applyFont="1" applyFill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8" fillId="0" borderId="1" xfId="1" applyFont="1" applyBorder="1" applyAlignment="1">
      <alignment horizontal="center" vertical="center" shrinkToFit="1"/>
    </xf>
    <xf numFmtId="0" fontId="16" fillId="4" borderId="1" xfId="2" applyFont="1" applyFill="1" applyBorder="1" applyAlignment="1">
      <alignment horizontal="center" vertical="center" wrapText="1"/>
    </xf>
    <xf numFmtId="0" fontId="16" fillId="3" borderId="2" xfId="2" applyFont="1" applyFill="1" applyBorder="1" applyAlignment="1">
      <alignment horizontal="center" vertical="center" wrapText="1" shrinkToFit="1"/>
    </xf>
    <xf numFmtId="0" fontId="16" fillId="5" borderId="2" xfId="2" applyFont="1" applyFill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 shrinkToFit="1"/>
    </xf>
    <xf numFmtId="0" fontId="17" fillId="0" borderId="0" xfId="2" applyFont="1" applyAlignment="1">
      <alignment horizontal="center" vertical="center" shrinkToFit="1"/>
    </xf>
    <xf numFmtId="14" fontId="16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0" fontId="17" fillId="0" borderId="0" xfId="2" applyFont="1" applyAlignment="1">
      <alignment horizontal="center" vertical="center" wrapText="1" shrinkToFit="1"/>
    </xf>
    <xf numFmtId="0" fontId="17" fillId="3" borderId="0" xfId="2" applyFont="1" applyFill="1" applyAlignment="1">
      <alignment horizontal="center" vertical="center" wrapText="1" shrinkToFit="1"/>
    </xf>
    <xf numFmtId="0" fontId="16" fillId="0" borderId="3" xfId="2" applyFont="1" applyBorder="1" applyAlignment="1">
      <alignment horizontal="center" vertical="center" wrapText="1" shrinkToFit="1"/>
    </xf>
    <xf numFmtId="0" fontId="16" fillId="0" borderId="3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shrinkToFit="1"/>
    </xf>
    <xf numFmtId="14" fontId="16" fillId="0" borderId="3" xfId="2" applyNumberFormat="1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/>
    </xf>
    <xf numFmtId="0" fontId="17" fillId="0" borderId="3" xfId="2" applyFont="1" applyBorder="1" applyAlignment="1">
      <alignment horizontal="center" vertical="center" wrapText="1" shrinkToFit="1"/>
    </xf>
    <xf numFmtId="0" fontId="17" fillId="3" borderId="3" xfId="2" applyFont="1" applyFill="1" applyBorder="1" applyAlignment="1">
      <alignment horizontal="center" vertical="center" wrapText="1" shrinkToFit="1"/>
    </xf>
    <xf numFmtId="0" fontId="16" fillId="0" borderId="3" xfId="5" applyNumberFormat="1" applyFont="1" applyFill="1" applyBorder="1" applyAlignment="1">
      <alignment horizontal="center" vertical="center"/>
    </xf>
    <xf numFmtId="0" fontId="16" fillId="0" borderId="2" xfId="5" applyNumberFormat="1" applyFont="1" applyFill="1" applyBorder="1" applyAlignment="1">
      <alignment horizontal="center" vertical="center"/>
    </xf>
    <xf numFmtId="0" fontId="16" fillId="0" borderId="2" xfId="5" applyNumberFormat="1" applyFont="1" applyFill="1" applyBorder="1" applyAlignment="1">
      <alignment horizontal="center" vertical="center" shrinkToFit="1"/>
    </xf>
    <xf numFmtId="14" fontId="16" fillId="0" borderId="2" xfId="5" applyNumberFormat="1" applyFont="1" applyFill="1" applyBorder="1" applyAlignment="1">
      <alignment horizontal="center" vertical="center"/>
    </xf>
    <xf numFmtId="0" fontId="16" fillId="0" borderId="1" xfId="5" applyNumberFormat="1" applyFont="1" applyFill="1" applyBorder="1" applyAlignment="1">
      <alignment horizontal="center" vertical="center"/>
    </xf>
    <xf numFmtId="0" fontId="16" fillId="0" borderId="1" xfId="5" applyNumberFormat="1" applyFont="1" applyFill="1" applyBorder="1" applyAlignment="1">
      <alignment horizontal="center" vertical="center" shrinkToFit="1"/>
    </xf>
    <xf numFmtId="0" fontId="16" fillId="0" borderId="3" xfId="5" applyNumberFormat="1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 shrinkToFi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49" fontId="16" fillId="0" borderId="0" xfId="2" applyNumberFormat="1" applyFont="1" applyAlignment="1">
      <alignment horizontal="center" vertical="center"/>
    </xf>
    <xf numFmtId="14" fontId="16" fillId="0" borderId="0" xfId="2" applyNumberFormat="1" applyFont="1" applyAlignment="1">
      <alignment horizontal="center" vertical="center"/>
    </xf>
    <xf numFmtId="177" fontId="16" fillId="0" borderId="0" xfId="4" applyFont="1" applyBorder="1" applyAlignment="1">
      <alignment horizontal="center" vertical="center"/>
    </xf>
  </cellXfs>
  <cellStyles count="7">
    <cellStyle name="쉼표 [0] 2" xfId="6" xr:uid="{9EF423F4-B76C-41BC-A6E5-F2D7DA194C6D}"/>
    <cellStyle name="쉼표 [0] 2 2 2" xfId="3" xr:uid="{3C45B731-EA81-437E-B7C3-31BDA380A342}"/>
    <cellStyle name="쉼표 [0] 2 3" xfId="4" xr:uid="{F7F6CC1A-910F-4A3C-A9C7-E5E189E967D7}"/>
    <cellStyle name="쉼표 [0] 3" xfId="5" xr:uid="{A56EB389-636C-4ACB-BB20-B412B0AF9DE7}"/>
    <cellStyle name="표준" xfId="0" builtinId="0"/>
    <cellStyle name="표준 2 3" xfId="2" xr:uid="{881EA213-668F-4FC5-8E37-6DE3F491007A}"/>
    <cellStyle name="하이퍼링크" xfId="1" builtinId="8"/>
  </cellStyles>
  <dxfs count="260">
    <dxf>
      <font>
        <color rgb="FF9C0006"/>
      </font>
    </dxf>
    <dxf>
      <fill>
        <patternFill>
          <bgColor theme="0" tint="-0.1499679555650502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95B3D7"/>
          <bgColor rgb="FF95B3D7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>
          <bgColor theme="0" tint="-0.1499679555650502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rgb="FF244061"/>
          <bgColor rgb="FF24406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 patternType="solid">
          <fgColor rgb="FFDBE5F1"/>
          <bgColor rgb="FFDBE5F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rgb="FF95B3D7"/>
          <bgColor rgb="FF95B3D7"/>
        </patternFill>
      </fill>
    </dxf>
    <dxf>
      <font>
        <color theme="2"/>
      </font>
      <fill>
        <patternFill patternType="solid">
          <fgColor rgb="FF244061"/>
          <bgColor rgb="FF24406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&#9733;%20&#51076;&#51649;&#50896;DB_&#52572;&#51333;&#48376;.xlsx" TargetMode="External"/><Relationship Id="rId1" Type="http://schemas.openxmlformats.org/officeDocument/2006/relationships/externalLinkPath" Target="&#9733;%20&#51076;&#51649;&#50896;DB_&#52572;&#51333;&#483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bellhr-my.sharepoint.com/Users/&#51060;&#51452;&#55148;/Desktop/&#51088;&#47928;&#49324;/&#45796;&#45208;&#46972;&#51032;&#50896;,&#54620;&#51032;&#50896;/&#45796;&#45208;&#46972;&#51032;&#50896;(&#51060;&#51116;&#54984;%20&#51064;&#49688;&#51064;&#44228;)/2.%20&#44540;&#47196;&#44228;&#50557;&#49436;/1.%20&#45796;&#45208;&#46972;%20&#44540;&#47196;&#44228;&#50557;&#49436;%20&#48143;%20&#50672;&#48393;&#44228;&#50557;&#49436;_2022.05.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2"/>
      <sheetName val="경력년차"/>
      <sheetName val="25.06 구성원 현황"/>
      <sheetName val="25.06 인사기본정보"/>
      <sheetName val="시간외시간 기준표"/>
      <sheetName val="인사기본정보 (안전보건공단,김준하)"/>
      <sheetName val="노미숙사원 연봉"/>
      <sheetName val="Sheet1"/>
      <sheetName val="인사기본정보"/>
      <sheetName val="퇴사정보(25)"/>
      <sheetName val="퇴사정보(24-보수)"/>
      <sheetName val="퇴사정보(24)"/>
      <sheetName val="퇴사정보(23)"/>
      <sheetName val="퇴사정보(23-보수)"/>
      <sheetName val="퇴사정보(22)"/>
      <sheetName val="프로젝트현황"/>
      <sheetName val="프로젝트현황_구버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Y3" t="str">
            <v>은평구</v>
          </cell>
          <cell r="Z3" t="str">
            <v>서북권</v>
          </cell>
        </row>
        <row r="4">
          <cell r="Y4" t="str">
            <v>서대문구</v>
          </cell>
          <cell r="Z4" t="str">
            <v>서북권</v>
          </cell>
        </row>
        <row r="5">
          <cell r="Y5" t="str">
            <v>마포구</v>
          </cell>
          <cell r="Z5" t="str">
            <v>서북권</v>
          </cell>
        </row>
        <row r="6">
          <cell r="Y6" t="str">
            <v>종로구</v>
          </cell>
          <cell r="Z6" t="str">
            <v>서북권</v>
          </cell>
        </row>
        <row r="7">
          <cell r="Y7" t="str">
            <v>중구</v>
          </cell>
          <cell r="Z7" t="str">
            <v>서북권</v>
          </cell>
        </row>
        <row r="8">
          <cell r="Y8" t="str">
            <v>용산구</v>
          </cell>
          <cell r="Z8" t="str">
            <v>서북권</v>
          </cell>
        </row>
        <row r="9">
          <cell r="Y9" t="str">
            <v>도봉구</v>
          </cell>
          <cell r="Z9" t="str">
            <v>동북권</v>
          </cell>
        </row>
        <row r="10">
          <cell r="Y10" t="str">
            <v>노원구</v>
          </cell>
          <cell r="Z10" t="str">
            <v>동북권</v>
          </cell>
        </row>
        <row r="11">
          <cell r="Y11" t="str">
            <v>강북구</v>
          </cell>
          <cell r="Z11" t="str">
            <v>동북권</v>
          </cell>
        </row>
        <row r="12">
          <cell r="Y12" t="str">
            <v>성북구</v>
          </cell>
          <cell r="Z12" t="str">
            <v>동북권</v>
          </cell>
        </row>
        <row r="13">
          <cell r="Y13" t="str">
            <v>동대문구</v>
          </cell>
          <cell r="Z13" t="str">
            <v>동북권</v>
          </cell>
        </row>
        <row r="14">
          <cell r="Y14" t="str">
            <v>중랑구</v>
          </cell>
          <cell r="Z14" t="str">
            <v>동북권</v>
          </cell>
        </row>
        <row r="15">
          <cell r="Y15" t="str">
            <v>성동구</v>
          </cell>
          <cell r="Z15" t="str">
            <v>동북권</v>
          </cell>
        </row>
        <row r="16">
          <cell r="Y16" t="str">
            <v>광진구</v>
          </cell>
          <cell r="Z16" t="str">
            <v>동북권</v>
          </cell>
        </row>
        <row r="17">
          <cell r="Y17" t="str">
            <v>강서구</v>
          </cell>
          <cell r="Z17" t="str">
            <v>서남권</v>
          </cell>
        </row>
        <row r="18">
          <cell r="Y18" t="str">
            <v>양천구</v>
          </cell>
          <cell r="Z18" t="str">
            <v>서남권</v>
          </cell>
        </row>
        <row r="19">
          <cell r="Y19" t="str">
            <v>구로구</v>
          </cell>
          <cell r="Z19" t="str">
            <v>서남권</v>
          </cell>
        </row>
        <row r="20">
          <cell r="Y20" t="str">
            <v>영등포구</v>
          </cell>
          <cell r="Z20" t="str">
            <v>서남권</v>
          </cell>
        </row>
        <row r="21">
          <cell r="Y21" t="str">
            <v>동작구</v>
          </cell>
          <cell r="Z21" t="str">
            <v>서남권</v>
          </cell>
        </row>
        <row r="22">
          <cell r="Y22" t="str">
            <v>금천구</v>
          </cell>
          <cell r="Z22" t="str">
            <v>서남권</v>
          </cell>
        </row>
        <row r="23">
          <cell r="Y23" t="str">
            <v>관악구</v>
          </cell>
          <cell r="Z23" t="str">
            <v>서남권</v>
          </cell>
        </row>
        <row r="24">
          <cell r="Y24" t="str">
            <v>서초구</v>
          </cell>
          <cell r="Z24" t="str">
            <v>동남권</v>
          </cell>
        </row>
        <row r="25">
          <cell r="Y25" t="str">
            <v>강남구</v>
          </cell>
          <cell r="Z25" t="str">
            <v>동남권</v>
          </cell>
        </row>
        <row r="26">
          <cell r="Y26" t="str">
            <v>송파구</v>
          </cell>
          <cell r="Z26" t="str">
            <v>동남권</v>
          </cell>
        </row>
        <row r="27">
          <cell r="Y27" t="str">
            <v>강동구</v>
          </cell>
          <cell r="Z27" t="str">
            <v>동남권</v>
          </cell>
        </row>
        <row r="28">
          <cell r="Y28" t="str">
            <v>성남시</v>
          </cell>
          <cell r="Z28" t="str">
            <v>동남권</v>
          </cell>
        </row>
        <row r="29">
          <cell r="Y29" t="str">
            <v>고양시</v>
          </cell>
          <cell r="Z29" t="str">
            <v>서북권</v>
          </cell>
        </row>
        <row r="30">
          <cell r="Y30" t="str">
            <v>안산시</v>
          </cell>
          <cell r="Z30" t="str">
            <v>서남권</v>
          </cell>
        </row>
        <row r="31">
          <cell r="Y31" t="str">
            <v>수원시</v>
          </cell>
          <cell r="Z31" t="str">
            <v>동남권</v>
          </cell>
        </row>
        <row r="32">
          <cell r="Y32" t="str">
            <v>안양시</v>
          </cell>
          <cell r="Z32" t="str">
            <v>서남권</v>
          </cell>
        </row>
        <row r="33">
          <cell r="Y33" t="str">
            <v>군포시</v>
          </cell>
          <cell r="Z33" t="str">
            <v>서남권</v>
          </cell>
        </row>
        <row r="34">
          <cell r="Y34" t="str">
            <v>파주시</v>
          </cell>
          <cell r="Z34" t="str">
            <v>서북권</v>
          </cell>
        </row>
        <row r="38">
          <cell r="Y38" t="str">
            <v>광주시</v>
          </cell>
          <cell r="Z38" t="str">
            <v>동남권</v>
          </cell>
        </row>
        <row r="39">
          <cell r="Y39" t="str">
            <v>하남시</v>
          </cell>
          <cell r="Z39" t="str">
            <v>동남권</v>
          </cell>
        </row>
        <row r="143">
          <cell r="Y143" t="str">
            <v>시흥시</v>
          </cell>
          <cell r="Z143" t="str">
            <v>서남권</v>
          </cell>
        </row>
        <row r="144">
          <cell r="Y144" t="str">
            <v>오산시</v>
          </cell>
          <cell r="Z144" t="str">
            <v>동남권</v>
          </cell>
        </row>
        <row r="145">
          <cell r="Y145" t="str">
            <v>부평구</v>
          </cell>
          <cell r="Z145" t="str">
            <v>서남권</v>
          </cell>
        </row>
        <row r="146">
          <cell r="Y146" t="str">
            <v>용인시</v>
          </cell>
          <cell r="Z146" t="str">
            <v>동남권</v>
          </cell>
        </row>
        <row r="147">
          <cell r="Y147" t="str">
            <v>남동구</v>
          </cell>
          <cell r="Z147" t="str">
            <v>서남권</v>
          </cell>
        </row>
        <row r="148">
          <cell r="Y148" t="str">
            <v>화성시</v>
          </cell>
          <cell r="Z148" t="str">
            <v>서남권</v>
          </cell>
        </row>
        <row r="149">
          <cell r="Y149" t="str">
            <v>남양주시</v>
          </cell>
          <cell r="Z149" t="str">
            <v>동북권</v>
          </cell>
        </row>
        <row r="168">
          <cell r="Y168" t="str">
            <v>의왕시</v>
          </cell>
          <cell r="Z168" t="str">
            <v>서남권</v>
          </cell>
        </row>
        <row r="169">
          <cell r="Y169" t="str">
            <v>의왕시</v>
          </cell>
          <cell r="Z169" t="str">
            <v>서남권</v>
          </cell>
        </row>
        <row r="170">
          <cell r="Y170" t="str">
            <v>김포시</v>
          </cell>
          <cell r="Z170" t="str">
            <v>서남권</v>
          </cell>
        </row>
        <row r="171">
          <cell r="Y171" t="str">
            <v>이천시</v>
          </cell>
          <cell r="Z171" t="str">
            <v>동남권</v>
          </cell>
        </row>
        <row r="174">
          <cell r="Y174" t="str">
            <v>천안시</v>
          </cell>
          <cell r="Z174" t="str">
            <v>서남권</v>
          </cell>
        </row>
        <row r="175">
          <cell r="Y175" t="str">
            <v>광명시</v>
          </cell>
          <cell r="Z175" t="str">
            <v>서남권</v>
          </cell>
        </row>
        <row r="176">
          <cell r="Y176" t="str">
            <v>연수구</v>
          </cell>
          <cell r="Z176" t="str">
            <v>서남권</v>
          </cell>
        </row>
        <row r="178">
          <cell r="Y178" t="str">
            <v>양주시</v>
          </cell>
          <cell r="Z178" t="str">
            <v>동북권</v>
          </cell>
        </row>
        <row r="179">
          <cell r="Y179" t="str">
            <v>서구</v>
          </cell>
          <cell r="Z179" t="str">
            <v>서남권</v>
          </cell>
        </row>
        <row r="180">
          <cell r="Y180" t="str">
            <v>부천시</v>
          </cell>
          <cell r="Z180" t="str">
            <v>서남권</v>
          </cell>
        </row>
        <row r="181">
          <cell r="Y181" t="str">
            <v>의정부시</v>
          </cell>
          <cell r="Z181" t="str">
            <v>동북권</v>
          </cell>
        </row>
        <row r="182">
          <cell r="Y182" t="str">
            <v>계양구</v>
          </cell>
          <cell r="Z182" t="str">
            <v>서남권</v>
          </cell>
        </row>
        <row r="183">
          <cell r="Y183" t="str">
            <v>평택시</v>
          </cell>
          <cell r="Z183" t="str">
            <v>서남권</v>
          </cell>
        </row>
      </sheetData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근무시간 분석"/>
      <sheetName val="1-1. 개인별 급여분석"/>
      <sheetName val="1-2. 실수령예상"/>
      <sheetName val="1-3. 간이세액표"/>
      <sheetName val="2-1. 월~토 김소명,이혜원(연차비포괄)"/>
      <sheetName val="2-2. 월~토 조희숙(연차포괄)"/>
      <sheetName val="2-3. 월~토 스케줄 - 간호직 기본양식(연차포괄)"/>
      <sheetName val="2-4. 월~토 스케줄 - 최재하"/>
      <sheetName val="2-5. 월~토 스케줄 도수치료(연차비포괄)"/>
      <sheetName val="2-5''. 류경덕,안하늘,손필훈근로계약서(퇴직금 조정)"/>
      <sheetName val="2-10. 근로계약서-식당(전애자, 주급)"/>
      <sheetName val="2-7. 근로계약서 - 검사실, 영업직,데스크"/>
      <sheetName val="2-7. 근로계약서 - 서혜원(정상계약서)"/>
      <sheetName val="2-7. 근로계약서 - 서혜원(세금신고용)"/>
      <sheetName val="2-8. 근로계약서 - 청소(월~토)"/>
      <sheetName val="2-8. 근로계약서 - 청소(월~금)"/>
      <sheetName val="2-9. 근로계약서 - 야간당직"/>
      <sheetName val="2-10. 근로계약서 -야간당직"/>
      <sheetName val="3-1. 연봉계약서 (야간 당직)"/>
      <sheetName val="3-3. 연봉계약서 (안재신)"/>
    </sheetNames>
    <sheetDataSet>
      <sheetData sheetId="0"/>
      <sheetData sheetId="1">
        <row r="5">
          <cell r="B5" t="str">
            <v>김늘</v>
          </cell>
          <cell r="C5" t="str">
            <v>89.09.22</v>
          </cell>
          <cell r="D5">
            <v>44348</v>
          </cell>
          <cell r="E5" t="str">
            <v>한의원부원장</v>
          </cell>
          <cell r="F5">
            <v>209</v>
          </cell>
          <cell r="G5">
            <v>78</v>
          </cell>
          <cell r="H5">
            <v>52</v>
          </cell>
          <cell r="I5">
            <v>18</v>
          </cell>
          <cell r="J5">
            <v>305</v>
          </cell>
          <cell r="K5">
            <v>73505400</v>
          </cell>
          <cell r="L5">
            <v>6125450</v>
          </cell>
          <cell r="M5">
            <v>20083.442622950821</v>
          </cell>
          <cell r="N5">
            <v>4097439.5081967218</v>
          </cell>
          <cell r="O5">
            <v>100000</v>
          </cell>
          <cell r="P5">
            <v>1566509</v>
          </cell>
          <cell r="Q5">
            <v>361501</v>
          </cell>
          <cell r="R5">
            <v>6125449.5081967218</v>
          </cell>
        </row>
        <row r="6">
          <cell r="B6" t="str">
            <v>이혜원</v>
          </cell>
          <cell r="C6" t="str">
            <v>83.07.14</v>
          </cell>
          <cell r="D6">
            <v>42948</v>
          </cell>
          <cell r="E6" t="str">
            <v>간호직</v>
          </cell>
          <cell r="F6">
            <v>209</v>
          </cell>
          <cell r="G6">
            <v>33</v>
          </cell>
          <cell r="H6">
            <v>22</v>
          </cell>
          <cell r="I6">
            <v>0</v>
          </cell>
          <cell r="J6">
            <v>242</v>
          </cell>
          <cell r="K6">
            <v>42086760</v>
          </cell>
          <cell r="L6">
            <v>3507230</v>
          </cell>
          <cell r="M6">
            <v>14492.685950413223</v>
          </cell>
          <cell r="N6">
            <v>2928971.3636363633</v>
          </cell>
          <cell r="O6">
            <v>100000</v>
          </cell>
          <cell r="P6">
            <v>478258.63636363635</v>
          </cell>
          <cell r="Q6">
            <v>0</v>
          </cell>
          <cell r="R6">
            <v>3507229.9999999995</v>
          </cell>
        </row>
        <row r="7">
          <cell r="B7" t="str">
            <v>조희숙</v>
          </cell>
          <cell r="C7" t="str">
            <v>74.09.01</v>
          </cell>
          <cell r="D7">
            <v>43950</v>
          </cell>
          <cell r="E7" t="str">
            <v>간호직</v>
          </cell>
          <cell r="F7">
            <v>209</v>
          </cell>
          <cell r="G7">
            <v>33</v>
          </cell>
          <cell r="H7">
            <v>22</v>
          </cell>
          <cell r="I7">
            <v>8</v>
          </cell>
          <cell r="J7">
            <v>250</v>
          </cell>
          <cell r="K7">
            <v>44342880</v>
          </cell>
          <cell r="L7">
            <v>3695240</v>
          </cell>
          <cell r="M7">
            <v>14780.96</v>
          </cell>
          <cell r="N7">
            <v>2989221</v>
          </cell>
          <cell r="O7">
            <v>100000</v>
          </cell>
          <cell r="P7">
            <v>487771</v>
          </cell>
          <cell r="Q7">
            <v>118247.67999999999</v>
          </cell>
          <cell r="R7">
            <v>3695239.68</v>
          </cell>
        </row>
        <row r="8">
          <cell r="B8" t="str">
            <v>서윤옥</v>
          </cell>
          <cell r="C8" t="str">
            <v>77.09.02</v>
          </cell>
          <cell r="D8">
            <v>43586</v>
          </cell>
          <cell r="E8" t="str">
            <v>간호직</v>
          </cell>
          <cell r="F8">
            <v>209</v>
          </cell>
          <cell r="G8">
            <v>26</v>
          </cell>
          <cell r="H8">
            <v>17</v>
          </cell>
          <cell r="I8">
            <v>8</v>
          </cell>
          <cell r="J8">
            <v>243</v>
          </cell>
          <cell r="K8">
            <v>31098960</v>
          </cell>
          <cell r="L8">
            <v>2591580</v>
          </cell>
          <cell r="M8">
            <v>10664.938271604939</v>
          </cell>
          <cell r="N8">
            <v>2228972.0987654324</v>
          </cell>
          <cell r="P8">
            <v>277288.39506172843</v>
          </cell>
          <cell r="Q8">
            <v>85319.506172839509</v>
          </cell>
          <cell r="R8">
            <v>2591580.0000000005</v>
          </cell>
        </row>
        <row r="9">
          <cell r="B9" t="str">
            <v>인현숙</v>
          </cell>
          <cell r="C9" t="str">
            <v>71.05.08</v>
          </cell>
          <cell r="D9">
            <v>44060</v>
          </cell>
          <cell r="E9" t="str">
            <v>간호직</v>
          </cell>
          <cell r="F9">
            <v>209</v>
          </cell>
          <cell r="G9">
            <v>9.776250000000001</v>
          </cell>
          <cell r="H9">
            <v>7</v>
          </cell>
          <cell r="I9">
            <v>8</v>
          </cell>
          <cell r="J9">
            <v>226.77625</v>
          </cell>
          <cell r="K9">
            <v>26800320</v>
          </cell>
          <cell r="L9">
            <v>2233360</v>
          </cell>
          <cell r="M9">
            <v>9848.29760612057</v>
          </cell>
          <cell r="N9">
            <v>2058294</v>
          </cell>
          <cell r="P9">
            <v>96280</v>
          </cell>
          <cell r="Q9">
            <v>78786.38084896456</v>
          </cell>
          <cell r="R9">
            <v>2233360.3808489647</v>
          </cell>
        </row>
        <row r="10">
          <cell r="B10" t="str">
            <v>김진아</v>
          </cell>
          <cell r="C10" t="str">
            <v>72.11.17</v>
          </cell>
          <cell r="D10">
            <v>44075</v>
          </cell>
          <cell r="E10" t="str">
            <v>간호직</v>
          </cell>
          <cell r="F10">
            <v>209</v>
          </cell>
          <cell r="G10">
            <v>9.776250000000001</v>
          </cell>
          <cell r="H10">
            <v>7</v>
          </cell>
          <cell r="I10">
            <v>8</v>
          </cell>
          <cell r="J10">
            <v>226.77625</v>
          </cell>
          <cell r="K10">
            <v>26800320</v>
          </cell>
          <cell r="L10">
            <v>2233360</v>
          </cell>
          <cell r="M10">
            <v>9848.29760612057</v>
          </cell>
          <cell r="N10">
            <v>2058294</v>
          </cell>
          <cell r="P10">
            <v>96280</v>
          </cell>
          <cell r="Q10">
            <v>78786.38084896456</v>
          </cell>
          <cell r="R10">
            <v>2233360.3808489647</v>
          </cell>
        </row>
        <row r="11">
          <cell r="B11" t="str">
            <v>국정하</v>
          </cell>
          <cell r="C11" t="str">
            <v>73.12.25</v>
          </cell>
          <cell r="D11">
            <v>44075</v>
          </cell>
          <cell r="E11" t="str">
            <v>간호직</v>
          </cell>
          <cell r="F11">
            <v>209</v>
          </cell>
          <cell r="G11">
            <v>9.776250000000001</v>
          </cell>
          <cell r="H11">
            <v>7</v>
          </cell>
          <cell r="I11">
            <v>8</v>
          </cell>
          <cell r="J11">
            <v>226.77625</v>
          </cell>
          <cell r="K11">
            <v>26800320</v>
          </cell>
          <cell r="L11">
            <v>2233360</v>
          </cell>
          <cell r="M11">
            <v>9848.29760612057</v>
          </cell>
          <cell r="N11">
            <v>2058294</v>
          </cell>
          <cell r="P11">
            <v>96280</v>
          </cell>
          <cell r="Q11">
            <v>78786.38084896456</v>
          </cell>
          <cell r="R11">
            <v>2233360.3808489647</v>
          </cell>
        </row>
        <row r="12">
          <cell r="B12" t="str">
            <v>류경덕</v>
          </cell>
          <cell r="C12" t="str">
            <v>89.12.21</v>
          </cell>
          <cell r="D12">
            <v>43957</v>
          </cell>
          <cell r="E12" t="str">
            <v>물리치료실</v>
          </cell>
          <cell r="F12">
            <v>209</v>
          </cell>
          <cell r="G12">
            <v>78</v>
          </cell>
          <cell r="H12">
            <v>52</v>
          </cell>
          <cell r="I12">
            <v>0</v>
          </cell>
          <cell r="J12">
            <v>287</v>
          </cell>
          <cell r="K12">
            <v>45912120</v>
          </cell>
          <cell r="L12">
            <v>3826010</v>
          </cell>
          <cell r="M12">
            <v>13331.045296167247</v>
          </cell>
          <cell r="N12">
            <v>2686188.4668989545</v>
          </cell>
          <cell r="O12">
            <v>100000</v>
          </cell>
          <cell r="P12">
            <v>1039821.5331010453</v>
          </cell>
          <cell r="Q12">
            <v>0</v>
          </cell>
          <cell r="R12">
            <v>3826010</v>
          </cell>
        </row>
        <row r="13">
          <cell r="B13" t="str">
            <v>안하늘</v>
          </cell>
          <cell r="C13" t="str">
            <v>91.07.04</v>
          </cell>
          <cell r="D13">
            <v>43957</v>
          </cell>
          <cell r="E13" t="str">
            <v>물리치료실</v>
          </cell>
          <cell r="F13">
            <v>209</v>
          </cell>
          <cell r="G13">
            <v>78</v>
          </cell>
          <cell r="H13">
            <v>52</v>
          </cell>
          <cell r="I13">
            <v>0</v>
          </cell>
          <cell r="J13">
            <v>287</v>
          </cell>
          <cell r="K13">
            <v>41239920</v>
          </cell>
          <cell r="L13">
            <v>3436660</v>
          </cell>
          <cell r="M13">
            <v>11974.425087108013</v>
          </cell>
          <cell r="N13">
            <v>2402654.8432055749</v>
          </cell>
          <cell r="O13">
            <v>100000</v>
          </cell>
          <cell r="P13">
            <v>934005.15679442498</v>
          </cell>
          <cell r="Q13">
            <v>0</v>
          </cell>
          <cell r="R13">
            <v>3436660</v>
          </cell>
        </row>
        <row r="14">
          <cell r="B14" t="str">
            <v>손필훈</v>
          </cell>
          <cell r="C14" t="str">
            <v>92.07.01</v>
          </cell>
          <cell r="D14">
            <v>44378</v>
          </cell>
          <cell r="E14" t="str">
            <v>물리치료실</v>
          </cell>
          <cell r="F14">
            <v>209</v>
          </cell>
          <cell r="G14">
            <v>78</v>
          </cell>
          <cell r="H14">
            <v>52</v>
          </cell>
          <cell r="I14">
            <v>0</v>
          </cell>
          <cell r="J14">
            <v>287</v>
          </cell>
          <cell r="K14">
            <v>41239920</v>
          </cell>
          <cell r="L14">
            <v>3436660</v>
          </cell>
          <cell r="M14">
            <v>11974.425087108013</v>
          </cell>
          <cell r="N14">
            <v>2402654.8432055749</v>
          </cell>
          <cell r="O14">
            <v>100000</v>
          </cell>
          <cell r="P14">
            <v>934005.15679442498</v>
          </cell>
          <cell r="Q14">
            <v>0</v>
          </cell>
          <cell r="R14">
            <v>3436660</v>
          </cell>
        </row>
        <row r="15">
          <cell r="B15" t="str">
            <v>최재하</v>
          </cell>
          <cell r="C15" t="str">
            <v>79.03.19</v>
          </cell>
          <cell r="D15">
            <v>43957</v>
          </cell>
          <cell r="F15">
            <v>209</v>
          </cell>
          <cell r="G15">
            <v>33</v>
          </cell>
          <cell r="H15">
            <v>22</v>
          </cell>
          <cell r="I15">
            <v>8</v>
          </cell>
          <cell r="J15">
            <v>250</v>
          </cell>
          <cell r="K15">
            <v>32287320</v>
          </cell>
          <cell r="L15">
            <v>2690610</v>
          </cell>
          <cell r="M15">
            <v>10762.44</v>
          </cell>
          <cell r="N15">
            <v>2149350</v>
          </cell>
          <cell r="O15">
            <v>100000</v>
          </cell>
          <cell r="P15">
            <v>355160</v>
          </cell>
          <cell r="Q15">
            <v>86099.520000000004</v>
          </cell>
          <cell r="R15">
            <v>2690609.52</v>
          </cell>
        </row>
        <row r="16">
          <cell r="B16" t="str">
            <v>이현숙</v>
          </cell>
          <cell r="C16" t="str">
            <v>56.07.22</v>
          </cell>
          <cell r="D16">
            <v>43132</v>
          </cell>
          <cell r="E16" t="str">
            <v>식당</v>
          </cell>
          <cell r="F16">
            <v>209</v>
          </cell>
          <cell r="G16">
            <v>0</v>
          </cell>
          <cell r="H16">
            <v>0</v>
          </cell>
          <cell r="I16">
            <v>0</v>
          </cell>
          <cell r="J16">
            <v>209</v>
          </cell>
          <cell r="K16">
            <v>25513440</v>
          </cell>
          <cell r="L16">
            <v>2126120</v>
          </cell>
          <cell r="M16">
            <v>10172.822966507178</v>
          </cell>
          <cell r="N16">
            <v>2126120</v>
          </cell>
          <cell r="P16">
            <v>0</v>
          </cell>
          <cell r="Q16">
            <v>0</v>
          </cell>
          <cell r="R16">
            <v>2126120</v>
          </cell>
        </row>
        <row r="17">
          <cell r="B17" t="str">
            <v>이예슬</v>
          </cell>
          <cell r="C17" t="str">
            <v>92.05.12</v>
          </cell>
          <cell r="D17">
            <v>44536</v>
          </cell>
          <cell r="F17">
            <v>126</v>
          </cell>
          <cell r="G17">
            <v>33</v>
          </cell>
          <cell r="H17">
            <v>22</v>
          </cell>
          <cell r="I17">
            <v>0</v>
          </cell>
          <cell r="J17">
            <v>159</v>
          </cell>
          <cell r="K17">
            <v>74079600</v>
          </cell>
          <cell r="L17">
            <v>6173300</v>
          </cell>
          <cell r="M17">
            <v>38825.786163522011</v>
          </cell>
          <cell r="N17">
            <v>4892049</v>
          </cell>
          <cell r="P17">
            <v>1281251</v>
          </cell>
          <cell r="Q17">
            <v>0</v>
          </cell>
          <cell r="R17">
            <v>6173300</v>
          </cell>
        </row>
        <row r="18">
          <cell r="B18" t="str">
            <v>김인자</v>
          </cell>
          <cell r="C18" t="str">
            <v>58.07.15</v>
          </cell>
          <cell r="D18">
            <v>44322</v>
          </cell>
          <cell r="E18" t="str">
            <v>식당</v>
          </cell>
          <cell r="F18">
            <v>209</v>
          </cell>
          <cell r="G18">
            <v>33</v>
          </cell>
          <cell r="H18">
            <v>22</v>
          </cell>
          <cell r="I18">
            <v>0</v>
          </cell>
          <cell r="J18">
            <v>242</v>
          </cell>
          <cell r="K18">
            <v>25487280</v>
          </cell>
          <cell r="L18">
            <v>2235170</v>
          </cell>
          <cell r="M18">
            <v>9236.2396694214876</v>
          </cell>
          <cell r="N18">
            <v>1930374.0909090908</v>
          </cell>
          <cell r="P18">
            <v>304795.90909090912</v>
          </cell>
          <cell r="Q18">
            <v>0</v>
          </cell>
          <cell r="R18">
            <v>2235170</v>
          </cell>
        </row>
        <row r="19">
          <cell r="B19" t="str">
            <v>전애자</v>
          </cell>
          <cell r="C19" t="str">
            <v>66.02.03</v>
          </cell>
          <cell r="D19">
            <v>44348</v>
          </cell>
          <cell r="E19" t="str">
            <v>식당</v>
          </cell>
          <cell r="F19">
            <v>167</v>
          </cell>
          <cell r="G19">
            <v>65</v>
          </cell>
          <cell r="H19">
            <v>43</v>
          </cell>
          <cell r="I19">
            <v>0</v>
          </cell>
          <cell r="J19">
            <v>232</v>
          </cell>
          <cell r="K19">
            <v>26829120</v>
          </cell>
          <cell r="L19">
            <v>2235760</v>
          </cell>
          <cell r="M19">
            <v>9636.8965517241377</v>
          </cell>
          <cell r="N19">
            <v>1609361.7241379309</v>
          </cell>
          <cell r="P19">
            <v>626398.27586206899</v>
          </cell>
          <cell r="Q19">
            <v>0</v>
          </cell>
          <cell r="R19">
            <v>2235760</v>
          </cell>
        </row>
        <row r="20">
          <cell r="B20" t="str">
            <v>박미정</v>
          </cell>
          <cell r="C20" t="str">
            <v>59.07.14</v>
          </cell>
          <cell r="D20">
            <v>44417</v>
          </cell>
          <cell r="E20" t="str">
            <v>식당</v>
          </cell>
          <cell r="F20">
            <v>167</v>
          </cell>
          <cell r="G20">
            <v>39</v>
          </cell>
          <cell r="H20">
            <v>26</v>
          </cell>
          <cell r="I20">
            <v>0</v>
          </cell>
          <cell r="J20">
            <v>206</v>
          </cell>
          <cell r="K20">
            <v>22908720</v>
          </cell>
          <cell r="L20">
            <v>1909060</v>
          </cell>
          <cell r="M20">
            <v>9267.2815533980574</v>
          </cell>
          <cell r="N20">
            <v>1547636.0194174757</v>
          </cell>
          <cell r="P20">
            <v>361423.98058252427</v>
          </cell>
          <cell r="Q20">
            <v>0</v>
          </cell>
          <cell r="R20">
            <v>1909060</v>
          </cell>
        </row>
        <row r="21">
          <cell r="B21" t="str">
            <v>안재신</v>
          </cell>
          <cell r="C21" t="str">
            <v>57.08.11</v>
          </cell>
          <cell r="D21">
            <v>44322</v>
          </cell>
          <cell r="E21" t="str">
            <v>야간당직</v>
          </cell>
          <cell r="F21">
            <v>104</v>
          </cell>
          <cell r="G21">
            <v>43</v>
          </cell>
          <cell r="H21">
            <v>29</v>
          </cell>
          <cell r="I21">
            <v>0</v>
          </cell>
          <cell r="J21">
            <v>147</v>
          </cell>
          <cell r="K21">
            <v>16441800</v>
          </cell>
          <cell r="L21">
            <v>1370150</v>
          </cell>
          <cell r="M21">
            <v>9320.7482993197282</v>
          </cell>
          <cell r="N21">
            <v>969357.82312925172</v>
          </cell>
          <cell r="P21">
            <v>400792.17687074828</v>
          </cell>
          <cell r="Q21">
            <v>0</v>
          </cell>
          <cell r="R21">
            <v>1370150</v>
          </cell>
        </row>
        <row r="22">
          <cell r="B22" t="str">
            <v>양마로</v>
          </cell>
          <cell r="C22" t="str">
            <v>96.02.22</v>
          </cell>
          <cell r="D22">
            <v>44689</v>
          </cell>
          <cell r="E22" t="str">
            <v>야간당직</v>
          </cell>
          <cell r="F22">
            <v>128</v>
          </cell>
          <cell r="G22">
            <v>53</v>
          </cell>
          <cell r="J22">
            <v>181</v>
          </cell>
          <cell r="K22">
            <v>20006280</v>
          </cell>
          <cell r="L22">
            <v>1667190</v>
          </cell>
          <cell r="M22">
            <v>9210.9944751381208</v>
          </cell>
          <cell r="N22">
            <v>1179007.2928176795</v>
          </cell>
          <cell r="P22">
            <v>488182.70718232042</v>
          </cell>
          <cell r="Q22">
            <v>0</v>
          </cell>
          <cell r="R22">
            <v>1667190</v>
          </cell>
        </row>
        <row r="23">
          <cell r="B23" t="str">
            <v>이윤미</v>
          </cell>
          <cell r="C23" t="str">
            <v>87.03.20</v>
          </cell>
          <cell r="D23">
            <v>43647</v>
          </cell>
          <cell r="E23" t="str">
            <v>검사실</v>
          </cell>
          <cell r="F23">
            <v>167</v>
          </cell>
          <cell r="I23">
            <v>0</v>
          </cell>
          <cell r="J23">
            <v>167</v>
          </cell>
          <cell r="K23">
            <v>22694400</v>
          </cell>
          <cell r="L23">
            <v>1891200</v>
          </cell>
          <cell r="M23">
            <v>11324.550898203594</v>
          </cell>
          <cell r="N23">
            <v>1891200.0000000002</v>
          </cell>
          <cell r="P23">
            <v>0</v>
          </cell>
          <cell r="Q23">
            <v>0</v>
          </cell>
          <cell r="R23">
            <v>1891200.0000000002</v>
          </cell>
        </row>
        <row r="24">
          <cell r="B24" t="str">
            <v>최훈창</v>
          </cell>
          <cell r="C24" t="str">
            <v>83.08.01</v>
          </cell>
          <cell r="D24">
            <v>43710</v>
          </cell>
          <cell r="E24" t="str">
            <v>영업직</v>
          </cell>
          <cell r="F24">
            <v>209</v>
          </cell>
          <cell r="I24">
            <v>0</v>
          </cell>
          <cell r="J24">
            <v>209</v>
          </cell>
          <cell r="K24">
            <v>26800320</v>
          </cell>
          <cell r="L24">
            <v>2233360</v>
          </cell>
          <cell r="M24">
            <v>10685.933014354066</v>
          </cell>
          <cell r="N24">
            <v>2233360</v>
          </cell>
          <cell r="P24">
            <v>0</v>
          </cell>
          <cell r="Q24">
            <v>0</v>
          </cell>
          <cell r="R24">
            <v>2233360</v>
          </cell>
        </row>
        <row r="25">
          <cell r="B25" t="str">
            <v>진지애</v>
          </cell>
          <cell r="C25" t="str">
            <v>85.08.21</v>
          </cell>
          <cell r="D25">
            <v>43710</v>
          </cell>
          <cell r="E25" t="str">
            <v>영업직</v>
          </cell>
          <cell r="F25">
            <v>167</v>
          </cell>
          <cell r="I25">
            <v>0</v>
          </cell>
          <cell r="J25">
            <v>167</v>
          </cell>
          <cell r="K25">
            <v>22719000</v>
          </cell>
          <cell r="L25">
            <v>1893250</v>
          </cell>
          <cell r="M25">
            <v>11336.826347305388</v>
          </cell>
          <cell r="N25">
            <v>1893249.9999999998</v>
          </cell>
          <cell r="P25">
            <v>0</v>
          </cell>
          <cell r="Q25">
            <v>0</v>
          </cell>
          <cell r="R25">
            <v>1893249.9999999998</v>
          </cell>
        </row>
        <row r="26">
          <cell r="B26" t="str">
            <v>한시은</v>
          </cell>
          <cell r="C26" t="str">
            <v>85.10.22</v>
          </cell>
          <cell r="D26">
            <v>43498</v>
          </cell>
          <cell r="E26" t="str">
            <v>영업직</v>
          </cell>
          <cell r="F26">
            <v>167</v>
          </cell>
          <cell r="I26">
            <v>0</v>
          </cell>
          <cell r="J26">
            <v>167</v>
          </cell>
          <cell r="K26">
            <v>22719000</v>
          </cell>
          <cell r="L26">
            <v>1893250</v>
          </cell>
          <cell r="M26">
            <v>11336.826347305388</v>
          </cell>
          <cell r="N26">
            <v>1893249.9999999998</v>
          </cell>
          <cell r="P26">
            <v>0</v>
          </cell>
          <cell r="Q26">
            <v>0</v>
          </cell>
          <cell r="R26">
            <v>1893249.9999999998</v>
          </cell>
        </row>
        <row r="27">
          <cell r="B27" t="str">
            <v>전유리</v>
          </cell>
          <cell r="C27" t="str">
            <v>89.08.12</v>
          </cell>
          <cell r="D27">
            <v>43740</v>
          </cell>
          <cell r="E27" t="str">
            <v>영업직</v>
          </cell>
          <cell r="F27">
            <v>167</v>
          </cell>
          <cell r="I27">
            <v>0</v>
          </cell>
          <cell r="J27">
            <v>167</v>
          </cell>
          <cell r="K27">
            <v>22719000</v>
          </cell>
          <cell r="L27">
            <v>1893250</v>
          </cell>
          <cell r="M27">
            <v>11336.826347305388</v>
          </cell>
          <cell r="N27">
            <v>1893249.9999999998</v>
          </cell>
          <cell r="P27">
            <v>0</v>
          </cell>
          <cell r="Q27">
            <v>0</v>
          </cell>
          <cell r="R27">
            <v>1893249.9999999998</v>
          </cell>
        </row>
        <row r="28">
          <cell r="B28" t="str">
            <v>진재윤</v>
          </cell>
          <cell r="C28" t="str">
            <v>82.11.25</v>
          </cell>
          <cell r="D28">
            <v>44075</v>
          </cell>
          <cell r="E28" t="str">
            <v>영업직</v>
          </cell>
          <cell r="F28">
            <v>209</v>
          </cell>
          <cell r="I28">
            <v>0</v>
          </cell>
          <cell r="J28">
            <v>209</v>
          </cell>
          <cell r="K28">
            <v>57461880</v>
          </cell>
          <cell r="L28">
            <v>4788490</v>
          </cell>
          <cell r="M28">
            <v>22911.435406698565</v>
          </cell>
          <cell r="N28">
            <v>4788490</v>
          </cell>
          <cell r="P28">
            <v>0</v>
          </cell>
          <cell r="Q28">
            <v>0</v>
          </cell>
          <cell r="R28">
            <v>4788490</v>
          </cell>
        </row>
        <row r="29">
          <cell r="B29" t="str">
            <v>서상민</v>
          </cell>
          <cell r="C29" t="str">
            <v>78.12.02</v>
          </cell>
          <cell r="D29">
            <v>43957</v>
          </cell>
          <cell r="E29" t="str">
            <v>영업직</v>
          </cell>
          <cell r="F29">
            <v>209</v>
          </cell>
          <cell r="I29">
            <v>0</v>
          </cell>
          <cell r="J29">
            <v>209</v>
          </cell>
          <cell r="K29">
            <v>25456200</v>
          </cell>
          <cell r="L29">
            <v>2121350</v>
          </cell>
          <cell r="M29">
            <v>10150</v>
          </cell>
          <cell r="N29">
            <v>2121350</v>
          </cell>
          <cell r="P29">
            <v>0</v>
          </cell>
          <cell r="Q29">
            <v>0</v>
          </cell>
          <cell r="R29">
            <v>2121350</v>
          </cell>
        </row>
        <row r="30">
          <cell r="B30" t="str">
            <v>손가비</v>
          </cell>
          <cell r="C30" t="str">
            <v>92.01.17</v>
          </cell>
          <cell r="D30">
            <v>44287</v>
          </cell>
          <cell r="E30" t="str">
            <v>영업직</v>
          </cell>
          <cell r="F30">
            <v>167</v>
          </cell>
          <cell r="G30">
            <v>7</v>
          </cell>
          <cell r="H30">
            <v>5</v>
          </cell>
          <cell r="I30">
            <v>0</v>
          </cell>
          <cell r="J30">
            <v>174</v>
          </cell>
          <cell r="K30">
            <v>22719000</v>
          </cell>
          <cell r="L30">
            <v>1893250</v>
          </cell>
          <cell r="M30">
            <v>10880.747126436781</v>
          </cell>
          <cell r="N30">
            <v>1817084.7701149425</v>
          </cell>
          <cell r="P30">
            <v>76165.229885057473</v>
          </cell>
          <cell r="Q30">
            <v>0</v>
          </cell>
          <cell r="R30">
            <v>1893250</v>
          </cell>
        </row>
        <row r="31">
          <cell r="B31" t="str">
            <v>주기환</v>
          </cell>
          <cell r="C31" t="str">
            <v>85.12.02</v>
          </cell>
          <cell r="D31">
            <v>44682</v>
          </cell>
          <cell r="E31" t="str">
            <v>영업직</v>
          </cell>
          <cell r="F31">
            <v>167</v>
          </cell>
          <cell r="G31">
            <v>7</v>
          </cell>
          <cell r="H31">
            <v>5</v>
          </cell>
          <cell r="I31">
            <v>0</v>
          </cell>
          <cell r="J31">
            <v>174</v>
          </cell>
          <cell r="K31">
            <v>24078120</v>
          </cell>
          <cell r="L31">
            <v>2006510</v>
          </cell>
          <cell r="M31">
            <v>11531.666666666666</v>
          </cell>
          <cell r="N31">
            <v>1925788.3333333333</v>
          </cell>
          <cell r="P31">
            <v>80721.666666666657</v>
          </cell>
          <cell r="Q31">
            <v>0</v>
          </cell>
          <cell r="R31">
            <v>2006510</v>
          </cell>
        </row>
        <row r="32">
          <cell r="B32" t="str">
            <v>양혜진</v>
          </cell>
          <cell r="C32" t="str">
            <v>91.03.10</v>
          </cell>
          <cell r="D32">
            <v>44682</v>
          </cell>
          <cell r="E32" t="str">
            <v>영업직</v>
          </cell>
          <cell r="F32">
            <v>167</v>
          </cell>
          <cell r="G32">
            <v>7</v>
          </cell>
          <cell r="H32">
            <v>5</v>
          </cell>
          <cell r="I32">
            <v>0</v>
          </cell>
          <cell r="J32">
            <v>174</v>
          </cell>
          <cell r="K32">
            <v>24078120</v>
          </cell>
          <cell r="L32">
            <v>2006510</v>
          </cell>
          <cell r="M32">
            <v>11531.666666666666</v>
          </cell>
          <cell r="N32">
            <v>1925788.3333333333</v>
          </cell>
          <cell r="P32">
            <v>80721.666666666657</v>
          </cell>
          <cell r="Q32">
            <v>0</v>
          </cell>
          <cell r="R32">
            <v>2006510</v>
          </cell>
        </row>
        <row r="33">
          <cell r="B33" t="str">
            <v>김성묵</v>
          </cell>
          <cell r="C33" t="str">
            <v>87.01.17</v>
          </cell>
          <cell r="D33">
            <v>44713</v>
          </cell>
          <cell r="E33" t="str">
            <v>영업직</v>
          </cell>
          <cell r="F33">
            <v>167</v>
          </cell>
          <cell r="G33">
            <v>7</v>
          </cell>
          <cell r="H33">
            <v>5</v>
          </cell>
          <cell r="J33">
            <v>174</v>
          </cell>
          <cell r="K33">
            <v>22719000</v>
          </cell>
          <cell r="L33">
            <v>1893250</v>
          </cell>
          <cell r="M33">
            <v>10880.747126436781</v>
          </cell>
          <cell r="N33">
            <v>1817084.7701149425</v>
          </cell>
          <cell r="P33">
            <v>76165.229885057473</v>
          </cell>
          <cell r="Q33">
            <v>0</v>
          </cell>
          <cell r="R33">
            <v>1893250</v>
          </cell>
        </row>
        <row r="34">
          <cell r="B34" t="str">
            <v>홍다니엘</v>
          </cell>
          <cell r="C34" t="str">
            <v>93.08.16</v>
          </cell>
          <cell r="D34">
            <v>44713</v>
          </cell>
          <cell r="E34" t="str">
            <v>영업직</v>
          </cell>
          <cell r="F34">
            <v>167</v>
          </cell>
          <cell r="G34">
            <v>7</v>
          </cell>
          <cell r="H34">
            <v>5</v>
          </cell>
          <cell r="J34">
            <v>174</v>
          </cell>
          <cell r="K34">
            <v>22719000</v>
          </cell>
          <cell r="L34">
            <v>1893250</v>
          </cell>
          <cell r="M34">
            <v>10880.747126436781</v>
          </cell>
          <cell r="N34">
            <v>1817084.7701149425</v>
          </cell>
          <cell r="P34">
            <v>76165.229885057473</v>
          </cell>
          <cell r="Q34">
            <v>0</v>
          </cell>
          <cell r="R34">
            <v>1893250</v>
          </cell>
        </row>
        <row r="35">
          <cell r="B35" t="str">
            <v>염덕임</v>
          </cell>
          <cell r="C35" t="str">
            <v>67.12.20</v>
          </cell>
          <cell r="D35">
            <v>44348</v>
          </cell>
          <cell r="E35" t="str">
            <v>청소</v>
          </cell>
          <cell r="F35">
            <v>118</v>
          </cell>
          <cell r="G35">
            <v>12</v>
          </cell>
          <cell r="H35">
            <v>8</v>
          </cell>
          <cell r="I35">
            <v>4.5</v>
          </cell>
          <cell r="J35">
            <v>134.5</v>
          </cell>
          <cell r="K35">
            <v>17121480</v>
          </cell>
          <cell r="L35">
            <v>1426790</v>
          </cell>
          <cell r="M35">
            <v>10608.10408921933</v>
          </cell>
          <cell r="N35">
            <v>1151756</v>
          </cell>
          <cell r="O35">
            <v>100000</v>
          </cell>
          <cell r="P35">
            <v>127298</v>
          </cell>
          <cell r="Q35">
            <v>47736.468401486985</v>
          </cell>
          <cell r="R35">
            <v>1426790.468401487</v>
          </cell>
        </row>
        <row r="36">
          <cell r="B36" t="str">
            <v>김성식</v>
          </cell>
          <cell r="C36" t="str">
            <v>82.07.20</v>
          </cell>
          <cell r="D36">
            <v>44713</v>
          </cell>
          <cell r="F36">
            <v>209</v>
          </cell>
          <cell r="G36">
            <v>78</v>
          </cell>
          <cell r="H36">
            <v>52</v>
          </cell>
          <cell r="I36">
            <v>8</v>
          </cell>
          <cell r="J36">
            <v>295</v>
          </cell>
          <cell r="K36">
            <v>74079600</v>
          </cell>
          <cell r="L36">
            <v>6173300</v>
          </cell>
          <cell r="M36">
            <v>20926.4406779661</v>
          </cell>
          <cell r="N36">
            <v>4373626.1016949145</v>
          </cell>
          <cell r="P36">
            <v>1632262.3728813559</v>
          </cell>
          <cell r="Q36">
            <v>167411.5254237288</v>
          </cell>
          <cell r="R36">
            <v>6173299.9999999991</v>
          </cell>
        </row>
        <row r="37">
          <cell r="B37" t="str">
            <v>서혜원</v>
          </cell>
          <cell r="C37" t="str">
            <v>84.04.13</v>
          </cell>
          <cell r="D37">
            <v>44440</v>
          </cell>
          <cell r="E37" t="str">
            <v>간호조무사</v>
          </cell>
          <cell r="F37">
            <v>118</v>
          </cell>
          <cell r="G37">
            <v>46</v>
          </cell>
          <cell r="H37">
            <v>31</v>
          </cell>
          <cell r="I37">
            <v>4.5</v>
          </cell>
          <cell r="J37">
            <v>168.5</v>
          </cell>
          <cell r="K37">
            <v>18630960</v>
          </cell>
          <cell r="L37">
            <v>1552580</v>
          </cell>
          <cell r="M37">
            <v>9214.1246290801191</v>
          </cell>
          <cell r="N37">
            <v>1087266</v>
          </cell>
          <cell r="P37">
            <v>423850</v>
          </cell>
          <cell r="Q37">
            <v>41463.560830860537</v>
          </cell>
          <cell r="R37">
            <v>1552579.5608308606</v>
          </cell>
        </row>
        <row r="38">
          <cell r="B38" t="str">
            <v>서혜원(세금신고)</v>
          </cell>
          <cell r="C38" t="str">
            <v>84.04.13</v>
          </cell>
          <cell r="D38">
            <v>44440</v>
          </cell>
          <cell r="E38" t="str">
            <v>간호조무사</v>
          </cell>
          <cell r="F38">
            <v>59</v>
          </cell>
          <cell r="G38">
            <v>78</v>
          </cell>
          <cell r="H38">
            <v>52</v>
          </cell>
          <cell r="J38">
            <v>137</v>
          </cell>
          <cell r="K38">
            <v>16800000</v>
          </cell>
          <cell r="L38">
            <v>1400000</v>
          </cell>
          <cell r="M38">
            <v>10218.978102189782</v>
          </cell>
          <cell r="N38">
            <v>602919.70802919706</v>
          </cell>
          <cell r="P38">
            <v>797080</v>
          </cell>
          <cell r="Q38">
            <v>0</v>
          </cell>
          <cell r="R38">
            <v>1399999.7080291971</v>
          </cell>
        </row>
        <row r="39">
          <cell r="B39" t="str">
            <v>허혜정</v>
          </cell>
          <cell r="C39" t="str">
            <v xml:space="preserve">00.02.11 </v>
          </cell>
          <cell r="D39">
            <v>44445</v>
          </cell>
          <cell r="E39" t="str">
            <v>데스크</v>
          </cell>
          <cell r="F39">
            <v>209</v>
          </cell>
          <cell r="I39">
            <v>8</v>
          </cell>
          <cell r="J39">
            <v>217</v>
          </cell>
          <cell r="K39">
            <v>22710000</v>
          </cell>
          <cell r="L39">
            <v>1987720</v>
          </cell>
          <cell r="M39">
            <v>9160</v>
          </cell>
          <cell r="N39">
            <v>1914440</v>
          </cell>
          <cell r="P39">
            <v>0</v>
          </cell>
          <cell r="Q39">
            <v>73280</v>
          </cell>
          <cell r="R39">
            <v>1987720</v>
          </cell>
        </row>
        <row r="40">
          <cell r="B40" t="str">
            <v>정지현</v>
          </cell>
          <cell r="C40" t="str">
            <v>84.02.22</v>
          </cell>
          <cell r="D40">
            <v>44682</v>
          </cell>
          <cell r="F40">
            <v>209</v>
          </cell>
          <cell r="G40">
            <v>78</v>
          </cell>
          <cell r="H40">
            <v>52</v>
          </cell>
          <cell r="I40">
            <v>8</v>
          </cell>
          <cell r="J40">
            <v>295</v>
          </cell>
          <cell r="K40">
            <v>180000000</v>
          </cell>
          <cell r="L40">
            <v>15000000</v>
          </cell>
          <cell r="M40">
            <v>50847.457627118645</v>
          </cell>
          <cell r="N40">
            <v>10627119</v>
          </cell>
          <cell r="P40">
            <v>3966101.6949152541</v>
          </cell>
          <cell r="Q40">
            <v>406779.66101694916</v>
          </cell>
          <cell r="R40">
            <v>15000000.355932202</v>
          </cell>
        </row>
        <row r="41">
          <cell r="B41" t="str">
            <v>김진아(수습)</v>
          </cell>
          <cell r="C41" t="str">
            <v>72.11.17</v>
          </cell>
          <cell r="D41">
            <v>43957</v>
          </cell>
          <cell r="E41" t="str">
            <v>간호직</v>
          </cell>
          <cell r="F41">
            <v>209</v>
          </cell>
          <cell r="J41">
            <v>209</v>
          </cell>
          <cell r="K41">
            <v>24237600</v>
          </cell>
          <cell r="L41">
            <v>2019800</v>
          </cell>
          <cell r="M41">
            <v>9664.1148325358845</v>
          </cell>
          <cell r="N41">
            <v>2019799.9999999998</v>
          </cell>
          <cell r="P41">
            <v>0</v>
          </cell>
          <cell r="Q41">
            <v>0</v>
          </cell>
          <cell r="R41">
            <v>2019799.9999999998</v>
          </cell>
        </row>
        <row r="42">
          <cell r="B42" t="str">
            <v>국정하(수습)</v>
          </cell>
          <cell r="C42" t="str">
            <v>73.12.25</v>
          </cell>
          <cell r="D42">
            <v>43957</v>
          </cell>
          <cell r="E42" t="str">
            <v>간호직</v>
          </cell>
          <cell r="F42">
            <v>209</v>
          </cell>
          <cell r="J42">
            <v>209</v>
          </cell>
          <cell r="K42">
            <v>24237600</v>
          </cell>
          <cell r="L42">
            <v>2019800</v>
          </cell>
          <cell r="M42">
            <v>9664.1148325358845</v>
          </cell>
          <cell r="N42">
            <v>2019799.9999999998</v>
          </cell>
          <cell r="P42">
            <v>0</v>
          </cell>
          <cell r="Q42">
            <v>0</v>
          </cell>
          <cell r="R42">
            <v>2019799.9999999998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j.hong2@tbell.co.kr" TargetMode="External"/><Relationship Id="rId117" Type="http://schemas.openxmlformats.org/officeDocument/2006/relationships/hyperlink" Target="mailto:ma.kim@tbell.co.kr" TargetMode="External"/><Relationship Id="rId21" Type="http://schemas.openxmlformats.org/officeDocument/2006/relationships/hyperlink" Target="mailto:ks.hyun@tbell.co.kr" TargetMode="External"/><Relationship Id="rId42" Type="http://schemas.openxmlformats.org/officeDocument/2006/relationships/hyperlink" Target="mailto:jb.son@tbell.co.kr" TargetMode="External"/><Relationship Id="rId47" Type="http://schemas.openxmlformats.org/officeDocument/2006/relationships/hyperlink" Target="mailto:jh.jo@tbell.co.kr" TargetMode="External"/><Relationship Id="rId63" Type="http://schemas.openxmlformats.org/officeDocument/2006/relationships/hyperlink" Target="mailto:si.mun@tbell.co.kr" TargetMode="External"/><Relationship Id="rId68" Type="http://schemas.openxmlformats.org/officeDocument/2006/relationships/hyperlink" Target="mailto:kj.lee@tbell.co.kr" TargetMode="External"/><Relationship Id="rId84" Type="http://schemas.openxmlformats.org/officeDocument/2006/relationships/hyperlink" Target="mailto:hs.park3@tbell.co.kr" TargetMode="External"/><Relationship Id="rId89" Type="http://schemas.openxmlformats.org/officeDocument/2006/relationships/hyperlink" Target="mailto:jh.kim@tbell.co.kr" TargetMode="External"/><Relationship Id="rId112" Type="http://schemas.openxmlformats.org/officeDocument/2006/relationships/hyperlink" Target="mailto:ys.cho@tbell.co.kr" TargetMode="External"/><Relationship Id="rId16" Type="http://schemas.openxmlformats.org/officeDocument/2006/relationships/hyperlink" Target="mailto:mr.kim@tbell.co.kr" TargetMode="External"/><Relationship Id="rId107" Type="http://schemas.openxmlformats.org/officeDocument/2006/relationships/hyperlink" Target="mailto:yb.tak@tbell.co.kr" TargetMode="External"/><Relationship Id="rId11" Type="http://schemas.openxmlformats.org/officeDocument/2006/relationships/hyperlink" Target="mailto:yj.kim@tbell.co.kr" TargetMode="External"/><Relationship Id="rId32" Type="http://schemas.openxmlformats.org/officeDocument/2006/relationships/hyperlink" Target="mailto:jy.sa@tbell.co.kr" TargetMode="External"/><Relationship Id="rId37" Type="http://schemas.openxmlformats.org/officeDocument/2006/relationships/hyperlink" Target="mailto:jw.koo@tbell.co.kr" TargetMode="External"/><Relationship Id="rId53" Type="http://schemas.openxmlformats.org/officeDocument/2006/relationships/hyperlink" Target="mailto:yj.yoo@tbell.co.kr" TargetMode="External"/><Relationship Id="rId58" Type="http://schemas.openxmlformats.org/officeDocument/2006/relationships/hyperlink" Target="mailto:sj.park2@tbell.co.kr" TargetMode="External"/><Relationship Id="rId74" Type="http://schemas.openxmlformats.org/officeDocument/2006/relationships/hyperlink" Target="mailto:hj.hong@tbell.co.kr" TargetMode="External"/><Relationship Id="rId79" Type="http://schemas.openxmlformats.org/officeDocument/2006/relationships/hyperlink" Target="mailto:us.yu@tbell.co.kr" TargetMode="External"/><Relationship Id="rId102" Type="http://schemas.openxmlformats.org/officeDocument/2006/relationships/hyperlink" Target="mailto:hb.jang@tbell.co.kr" TargetMode="External"/><Relationship Id="rId123" Type="http://schemas.openxmlformats.org/officeDocument/2006/relationships/printerSettings" Target="../printerSettings/printerSettings1.bin"/><Relationship Id="rId5" Type="http://schemas.openxmlformats.org/officeDocument/2006/relationships/hyperlink" Target="mailto:sw.che@tbell.co.kr" TargetMode="External"/><Relationship Id="rId90" Type="http://schemas.openxmlformats.org/officeDocument/2006/relationships/hyperlink" Target="mailto:he.yu@tbell.co.kr" TargetMode="External"/><Relationship Id="rId95" Type="http://schemas.openxmlformats.org/officeDocument/2006/relationships/hyperlink" Target="mailto:my.kim@tbell.co.kr" TargetMode="External"/><Relationship Id="rId22" Type="http://schemas.openxmlformats.org/officeDocument/2006/relationships/hyperlink" Target="mailto:dh.keum@tbell.co.kr" TargetMode="External"/><Relationship Id="rId27" Type="http://schemas.openxmlformats.org/officeDocument/2006/relationships/hyperlink" Target="mailto:hk.kang@tbell.co.kr" TargetMode="External"/><Relationship Id="rId43" Type="http://schemas.openxmlformats.org/officeDocument/2006/relationships/hyperlink" Target="mailto:sa.hong@tbell.co.kr" TargetMode="External"/><Relationship Id="rId48" Type="http://schemas.openxmlformats.org/officeDocument/2006/relationships/hyperlink" Target="mailto:hm.kwon@tbell.co.kr" TargetMode="External"/><Relationship Id="rId64" Type="http://schemas.openxmlformats.org/officeDocument/2006/relationships/hyperlink" Target="mailto:yj.oh@tbell.co.kr" TargetMode="External"/><Relationship Id="rId69" Type="http://schemas.openxmlformats.org/officeDocument/2006/relationships/hyperlink" Target="mailto:kw.chu@tbell.co.kr" TargetMode="External"/><Relationship Id="rId113" Type="http://schemas.openxmlformats.org/officeDocument/2006/relationships/hyperlink" Target="mailto:hj.jang@tbell.co.kr" TargetMode="External"/><Relationship Id="rId118" Type="http://schemas.openxmlformats.org/officeDocument/2006/relationships/hyperlink" Target="mailto:jh.mun@tbell.co.kr" TargetMode="External"/><Relationship Id="rId80" Type="http://schemas.openxmlformats.org/officeDocument/2006/relationships/hyperlink" Target="mailto:sr.jo@tbell.co.kr" TargetMode="External"/><Relationship Id="rId85" Type="http://schemas.openxmlformats.org/officeDocument/2006/relationships/hyperlink" Target="mailto:wh.lee@tbell.co.kr" TargetMode="External"/><Relationship Id="rId12" Type="http://schemas.openxmlformats.org/officeDocument/2006/relationships/hyperlink" Target="mailto:gs.kim@tbell.co.kr" TargetMode="External"/><Relationship Id="rId17" Type="http://schemas.openxmlformats.org/officeDocument/2006/relationships/hyperlink" Target="mailto:sh.lee3@tbell.co.kr" TargetMode="External"/><Relationship Id="rId33" Type="http://schemas.openxmlformats.org/officeDocument/2006/relationships/hyperlink" Target="mailto:he.cho@tbell.co.kr" TargetMode="External"/><Relationship Id="rId38" Type="http://schemas.openxmlformats.org/officeDocument/2006/relationships/hyperlink" Target="mailto:sohyun.park@tbell.co.kr" TargetMode="External"/><Relationship Id="rId59" Type="http://schemas.openxmlformats.org/officeDocument/2006/relationships/hyperlink" Target="mailto:hb.jo@tbell.co.kr" TargetMode="External"/><Relationship Id="rId103" Type="http://schemas.openxmlformats.org/officeDocument/2006/relationships/hyperlink" Target="mailto:jh.lim@tbell.co.kr" TargetMode="External"/><Relationship Id="rId108" Type="http://schemas.openxmlformats.org/officeDocument/2006/relationships/hyperlink" Target="mailto:yj.seo@tbell.co.kr" TargetMode="External"/><Relationship Id="rId124" Type="http://schemas.openxmlformats.org/officeDocument/2006/relationships/vmlDrawing" Target="../drawings/vmlDrawing1.vml"/><Relationship Id="rId54" Type="http://schemas.openxmlformats.org/officeDocument/2006/relationships/hyperlink" Target="mailto:mj.lee2@tbell.co.kr" TargetMode="External"/><Relationship Id="rId70" Type="http://schemas.openxmlformats.org/officeDocument/2006/relationships/hyperlink" Target="mailto:du.kim@tbell.co.kr" TargetMode="External"/><Relationship Id="rId75" Type="http://schemas.openxmlformats.org/officeDocument/2006/relationships/hyperlink" Target="mailto:hm.han@tbell.co.kr" TargetMode="External"/><Relationship Id="rId91" Type="http://schemas.openxmlformats.org/officeDocument/2006/relationships/hyperlink" Target="mailto:sh.lee2@tbell.co.kr" TargetMode="External"/><Relationship Id="rId96" Type="http://schemas.openxmlformats.org/officeDocument/2006/relationships/hyperlink" Target="mailto:hy.jo@tbell.co.kr" TargetMode="External"/><Relationship Id="rId1" Type="http://schemas.openxmlformats.org/officeDocument/2006/relationships/hyperlink" Target="mailto:bs.choi@tbell.co.kr" TargetMode="External"/><Relationship Id="rId6" Type="http://schemas.openxmlformats.org/officeDocument/2006/relationships/hyperlink" Target="mailto:ss.yong@tbell.co.kr" TargetMode="External"/><Relationship Id="rId23" Type="http://schemas.openxmlformats.org/officeDocument/2006/relationships/hyperlink" Target="mailto:sd.noh@tbell.co.kr" TargetMode="External"/><Relationship Id="rId28" Type="http://schemas.openxmlformats.org/officeDocument/2006/relationships/hyperlink" Target="mailto:jy.jeong@tbell.co.kr" TargetMode="External"/><Relationship Id="rId49" Type="http://schemas.openxmlformats.org/officeDocument/2006/relationships/hyperlink" Target="mailto:ej.do@tbell.co.kr" TargetMode="External"/><Relationship Id="rId114" Type="http://schemas.openxmlformats.org/officeDocument/2006/relationships/hyperlink" Target="mailto:hk.park@tbell.co.kr" TargetMode="External"/><Relationship Id="rId119" Type="http://schemas.openxmlformats.org/officeDocument/2006/relationships/hyperlink" Target="mailto:cy.lim@tbell.co.kr" TargetMode="External"/><Relationship Id="rId44" Type="http://schemas.openxmlformats.org/officeDocument/2006/relationships/hyperlink" Target="mailto:jy.choi@tbell.co.kr" TargetMode="External"/><Relationship Id="rId60" Type="http://schemas.openxmlformats.org/officeDocument/2006/relationships/hyperlink" Target="mailto:dh.lee@tbell.co.kr" TargetMode="External"/><Relationship Id="rId65" Type="http://schemas.openxmlformats.org/officeDocument/2006/relationships/hyperlink" Target="mailto:sh.seo@tbell.co.kr" TargetMode="External"/><Relationship Id="rId81" Type="http://schemas.openxmlformats.org/officeDocument/2006/relationships/hyperlink" Target="mailto:um.lee@tbell.co.kr" TargetMode="External"/><Relationship Id="rId86" Type="http://schemas.openxmlformats.org/officeDocument/2006/relationships/hyperlink" Target="mailto:jh.lee4@tbell.co.kr" TargetMode="External"/><Relationship Id="rId13" Type="http://schemas.openxmlformats.org/officeDocument/2006/relationships/hyperlink" Target="mailto:jm.lim@tbell.co.kr" TargetMode="External"/><Relationship Id="rId18" Type="http://schemas.openxmlformats.org/officeDocument/2006/relationships/hyperlink" Target="mailto:sh.park2@tbell.co.kr" TargetMode="External"/><Relationship Id="rId39" Type="http://schemas.openxmlformats.org/officeDocument/2006/relationships/hyperlink" Target="mailto:sh.jeong@tbell.co.kr" TargetMode="External"/><Relationship Id="rId109" Type="http://schemas.openxmlformats.org/officeDocument/2006/relationships/hyperlink" Target="mailto:hr.lee@tbell.co.kr" TargetMode="External"/><Relationship Id="rId34" Type="http://schemas.openxmlformats.org/officeDocument/2006/relationships/hyperlink" Target="mailto:jin.kim@tbell.co.kr" TargetMode="External"/><Relationship Id="rId50" Type="http://schemas.openxmlformats.org/officeDocument/2006/relationships/hyperlink" Target="mailto:yj.kang@tbell.co.kr" TargetMode="External"/><Relationship Id="rId55" Type="http://schemas.openxmlformats.org/officeDocument/2006/relationships/hyperlink" Target="mailto:he.mun@tbell.co.kr" TargetMode="External"/><Relationship Id="rId76" Type="http://schemas.openxmlformats.org/officeDocument/2006/relationships/hyperlink" Target="mailto:hj.shim@tbell.co.kr" TargetMode="External"/><Relationship Id="rId97" Type="http://schemas.openxmlformats.org/officeDocument/2006/relationships/hyperlink" Target="mailto:es.woo@tbell.co.kr" TargetMode="External"/><Relationship Id="rId104" Type="http://schemas.openxmlformats.org/officeDocument/2006/relationships/hyperlink" Target="mailto:sy.maeng@tbell.co.kr" TargetMode="External"/><Relationship Id="rId120" Type="http://schemas.openxmlformats.org/officeDocument/2006/relationships/hyperlink" Target="mailto:cw.lee@tbell.co.kr" TargetMode="External"/><Relationship Id="rId125" Type="http://schemas.openxmlformats.org/officeDocument/2006/relationships/comments" Target="../comments1.xml"/><Relationship Id="rId7" Type="http://schemas.openxmlformats.org/officeDocument/2006/relationships/hyperlink" Target="mailto:sh.kim2@tbell.co.kr" TargetMode="External"/><Relationship Id="rId71" Type="http://schemas.openxmlformats.org/officeDocument/2006/relationships/hyperlink" Target="mailto:jr.chae@tbell.co.kr" TargetMode="External"/><Relationship Id="rId92" Type="http://schemas.openxmlformats.org/officeDocument/2006/relationships/hyperlink" Target="mailto:sk.choi@tbell.co.kr" TargetMode="External"/><Relationship Id="rId2" Type="http://schemas.openxmlformats.org/officeDocument/2006/relationships/hyperlink" Target="mailto:hy.kim@tbell.co.kr" TargetMode="External"/><Relationship Id="rId29" Type="http://schemas.openxmlformats.org/officeDocument/2006/relationships/hyperlink" Target="mailto:minju.kim@tbell.co.kr" TargetMode="External"/><Relationship Id="rId24" Type="http://schemas.openxmlformats.org/officeDocument/2006/relationships/hyperlink" Target="mailto:sh.yun@tbell.co.kr" TargetMode="External"/><Relationship Id="rId40" Type="http://schemas.openxmlformats.org/officeDocument/2006/relationships/hyperlink" Target="mailto:is.choi@tbell.co.kr" TargetMode="External"/><Relationship Id="rId45" Type="http://schemas.openxmlformats.org/officeDocument/2006/relationships/hyperlink" Target="mailto:yh.choi@tbell.co.kr" TargetMode="External"/><Relationship Id="rId66" Type="http://schemas.openxmlformats.org/officeDocument/2006/relationships/hyperlink" Target="mailto:jy.kim@tbell.co.kr" TargetMode="External"/><Relationship Id="rId87" Type="http://schemas.openxmlformats.org/officeDocument/2006/relationships/hyperlink" Target="mailto:sj.kang@tbell.co.kr" TargetMode="External"/><Relationship Id="rId110" Type="http://schemas.openxmlformats.org/officeDocument/2006/relationships/hyperlink" Target="mailto:ha.kim@tbell.co.kr" TargetMode="External"/><Relationship Id="rId115" Type="http://schemas.openxmlformats.org/officeDocument/2006/relationships/hyperlink" Target="mailto:gy.sung@tbell.co.kr" TargetMode="External"/><Relationship Id="rId61" Type="http://schemas.openxmlformats.org/officeDocument/2006/relationships/hyperlink" Target="mailto:cy.kim@tbell.co.kr" TargetMode="External"/><Relationship Id="rId82" Type="http://schemas.openxmlformats.org/officeDocument/2006/relationships/hyperlink" Target="mailto:yt.lee@tbell.co.kr" TargetMode="External"/><Relationship Id="rId19" Type="http://schemas.openxmlformats.org/officeDocument/2006/relationships/hyperlink" Target="mailto:aj.yu@tbell.co.k" TargetMode="External"/><Relationship Id="rId14" Type="http://schemas.openxmlformats.org/officeDocument/2006/relationships/hyperlink" Target="mailto:ym.kim@tbell.co.kr" TargetMode="External"/><Relationship Id="rId30" Type="http://schemas.openxmlformats.org/officeDocument/2006/relationships/hyperlink" Target="mailto:hs.park@tbell.co.kr" TargetMode="External"/><Relationship Id="rId35" Type="http://schemas.openxmlformats.org/officeDocument/2006/relationships/hyperlink" Target="mailto:hs.kim@tbell.co.kr" TargetMode="External"/><Relationship Id="rId56" Type="http://schemas.openxmlformats.org/officeDocument/2006/relationships/hyperlink" Target="mailto:jr.lee@tbell.co.kr" TargetMode="External"/><Relationship Id="rId77" Type="http://schemas.openxmlformats.org/officeDocument/2006/relationships/hyperlink" Target="mailto:yk.kim2@tbell.co.kr" TargetMode="External"/><Relationship Id="rId100" Type="http://schemas.openxmlformats.org/officeDocument/2006/relationships/hyperlink" Target="mailto:jh.kim2@tbell.co.kr" TargetMode="External"/><Relationship Id="rId105" Type="http://schemas.openxmlformats.org/officeDocument/2006/relationships/hyperlink" Target="mailto:yb.jin@tbell.co.kr" TargetMode="External"/><Relationship Id="rId8" Type="http://schemas.openxmlformats.org/officeDocument/2006/relationships/hyperlink" Target="mailto:ms.park@tbell.co.kr" TargetMode="External"/><Relationship Id="rId51" Type="http://schemas.openxmlformats.org/officeDocument/2006/relationships/hyperlink" Target="mailto:js.an@tbell.co.kr" TargetMode="External"/><Relationship Id="rId72" Type="http://schemas.openxmlformats.org/officeDocument/2006/relationships/hyperlink" Target="mailto:gw.yuk@tbell.co.kr" TargetMode="External"/><Relationship Id="rId93" Type="http://schemas.openxmlformats.org/officeDocument/2006/relationships/hyperlink" Target="mailto:yo.kim@tbell.co.kr" TargetMode="External"/><Relationship Id="rId98" Type="http://schemas.openxmlformats.org/officeDocument/2006/relationships/hyperlink" Target="mailto:jw.shin@tbell.co.kr" TargetMode="External"/><Relationship Id="rId121" Type="http://schemas.openxmlformats.org/officeDocument/2006/relationships/hyperlink" Target="mailto:palpal07@naver.com" TargetMode="External"/><Relationship Id="rId3" Type="http://schemas.openxmlformats.org/officeDocument/2006/relationships/hyperlink" Target="mailto:seongho.park@tbell.co.kr" TargetMode="External"/><Relationship Id="rId25" Type="http://schemas.openxmlformats.org/officeDocument/2006/relationships/hyperlink" Target="mailto:cy.kim2@tbell.co.kr" TargetMode="External"/><Relationship Id="rId46" Type="http://schemas.openxmlformats.org/officeDocument/2006/relationships/hyperlink" Target="mailto:juwan.kim@tbell.co.kr" TargetMode="External"/><Relationship Id="rId67" Type="http://schemas.openxmlformats.org/officeDocument/2006/relationships/hyperlink" Target="mailto:sy.lee@tbell.co.kr" TargetMode="External"/><Relationship Id="rId116" Type="http://schemas.openxmlformats.org/officeDocument/2006/relationships/hyperlink" Target="mailto:yj.lee@tbell.co.kr" TargetMode="External"/><Relationship Id="rId20" Type="http://schemas.openxmlformats.org/officeDocument/2006/relationships/hyperlink" Target="mailto:ys.hwang@tbell.co.kr" TargetMode="External"/><Relationship Id="rId41" Type="http://schemas.openxmlformats.org/officeDocument/2006/relationships/hyperlink" Target="mailto:hm.choi@tbell.co.kr" TargetMode="External"/><Relationship Id="rId62" Type="http://schemas.openxmlformats.org/officeDocument/2006/relationships/hyperlink" Target="mailto:sooyong.lee@tbell.co.kr" TargetMode="External"/><Relationship Id="rId83" Type="http://schemas.openxmlformats.org/officeDocument/2006/relationships/hyperlink" Target="mailto:jh.lee@tbell.co.kr" TargetMode="External"/><Relationship Id="rId88" Type="http://schemas.openxmlformats.org/officeDocument/2006/relationships/hyperlink" Target="mailto:dy.jang@tbell.co.kr" TargetMode="External"/><Relationship Id="rId111" Type="http://schemas.openxmlformats.org/officeDocument/2006/relationships/hyperlink" Target="mailto:yj.heo@tbell.co.kr" TargetMode="External"/><Relationship Id="rId15" Type="http://schemas.openxmlformats.org/officeDocument/2006/relationships/hyperlink" Target="mailto:jh.lee5@tbell.co.kr" TargetMode="External"/><Relationship Id="rId36" Type="http://schemas.openxmlformats.org/officeDocument/2006/relationships/hyperlink" Target="mailto:jw.joo@tbell.co.kr" TargetMode="External"/><Relationship Id="rId57" Type="http://schemas.openxmlformats.org/officeDocument/2006/relationships/hyperlink" Target="mailto:sm.kim@tbell.co.kr" TargetMode="External"/><Relationship Id="rId106" Type="http://schemas.openxmlformats.org/officeDocument/2006/relationships/hyperlink" Target="mailto:jh.kim3@tbell.co.kr" TargetMode="External"/><Relationship Id="rId10" Type="http://schemas.openxmlformats.org/officeDocument/2006/relationships/hyperlink" Target="mailto:ny.lim@tbell.co.kr" TargetMode="External"/><Relationship Id="rId31" Type="http://schemas.openxmlformats.org/officeDocument/2006/relationships/hyperlink" Target="mailto:sh.hwang@tbell.co.kr" TargetMode="External"/><Relationship Id="rId52" Type="http://schemas.openxmlformats.org/officeDocument/2006/relationships/hyperlink" Target="mailto:sw.moon@tbell.co.kr" TargetMode="External"/><Relationship Id="rId73" Type="http://schemas.openxmlformats.org/officeDocument/2006/relationships/hyperlink" Target="mailto:jm.lee@tbell.co.kr" TargetMode="External"/><Relationship Id="rId78" Type="http://schemas.openxmlformats.org/officeDocument/2006/relationships/hyperlink" Target="mailto:sy.shin@tbell.co.kr" TargetMode="External"/><Relationship Id="rId94" Type="http://schemas.openxmlformats.org/officeDocument/2006/relationships/hyperlink" Target="mailto:jh.jo2@tbell.co.kr" TargetMode="External"/><Relationship Id="rId99" Type="http://schemas.openxmlformats.org/officeDocument/2006/relationships/hyperlink" Target="mailto:sa.jeong@tbell.co.kr" TargetMode="External"/><Relationship Id="rId101" Type="http://schemas.openxmlformats.org/officeDocument/2006/relationships/hyperlink" Target="mailto:yh.kim@tbell.co.kr" TargetMode="External"/><Relationship Id="rId122" Type="http://schemas.openxmlformats.org/officeDocument/2006/relationships/hyperlink" Target="mailto:hj.son@tbell.co.kr" TargetMode="External"/><Relationship Id="rId4" Type="http://schemas.openxmlformats.org/officeDocument/2006/relationships/hyperlink" Target="mailto:my.park@tbell.co.kr" TargetMode="External"/><Relationship Id="rId9" Type="http://schemas.openxmlformats.org/officeDocument/2006/relationships/hyperlink" Target="mailto:mh.kim@tbell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BBFC-BD80-4073-AA47-D635D38667EF}">
  <dimension ref="A1:BD551"/>
  <sheetViews>
    <sheetView showGridLines="0" tabSelected="1" zoomScaleNormal="100" workbookViewId="0">
      <pane xSplit="3" ySplit="2" topLeftCell="AH3" activePane="bottomRight" state="frozen"/>
      <selection pane="topRight" activeCell="D3" sqref="D3"/>
      <selection pane="bottomLeft" activeCell="D3" sqref="D3"/>
      <selection pane="bottomRight" activeCell="AM22" sqref="AM22"/>
    </sheetView>
  </sheetViews>
  <sheetFormatPr defaultColWidth="12.625" defaultRowHeight="15" customHeight="1" x14ac:dyDescent="0.3"/>
  <cols>
    <col min="1" max="1" width="4.875" style="53" customWidth="1"/>
    <col min="2" max="2" width="11" style="53" customWidth="1"/>
    <col min="3" max="3" width="9" style="61" bestFit="1" customWidth="1"/>
    <col min="4" max="5" width="10.125" style="53" customWidth="1"/>
    <col min="6" max="7" width="9.125" style="53" customWidth="1"/>
    <col min="8" max="8" width="16.5" style="54" customWidth="1"/>
    <col min="9" max="9" width="14.125" style="53" customWidth="1"/>
    <col min="10" max="10" width="8.5" style="53" customWidth="1"/>
    <col min="11" max="15" width="6.875" style="53" customWidth="1"/>
    <col min="16" max="16" width="12.875" style="53" customWidth="1"/>
    <col min="17" max="17" width="6.5" style="53" customWidth="1"/>
    <col min="18" max="18" width="12.375" style="53" customWidth="1"/>
    <col min="19" max="19" width="13.625" style="62" customWidth="1"/>
    <col min="20" max="20" width="7.625" style="53" customWidth="1"/>
    <col min="21" max="21" width="9.125" style="53" customWidth="1"/>
    <col min="22" max="22" width="8.625" style="53" customWidth="1"/>
    <col min="23" max="24" width="9.125" style="53" customWidth="1"/>
    <col min="25" max="25" width="8.625" style="54" customWidth="1"/>
    <col min="26" max="26" width="8.125" style="54" customWidth="1"/>
    <col min="27" max="27" width="12.375" style="54" customWidth="1"/>
    <col min="28" max="28" width="9.5" style="54" customWidth="1"/>
    <col min="29" max="30" width="11.125" style="53" customWidth="1"/>
    <col min="31" max="31" width="9.125" style="53" customWidth="1"/>
    <col min="32" max="32" width="12.625" style="53" customWidth="1"/>
    <col min="33" max="33" width="10.125" style="53" customWidth="1"/>
    <col min="34" max="34" width="9.125" style="53" customWidth="1"/>
    <col min="35" max="35" width="10" style="62" customWidth="1"/>
    <col min="36" max="36" width="9.625" style="53" customWidth="1"/>
    <col min="37" max="37" width="10.875" style="53" customWidth="1"/>
    <col min="38" max="38" width="14.5" style="54" customWidth="1"/>
    <col min="39" max="39" width="10.875" style="53" customWidth="1"/>
    <col min="40" max="40" width="17.875" style="53" customWidth="1"/>
    <col min="41" max="41" width="10.875" style="53" customWidth="1"/>
    <col min="42" max="42" width="17.125" style="54" customWidth="1"/>
    <col min="43" max="43" width="14.625" style="54" customWidth="1"/>
    <col min="44" max="44" width="17.625" style="54" customWidth="1"/>
    <col min="45" max="45" width="14.125" style="54" customWidth="1"/>
    <col min="46" max="46" width="17.125" style="54" customWidth="1"/>
    <col min="47" max="47" width="8.5" style="54" customWidth="1"/>
    <col min="48" max="48" width="19" style="54" customWidth="1"/>
    <col min="49" max="49" width="17.125" style="54" customWidth="1"/>
    <col min="50" max="50" width="11.5" style="54" customWidth="1"/>
    <col min="51" max="51" width="12.375" style="54" customWidth="1"/>
    <col min="52" max="54" width="7.625" style="54" customWidth="1"/>
    <col min="55" max="55" width="64.375" style="54" customWidth="1"/>
    <col min="56" max="56" width="11" style="53" customWidth="1"/>
    <col min="57" max="16384" width="12.625" style="53"/>
  </cols>
  <sheetData>
    <row r="1" spans="1:55" s="56" customFormat="1" ht="15" customHeight="1" x14ac:dyDescent="0.3">
      <c r="A1" s="55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2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2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2" t="s">
        <v>47</v>
      </c>
      <c r="AX1" s="1" t="s">
        <v>48</v>
      </c>
      <c r="AY1" s="1" t="s">
        <v>49</v>
      </c>
      <c r="AZ1" s="2" t="s">
        <v>50</v>
      </c>
      <c r="BA1" s="2" t="s">
        <v>51</v>
      </c>
      <c r="BB1" s="1" t="s">
        <v>52</v>
      </c>
      <c r="BC1" s="1" t="s">
        <v>53</v>
      </c>
    </row>
    <row r="2" spans="1:55" ht="13.5" customHeight="1" x14ac:dyDescent="0.3">
      <c r="A2" s="3" t="s">
        <v>54</v>
      </c>
      <c r="B2" s="4" t="s">
        <v>55</v>
      </c>
      <c r="C2" s="3" t="s">
        <v>56</v>
      </c>
      <c r="D2" s="5" t="s">
        <v>57</v>
      </c>
      <c r="E2" s="5" t="s">
        <v>58</v>
      </c>
      <c r="F2" s="5" t="s">
        <v>59</v>
      </c>
      <c r="G2" s="5" t="s">
        <v>60</v>
      </c>
      <c r="H2" s="6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68</v>
      </c>
      <c r="P2" s="3" t="s">
        <v>69</v>
      </c>
      <c r="Q2" s="3" t="s">
        <v>70</v>
      </c>
      <c r="R2" s="3" t="s">
        <v>71</v>
      </c>
      <c r="S2" s="7" t="s">
        <v>72</v>
      </c>
      <c r="T2" s="3" t="s">
        <v>73</v>
      </c>
      <c r="U2" s="3" t="s">
        <v>74</v>
      </c>
      <c r="V2" s="3" t="s">
        <v>75</v>
      </c>
      <c r="W2" s="3" t="s">
        <v>76</v>
      </c>
      <c r="X2" s="3" t="s">
        <v>77</v>
      </c>
      <c r="Y2" s="8" t="s">
        <v>78</v>
      </c>
      <c r="Z2" s="8" t="s">
        <v>79</v>
      </c>
      <c r="AA2" s="6" t="s">
        <v>80</v>
      </c>
      <c r="AB2" s="3" t="s">
        <v>81</v>
      </c>
      <c r="AC2" s="3" t="s">
        <v>82</v>
      </c>
      <c r="AD2" s="3" t="s">
        <v>83</v>
      </c>
      <c r="AE2" s="3" t="s">
        <v>84</v>
      </c>
      <c r="AF2" s="8" t="s">
        <v>85</v>
      </c>
      <c r="AG2" s="9" t="s">
        <v>86</v>
      </c>
      <c r="AH2" s="8" t="s">
        <v>87</v>
      </c>
      <c r="AI2" s="8" t="s">
        <v>88</v>
      </c>
      <c r="AJ2" s="8" t="s">
        <v>89</v>
      </c>
      <c r="AK2" s="8" t="s">
        <v>90</v>
      </c>
      <c r="AL2" s="8" t="s">
        <v>91</v>
      </c>
      <c r="AM2" s="8" t="s">
        <v>92</v>
      </c>
      <c r="AN2" s="8" t="s">
        <v>93</v>
      </c>
      <c r="AO2" s="8" t="s">
        <v>94</v>
      </c>
      <c r="AP2" s="8" t="s">
        <v>95</v>
      </c>
      <c r="AQ2" s="6" t="s">
        <v>96</v>
      </c>
      <c r="AR2" s="6" t="s">
        <v>97</v>
      </c>
      <c r="AS2" s="6" t="s">
        <v>98</v>
      </c>
      <c r="AT2" s="6" t="s">
        <v>99</v>
      </c>
      <c r="AU2" s="6" t="s">
        <v>100</v>
      </c>
      <c r="AV2" s="6" t="s">
        <v>101</v>
      </c>
      <c r="AW2" s="8" t="s">
        <v>102</v>
      </c>
      <c r="AX2" s="6" t="s">
        <v>103</v>
      </c>
      <c r="AY2" s="6" t="s">
        <v>104</v>
      </c>
      <c r="AZ2" s="8" t="s">
        <v>105</v>
      </c>
      <c r="BA2" s="8" t="s">
        <v>106</v>
      </c>
      <c r="BB2" s="6" t="s">
        <v>107</v>
      </c>
      <c r="BC2" s="6" t="s">
        <v>108</v>
      </c>
    </row>
    <row r="3" spans="1:55" ht="15" customHeight="1" x14ac:dyDescent="0.3">
      <c r="A3" s="10">
        <f t="shared" ref="A3:A66" si="0">ROW()-2</f>
        <v>1</v>
      </c>
      <c r="B3" s="11">
        <v>150501</v>
      </c>
      <c r="C3" s="11" t="s">
        <v>109</v>
      </c>
      <c r="D3" s="12">
        <v>42142</v>
      </c>
      <c r="E3" s="12">
        <v>42142</v>
      </c>
      <c r="F3" s="12"/>
      <c r="G3" s="13"/>
      <c r="H3" s="14"/>
      <c r="I3" s="11" t="s">
        <v>110</v>
      </c>
      <c r="J3" s="15" t="str">
        <f t="shared" ref="J3:J66" si="1">LEFT(I3,6)</f>
        <v>831124</v>
      </c>
      <c r="K3" s="15" t="str">
        <f>MID($I3,3,2)</f>
        <v>11</v>
      </c>
      <c r="L3" s="15" t="str">
        <f t="shared" ref="L3:L66" si="2">IF(OR(MID($I3,8,1)="1",MID($I3,8,1)="3"),"남자",IF(OR(MID($I3,8,1)="2",MID($I3,8,1)="4"),"여자",""))</f>
        <v>남자</v>
      </c>
      <c r="M3" s="15">
        <f t="shared" ref="M3:M66" ca="1" si="3">YEAR(TODAY())-IF(OR(MID($I3,8,1)="1",MID($I3,8,1)="2"),19&amp;LEFT($I3,2),IF(OR(MID($I3,8,1)="3",MID($I3,8,1)="4"),20&amp;LEFT($I3,2),""))+1</f>
        <v>44</v>
      </c>
      <c r="N3" s="15" t="s">
        <v>111</v>
      </c>
      <c r="O3" s="15" t="s">
        <v>112</v>
      </c>
      <c r="P3" s="11" t="s">
        <v>113</v>
      </c>
      <c r="Q3" s="11"/>
      <c r="R3" s="11"/>
      <c r="S3" s="16"/>
      <c r="T3" s="15" t="s">
        <v>114</v>
      </c>
      <c r="U3" s="11"/>
      <c r="V3" s="15" t="str" cm="1">
        <f t="array" aca="1" ref="V3" ca="1">QUOTIENT(SUMPRODUCT(LEFT($W3:$X3,FIND("년",$W3:$X3)-1)*12+MID($W3:$X3,FIND("년",$W3:$X3)+1,FIND("개월",$W3:$X3)-FIND("년",$W3:$X3)-1)),12)&amp;"년"&amp;MOD(SUMPRODUCT(LEFT($W3:$X3,FIND("년",$W3:$X3)-1)*12+MID($W3:$X3,FIND("년",$W3:$X3)+1,FIND("개월",$W3:$X3)-FIND("년",$W3:$X3)-1)),12)&amp;"개월"</f>
        <v>10년8개월</v>
      </c>
      <c r="W3" s="15" t="s">
        <v>115</v>
      </c>
      <c r="X3" s="18" t="str">
        <f t="shared" ref="X3:X66" ca="1" si="4">DATEDIF($D3,TODAY(),"y")&amp;"년"&amp;DATEDIF($D3,TODAY(),"ym")&amp;"개월"</f>
        <v>10년8개월</v>
      </c>
      <c r="Y3" s="17"/>
      <c r="Z3" s="17"/>
      <c r="AA3" s="14" t="s">
        <v>116</v>
      </c>
      <c r="AB3" s="16"/>
      <c r="AC3" s="18">
        <f t="shared" ref="AC3:AC66" ca="1" si="5">VALUE(LEFT($V3,FIND("년",$V3)-1))</f>
        <v>10</v>
      </c>
      <c r="AD3" s="15" t="s">
        <v>117</v>
      </c>
      <c r="AE3" s="15" t="str">
        <f t="shared" ref="AE3:AE66" si="6">IF(ISNUMBER(SEARCH("산업기사",$AL3)),IF($AC3&gt;=13,"특급",IF($AC3&gt;=10,"고급",IF($AC3&gt;=7,"중급","초급"))),IF(ISNUMBER(SEARCH("기사",$AJ3)),IF($AC3&gt;=10,"특급",IF($AC3&gt;=7,"고급",IF($AC3&gt;=4,"중급","초급"))),"미해당"))</f>
        <v>미해당</v>
      </c>
      <c r="AF3" s="11"/>
      <c r="AG3" s="16"/>
      <c r="AH3" s="11"/>
      <c r="AI3" s="16"/>
      <c r="AJ3" s="11"/>
      <c r="AK3" s="11"/>
      <c r="AL3" s="19"/>
      <c r="AM3" s="11"/>
      <c r="AN3" s="20"/>
      <c r="AO3" s="21"/>
      <c r="AP3" s="21"/>
      <c r="AQ3" s="22" t="s">
        <v>118</v>
      </c>
      <c r="AR3" s="23"/>
      <c r="AS3" s="14"/>
      <c r="AT3" s="14"/>
      <c r="AU3" s="24" t="s">
        <v>119</v>
      </c>
      <c r="AV3" s="24" t="s">
        <v>120</v>
      </c>
      <c r="AW3" s="25" t="s">
        <v>121</v>
      </c>
      <c r="AX3" s="24" t="s">
        <v>122</v>
      </c>
      <c r="AY3" s="24" t="s">
        <v>123</v>
      </c>
      <c r="AZ3" s="17"/>
      <c r="BA3" s="17" t="s">
        <v>124</v>
      </c>
      <c r="BB3" s="26" t="str">
        <f>IFERROR(VLOOKUP($AY3,[1]프로젝트현황!Y:Z,2,0),"기타")</f>
        <v>서북권</v>
      </c>
      <c r="BC3" s="23" t="str">
        <f>(IF(AX3="","",AX3&amp;" "))&amp;(IF(AY3="","",AY3&amp;" "))&amp;(IF(AZ3="","",AZ3&amp;" "))&amp;BA3</f>
        <v>서울시 서대문구 세무서8길 30 홍제역 효성해링턴플레이스 113동 1802호</v>
      </c>
    </row>
    <row r="4" spans="1:55" ht="15" customHeight="1" x14ac:dyDescent="0.3">
      <c r="A4" s="10">
        <f t="shared" si="0"/>
        <v>2</v>
      </c>
      <c r="B4" s="11">
        <v>151201</v>
      </c>
      <c r="C4" s="11" t="s">
        <v>125</v>
      </c>
      <c r="D4" s="12">
        <v>42345</v>
      </c>
      <c r="E4" s="12">
        <v>42345</v>
      </c>
      <c r="F4" s="12">
        <v>43220</v>
      </c>
      <c r="G4" s="13"/>
      <c r="H4" s="14" t="s">
        <v>126</v>
      </c>
      <c r="I4" s="11" t="s">
        <v>127</v>
      </c>
      <c r="J4" s="15" t="str">
        <f t="shared" si="1"/>
        <v>821030</v>
      </c>
      <c r="K4" s="15" t="str">
        <f>MID($I4,3,2)</f>
        <v>10</v>
      </c>
      <c r="L4" s="15" t="str">
        <f t="shared" si="2"/>
        <v>남자</v>
      </c>
      <c r="M4" s="15">
        <f t="shared" ca="1" si="3"/>
        <v>45</v>
      </c>
      <c r="N4" s="15" t="s">
        <v>111</v>
      </c>
      <c r="O4" s="15" t="s">
        <v>112</v>
      </c>
      <c r="P4" s="11" t="s">
        <v>128</v>
      </c>
      <c r="Q4" s="11"/>
      <c r="R4" s="11" t="s">
        <v>129</v>
      </c>
      <c r="S4" s="16">
        <v>45267</v>
      </c>
      <c r="T4" s="15" t="s">
        <v>114</v>
      </c>
      <c r="U4" s="11"/>
      <c r="V4" s="15" t="str">
        <f t="shared" ref="V4:V67" ca="1" si="7">QUOTIENT(SUMPRODUCT(LEFT($W4:$X4,FIND("년",$W4:$X4)-1)*12+MID($W4:$X4,FIND("년",$W4:$X4)+1,FIND("개월",$W4:$X4)-FIND("년",$W4:$X4)-1)),12)&amp;"년"&amp;MOD(SUMPRODUCT(LEFT($W4:$X4,FIND("년",$W4:$X4)-1)*12+MID($W4:$X4,FIND("년",$W4:$X4)+1,FIND("개월",$W4:$X4)-FIND("년",$W4:$X4)-1)),12)&amp;"개월"</f>
        <v>21년0개월</v>
      </c>
      <c r="W4" s="15" t="s">
        <v>130</v>
      </c>
      <c r="X4" s="18" t="str">
        <f t="shared" ca="1" si="4"/>
        <v>10년2개월</v>
      </c>
      <c r="Y4" s="17" t="s">
        <v>131</v>
      </c>
      <c r="Z4" s="17" t="s">
        <v>132</v>
      </c>
      <c r="AA4" s="14" t="s">
        <v>116</v>
      </c>
      <c r="AB4" s="16">
        <v>37672</v>
      </c>
      <c r="AC4" s="18">
        <f t="shared" ca="1" si="5"/>
        <v>21</v>
      </c>
      <c r="AD4" s="15" t="str">
        <f ca="1">IF($AA4="전문학사",IF($AC4&lt;=8,"초급",IF($AC4&lt;12,"중급",IF($AC4&lt;15,"고급",IF($AC4&gt;=15,"특급")))))</f>
        <v>특급</v>
      </c>
      <c r="AE4" s="15" t="str">
        <f t="shared" si="6"/>
        <v>미해당</v>
      </c>
      <c r="AF4" s="11"/>
      <c r="AG4" s="16"/>
      <c r="AH4" s="11" t="s">
        <v>87</v>
      </c>
      <c r="AI4" s="16">
        <v>2017.03</v>
      </c>
      <c r="AJ4" s="11"/>
      <c r="AK4" s="11"/>
      <c r="AL4" s="19"/>
      <c r="AM4" s="11"/>
      <c r="AN4" s="20" t="s">
        <v>133</v>
      </c>
      <c r="AO4" s="21" t="s">
        <v>134</v>
      </c>
      <c r="AP4" s="21">
        <v>2017.03</v>
      </c>
      <c r="AQ4" s="22" t="s">
        <v>135</v>
      </c>
      <c r="AR4" s="23" t="s">
        <v>136</v>
      </c>
      <c r="AS4" s="14" t="s">
        <v>137</v>
      </c>
      <c r="AT4" s="14" t="s">
        <v>138</v>
      </c>
      <c r="AU4" s="24" t="s">
        <v>119</v>
      </c>
      <c r="AV4" s="24" t="s">
        <v>139</v>
      </c>
      <c r="AW4" s="25" t="s">
        <v>140</v>
      </c>
      <c r="AX4" s="24" t="s">
        <v>141</v>
      </c>
      <c r="AY4" s="24" t="s">
        <v>142</v>
      </c>
      <c r="AZ4" s="17" t="s">
        <v>143</v>
      </c>
      <c r="BA4" s="17" t="s">
        <v>144</v>
      </c>
      <c r="BB4" s="26" t="str">
        <f>IFERROR(VLOOKUP($AY4,[1]프로젝트현황!Y:Z,2,0),"기타")</f>
        <v>서북권</v>
      </c>
      <c r="BC4" s="23" t="str">
        <f>(IF(AX4="","",AX4&amp;" "))&amp;(IF(AY4="","",AY4&amp;" "))&amp;(IF(AZ4="","",AZ4&amp;" "))&amp;BA4</f>
        <v>경기도 고양시 덕양구 덕양구 성신로99, 1909 1501호(행신동, 햇빛마을 19단지 공무원 아파트)</v>
      </c>
    </row>
    <row r="5" spans="1:55" ht="15" customHeight="1" x14ac:dyDescent="0.3">
      <c r="A5" s="10">
        <f t="shared" si="0"/>
        <v>3</v>
      </c>
      <c r="B5" s="11">
        <v>170702</v>
      </c>
      <c r="C5" s="11" t="s">
        <v>145</v>
      </c>
      <c r="D5" s="12">
        <v>42926</v>
      </c>
      <c r="E5" s="12">
        <v>42926</v>
      </c>
      <c r="F5" s="12"/>
      <c r="G5" s="13"/>
      <c r="H5" s="14"/>
      <c r="I5" s="11" t="s">
        <v>146</v>
      </c>
      <c r="J5" s="15" t="str">
        <f t="shared" si="1"/>
        <v>830509</v>
      </c>
      <c r="K5" s="15" t="str">
        <f>MID($I5,3,2)</f>
        <v>05</v>
      </c>
      <c r="L5" s="15" t="str">
        <f t="shared" si="2"/>
        <v>여자</v>
      </c>
      <c r="M5" s="15">
        <f t="shared" ca="1" si="3"/>
        <v>44</v>
      </c>
      <c r="N5" s="15" t="s">
        <v>111</v>
      </c>
      <c r="O5" s="15" t="s">
        <v>112</v>
      </c>
      <c r="P5" s="11" t="s">
        <v>147</v>
      </c>
      <c r="Q5" s="11"/>
      <c r="R5" s="11"/>
      <c r="S5" s="16"/>
      <c r="T5" s="15" t="s">
        <v>114</v>
      </c>
      <c r="U5" s="11"/>
      <c r="V5" s="15" t="str">
        <f t="shared" ca="1" si="7"/>
        <v>13년4개월</v>
      </c>
      <c r="W5" s="15" t="s">
        <v>148</v>
      </c>
      <c r="X5" s="18" t="str">
        <f t="shared" ca="1" si="4"/>
        <v>8년7개월</v>
      </c>
      <c r="Y5" s="17" t="s">
        <v>149</v>
      </c>
      <c r="Z5" s="17" t="s">
        <v>150</v>
      </c>
      <c r="AA5" s="14" t="s">
        <v>116</v>
      </c>
      <c r="AB5" s="16">
        <v>38765</v>
      </c>
      <c r="AC5" s="18">
        <f t="shared" ca="1" si="5"/>
        <v>13</v>
      </c>
      <c r="AD5" s="15" t="b">
        <f>IF($ZE3="전문학사",IF($AC5&lt;=8,"초급",IF($AC5&lt;12,"중급",IF($AC5&lt;15,"고급",IF($AC5&gt;=15,"특급")))))</f>
        <v>0</v>
      </c>
      <c r="AE5" s="15" t="str">
        <f t="shared" si="6"/>
        <v>미해당</v>
      </c>
      <c r="AF5" s="11"/>
      <c r="AG5" s="16"/>
      <c r="AH5" s="11"/>
      <c r="AI5" s="16"/>
      <c r="AJ5" s="11"/>
      <c r="AK5" s="11"/>
      <c r="AL5" s="19"/>
      <c r="AM5" s="11"/>
      <c r="AN5" s="20" t="s">
        <v>151</v>
      </c>
      <c r="AO5" s="21" t="s">
        <v>152</v>
      </c>
      <c r="AP5" s="21" t="s">
        <v>153</v>
      </c>
      <c r="AQ5" s="22" t="s">
        <v>154</v>
      </c>
      <c r="AR5" s="23" t="s">
        <v>155</v>
      </c>
      <c r="AS5" s="14" t="s">
        <v>137</v>
      </c>
      <c r="AT5" s="14" t="s">
        <v>156</v>
      </c>
      <c r="AU5" s="24" t="s">
        <v>157</v>
      </c>
      <c r="AV5" s="24" t="s">
        <v>158</v>
      </c>
      <c r="AW5" s="25" t="s">
        <v>159</v>
      </c>
      <c r="AX5" s="24" t="s">
        <v>122</v>
      </c>
      <c r="AY5" s="24" t="s">
        <v>160</v>
      </c>
      <c r="AZ5" s="17"/>
      <c r="BA5" s="17" t="s">
        <v>161</v>
      </c>
      <c r="BB5" s="26" t="str">
        <f>IFERROR(VLOOKUP($AY5,[1]프로젝트현황!Y:Z,2,0),"기타")</f>
        <v>서남권</v>
      </c>
      <c r="BC5" s="23" t="str">
        <f>(IF(AX5="","",AX5&amp;" "))&amp;(IF(AY5="","",AY5&amp;" "))&amp;(IF(AZ5="","",AZ5&amp;" "))&amp;AZE3</f>
        <v xml:space="preserve">서울시 금천구 </v>
      </c>
    </row>
    <row r="6" spans="1:55" ht="15" customHeight="1" x14ac:dyDescent="0.3">
      <c r="A6" s="10">
        <f t="shared" si="0"/>
        <v>4</v>
      </c>
      <c r="B6" s="11">
        <v>170801</v>
      </c>
      <c r="C6" s="11" t="s">
        <v>162</v>
      </c>
      <c r="D6" s="12">
        <v>42948</v>
      </c>
      <c r="E6" s="12">
        <v>42948</v>
      </c>
      <c r="F6" s="12"/>
      <c r="G6" s="13"/>
      <c r="H6" s="14" t="s">
        <v>163</v>
      </c>
      <c r="I6" s="11" t="s">
        <v>164</v>
      </c>
      <c r="J6" s="15" t="str">
        <f t="shared" si="1"/>
        <v>890218</v>
      </c>
      <c r="K6" s="15">
        <v>3</v>
      </c>
      <c r="L6" s="15" t="str">
        <f t="shared" si="2"/>
        <v>남자</v>
      </c>
      <c r="M6" s="15">
        <f t="shared" ca="1" si="3"/>
        <v>38</v>
      </c>
      <c r="N6" s="15" t="s">
        <v>165</v>
      </c>
      <c r="O6" s="15" t="s">
        <v>112</v>
      </c>
      <c r="P6" s="11" t="s">
        <v>166</v>
      </c>
      <c r="Q6" s="11"/>
      <c r="R6" s="11" t="s">
        <v>167</v>
      </c>
      <c r="S6" s="16"/>
      <c r="T6" s="15" t="s">
        <v>114</v>
      </c>
      <c r="U6" s="11"/>
      <c r="V6" s="15" t="str">
        <f t="shared" ca="1" si="7"/>
        <v>8년8개월</v>
      </c>
      <c r="W6" s="15" t="s">
        <v>168</v>
      </c>
      <c r="X6" s="18" t="str">
        <f t="shared" ca="1" si="4"/>
        <v>8년6개월</v>
      </c>
      <c r="Y6" s="17" t="s">
        <v>169</v>
      </c>
      <c r="Z6" s="17" t="s">
        <v>170</v>
      </c>
      <c r="AA6" s="14" t="s">
        <v>171</v>
      </c>
      <c r="AB6" s="16">
        <v>41684</v>
      </c>
      <c r="AC6" s="18">
        <f t="shared" ca="1" si="5"/>
        <v>8</v>
      </c>
      <c r="AD6" s="15" t="str">
        <f ca="1">IF($AA6="학사",IF($AC6&lt;=5,"초급",IF($AC6&lt;9,"중급",IF($AC6&lt;12,"고급",IF($AC6&gt;=12,"특급")))))</f>
        <v>중급</v>
      </c>
      <c r="AE6" s="15" t="str">
        <f t="shared" si="6"/>
        <v>미해당</v>
      </c>
      <c r="AF6" s="11"/>
      <c r="AG6" s="16"/>
      <c r="AH6" s="11"/>
      <c r="AI6" s="16"/>
      <c r="AJ6" s="11"/>
      <c r="AK6" s="11"/>
      <c r="AL6" s="19"/>
      <c r="AM6" s="11"/>
      <c r="AN6" s="20" t="s">
        <v>172</v>
      </c>
      <c r="AO6" s="21" t="s">
        <v>173</v>
      </c>
      <c r="AP6" s="21" t="s">
        <v>174</v>
      </c>
      <c r="AQ6" s="22" t="s">
        <v>154</v>
      </c>
      <c r="AR6" s="23" t="s">
        <v>155</v>
      </c>
      <c r="AS6" s="14" t="s">
        <v>137</v>
      </c>
      <c r="AT6" s="14" t="s">
        <v>175</v>
      </c>
      <c r="AU6" s="24" t="s">
        <v>176</v>
      </c>
      <c r="AV6" s="24" t="s">
        <v>177</v>
      </c>
      <c r="AW6" s="25" t="s">
        <v>178</v>
      </c>
      <c r="AX6" s="24" t="s">
        <v>141</v>
      </c>
      <c r="AY6" s="24" t="s">
        <v>179</v>
      </c>
      <c r="AZ6" s="17" t="s">
        <v>180</v>
      </c>
      <c r="BA6" s="17" t="s">
        <v>181</v>
      </c>
      <c r="BB6" s="26" t="str">
        <f>IFERROR(VLOOKUP($AY6,[1]프로젝트현황!Y:Z,2,0),"기타")</f>
        <v>서남권</v>
      </c>
      <c r="BC6" s="23" t="str">
        <f t="shared" ref="BC6:BC49" si="8">(IF(AX6="","",AX6&amp;" "))&amp;(IF(AY6="","",AY6&amp;" "))&amp;(IF(AZ6="","",AZ6&amp;" "))&amp;BA6</f>
        <v>경기도 안산시 단원구 단원구 광덕3로 241, 4층 (고잔동 760-2)</v>
      </c>
    </row>
    <row r="7" spans="1:55" ht="15" customHeight="1" x14ac:dyDescent="0.3">
      <c r="A7" s="10">
        <f t="shared" si="0"/>
        <v>5</v>
      </c>
      <c r="B7" s="11">
        <v>170803</v>
      </c>
      <c r="C7" s="11" t="s">
        <v>182</v>
      </c>
      <c r="D7" s="12">
        <v>42948</v>
      </c>
      <c r="E7" s="12">
        <v>42948</v>
      </c>
      <c r="F7" s="12"/>
      <c r="G7" s="13"/>
      <c r="H7" s="14" t="s">
        <v>183</v>
      </c>
      <c r="I7" s="11" t="s">
        <v>184</v>
      </c>
      <c r="J7" s="15" t="str">
        <f t="shared" si="1"/>
        <v>860429</v>
      </c>
      <c r="K7" s="15" t="str">
        <f t="shared" ref="K7:K70" si="9">MID($I7,3,2)</f>
        <v>04</v>
      </c>
      <c r="L7" s="15" t="str">
        <f t="shared" si="2"/>
        <v>남자</v>
      </c>
      <c r="M7" s="15">
        <f t="shared" ca="1" si="3"/>
        <v>41</v>
      </c>
      <c r="N7" s="15" t="s">
        <v>111</v>
      </c>
      <c r="O7" s="15" t="s">
        <v>112</v>
      </c>
      <c r="P7" s="11" t="s">
        <v>185</v>
      </c>
      <c r="Q7" s="11"/>
      <c r="R7" s="11"/>
      <c r="S7" s="16"/>
      <c r="T7" s="15" t="s">
        <v>114</v>
      </c>
      <c r="U7" s="11"/>
      <c r="V7" s="15" t="str">
        <f t="shared" ca="1" si="7"/>
        <v>16년11개월</v>
      </c>
      <c r="W7" s="15" t="s">
        <v>186</v>
      </c>
      <c r="X7" s="18" t="str">
        <f t="shared" ca="1" si="4"/>
        <v>8년6개월</v>
      </c>
      <c r="Y7" s="17" t="s">
        <v>187</v>
      </c>
      <c r="Z7" s="17" t="s">
        <v>188</v>
      </c>
      <c r="AA7" s="14" t="s">
        <v>116</v>
      </c>
      <c r="AB7" s="16">
        <v>39492</v>
      </c>
      <c r="AC7" s="18">
        <f t="shared" ca="1" si="5"/>
        <v>16</v>
      </c>
      <c r="AD7" s="15" t="str">
        <f ca="1">IF($AA7="전문학사",IF($AC7&lt;=8,"초급",IF($AC7&lt;12,"중급",IF($AC7&lt;15,"고급",IF($AC7&gt;=15,"특급")))))</f>
        <v>특급</v>
      </c>
      <c r="AE7" s="15" t="str">
        <f t="shared" si="6"/>
        <v>미해당</v>
      </c>
      <c r="AF7" s="11" t="s">
        <v>85</v>
      </c>
      <c r="AG7" s="16">
        <v>44794</v>
      </c>
      <c r="AH7" s="11" t="s">
        <v>87</v>
      </c>
      <c r="AI7" s="16">
        <v>44035</v>
      </c>
      <c r="AJ7" s="11"/>
      <c r="AK7" s="11"/>
      <c r="AL7" s="19"/>
      <c r="AM7" s="11"/>
      <c r="AN7" s="20"/>
      <c r="AO7" s="21" t="s">
        <v>189</v>
      </c>
      <c r="AP7" s="21" t="s">
        <v>190</v>
      </c>
      <c r="AQ7" s="22" t="s">
        <v>154</v>
      </c>
      <c r="AR7" s="23" t="s">
        <v>155</v>
      </c>
      <c r="AS7" s="14" t="s">
        <v>137</v>
      </c>
      <c r="AT7" s="14" t="s">
        <v>191</v>
      </c>
      <c r="AU7" s="24" t="s">
        <v>157</v>
      </c>
      <c r="AV7" s="24" t="s">
        <v>192</v>
      </c>
      <c r="AW7" s="25" t="s">
        <v>193</v>
      </c>
      <c r="AX7" s="24" t="s">
        <v>141</v>
      </c>
      <c r="AY7" s="24" t="s">
        <v>194</v>
      </c>
      <c r="AZ7" s="17" t="s">
        <v>195</v>
      </c>
      <c r="BA7" s="17" t="s">
        <v>196</v>
      </c>
      <c r="BB7" s="26" t="str">
        <f>IFERROR(VLOOKUP($AY7,[1]프로젝트현황!Y:Z,2,0),"기타")</f>
        <v>동남권</v>
      </c>
      <c r="BC7" s="23" t="str">
        <f t="shared" si="8"/>
        <v>경기도 수원시 팔달구 경수대로 534, 102동 401호 (인계동 945, 인계극동스타클래스)</v>
      </c>
    </row>
    <row r="8" spans="1:55" ht="15" customHeight="1" x14ac:dyDescent="0.3">
      <c r="A8" s="10">
        <f t="shared" si="0"/>
        <v>6</v>
      </c>
      <c r="B8" s="11">
        <v>170904</v>
      </c>
      <c r="C8" s="11" t="s">
        <v>197</v>
      </c>
      <c r="D8" s="12">
        <v>42982</v>
      </c>
      <c r="E8" s="12">
        <v>42982</v>
      </c>
      <c r="F8" s="12"/>
      <c r="G8" s="13"/>
      <c r="H8" s="14" t="s">
        <v>198</v>
      </c>
      <c r="I8" s="11" t="s">
        <v>199</v>
      </c>
      <c r="J8" s="15" t="str">
        <f t="shared" si="1"/>
        <v>900424</v>
      </c>
      <c r="K8" s="15" t="str">
        <f t="shared" si="9"/>
        <v>04</v>
      </c>
      <c r="L8" s="15" t="str">
        <f t="shared" si="2"/>
        <v>여자</v>
      </c>
      <c r="M8" s="15">
        <f t="shared" ca="1" si="3"/>
        <v>37</v>
      </c>
      <c r="N8" s="15" t="s">
        <v>111</v>
      </c>
      <c r="O8" s="15" t="s">
        <v>112</v>
      </c>
      <c r="P8" s="11" t="s">
        <v>200</v>
      </c>
      <c r="Q8" s="11"/>
      <c r="R8" s="11" t="s">
        <v>167</v>
      </c>
      <c r="S8" s="16"/>
      <c r="T8" s="15" t="s">
        <v>114</v>
      </c>
      <c r="U8" s="11"/>
      <c r="V8" s="15" t="str">
        <f t="shared" ca="1" si="7"/>
        <v>13년1개월</v>
      </c>
      <c r="W8" s="15" t="s">
        <v>201</v>
      </c>
      <c r="X8" s="18" t="str">
        <f t="shared" ca="1" si="4"/>
        <v>8년5개월</v>
      </c>
      <c r="Y8" s="17" t="s">
        <v>202</v>
      </c>
      <c r="Z8" s="17" t="s">
        <v>203</v>
      </c>
      <c r="AA8" s="14" t="s">
        <v>116</v>
      </c>
      <c r="AB8" s="16">
        <v>40585</v>
      </c>
      <c r="AC8" s="18">
        <f t="shared" ca="1" si="5"/>
        <v>13</v>
      </c>
      <c r="AD8" s="15" t="str">
        <f ca="1">IF($AA8="전문학사",IF($AC8&lt;=8,"초급",IF($AC8&lt;12,"중급",IF($AC8&lt;15,"고급",IF($AC8&gt;=15,"특급")))))</f>
        <v>고급</v>
      </c>
      <c r="AE8" s="15" t="str">
        <f t="shared" si="6"/>
        <v>미해당</v>
      </c>
      <c r="AF8" s="11"/>
      <c r="AG8" s="16"/>
      <c r="AH8" s="11"/>
      <c r="AI8" s="16"/>
      <c r="AJ8" s="11"/>
      <c r="AK8" s="11"/>
      <c r="AL8" s="19"/>
      <c r="AM8" s="11"/>
      <c r="AN8" s="20" t="s">
        <v>204</v>
      </c>
      <c r="AO8" s="21" t="s">
        <v>205</v>
      </c>
      <c r="AP8" s="21" t="s">
        <v>206</v>
      </c>
      <c r="AQ8" s="22" t="s">
        <v>154</v>
      </c>
      <c r="AR8" s="23" t="s">
        <v>155</v>
      </c>
      <c r="AS8" s="14" t="s">
        <v>137</v>
      </c>
      <c r="AT8" s="14" t="s">
        <v>207</v>
      </c>
      <c r="AU8" s="24" t="s">
        <v>157</v>
      </c>
      <c r="AV8" s="24" t="s">
        <v>208</v>
      </c>
      <c r="AW8" s="25" t="s">
        <v>209</v>
      </c>
      <c r="AX8" s="24" t="s">
        <v>141</v>
      </c>
      <c r="AY8" s="24" t="s">
        <v>194</v>
      </c>
      <c r="AZ8" s="17" t="s">
        <v>210</v>
      </c>
      <c r="BA8" s="17" t="s">
        <v>211</v>
      </c>
      <c r="BB8" s="26" t="str">
        <f>IFERROR(VLOOKUP($AY8,[1]프로젝트현황!Y:Z,2,0),"기타")</f>
        <v>동남권</v>
      </c>
      <c r="BC8" s="23" t="str">
        <f t="shared" si="8"/>
        <v>경기도 수원시 권선구 경수대로 302번길 29, 4동 501호 (권선제2동 1185-1, 권선삼성아파트)</v>
      </c>
    </row>
    <row r="9" spans="1:55" ht="15" customHeight="1" x14ac:dyDescent="0.3">
      <c r="A9" s="10">
        <f t="shared" si="0"/>
        <v>7</v>
      </c>
      <c r="B9" s="11">
        <v>180501</v>
      </c>
      <c r="C9" s="11" t="s">
        <v>212</v>
      </c>
      <c r="D9" s="12">
        <v>43244</v>
      </c>
      <c r="E9" s="12">
        <v>43244</v>
      </c>
      <c r="F9" s="12"/>
      <c r="G9" s="13"/>
      <c r="H9" s="14" t="s">
        <v>213</v>
      </c>
      <c r="I9" s="11" t="s">
        <v>214</v>
      </c>
      <c r="J9" s="15" t="str">
        <f t="shared" si="1"/>
        <v>810306</v>
      </c>
      <c r="K9" s="15" t="str">
        <f t="shared" si="9"/>
        <v>03</v>
      </c>
      <c r="L9" s="15" t="str">
        <f t="shared" si="2"/>
        <v>남자</v>
      </c>
      <c r="M9" s="15">
        <f t="shared" ca="1" si="3"/>
        <v>46</v>
      </c>
      <c r="N9" s="15" t="s">
        <v>111</v>
      </c>
      <c r="O9" s="15" t="s">
        <v>112</v>
      </c>
      <c r="P9" s="11" t="s">
        <v>215</v>
      </c>
      <c r="Q9" s="11"/>
      <c r="R9" s="11"/>
      <c r="S9" s="16"/>
      <c r="T9" s="15" t="s">
        <v>114</v>
      </c>
      <c r="U9" s="11"/>
      <c r="V9" s="15" t="str">
        <f t="shared" ca="1" si="7"/>
        <v>17년6개월</v>
      </c>
      <c r="W9" s="15" t="s">
        <v>216</v>
      </c>
      <c r="X9" s="18" t="str">
        <f t="shared" ca="1" si="4"/>
        <v>7년8개월</v>
      </c>
      <c r="Y9" s="17" t="s">
        <v>202</v>
      </c>
      <c r="Z9" s="17" t="s">
        <v>217</v>
      </c>
      <c r="AA9" s="14" t="s">
        <v>116</v>
      </c>
      <c r="AB9" s="16">
        <v>38401</v>
      </c>
      <c r="AC9" s="18">
        <f t="shared" ca="1" si="5"/>
        <v>17</v>
      </c>
      <c r="AD9" s="15" t="str">
        <f ca="1">IF($AA9="전문학사",IF($AC9&lt;=8,"초급",IF($AC9&lt;12,"중급",IF($AC9&lt;15,"고급",IF($AC9&gt;=15,"특급")))))</f>
        <v>특급</v>
      </c>
      <c r="AE9" s="15" t="str">
        <f t="shared" si="6"/>
        <v>미해당</v>
      </c>
      <c r="AF9" s="11"/>
      <c r="AG9" s="16"/>
      <c r="AH9" s="11"/>
      <c r="AI9" s="16"/>
      <c r="AJ9" s="11"/>
      <c r="AK9" s="11"/>
      <c r="AL9" s="19"/>
      <c r="AM9" s="11"/>
      <c r="AN9" s="20" t="s">
        <v>218</v>
      </c>
      <c r="AO9" s="21" t="s">
        <v>219</v>
      </c>
      <c r="AP9" s="21" t="s">
        <v>220</v>
      </c>
      <c r="AQ9" s="22" t="s">
        <v>154</v>
      </c>
      <c r="AR9" s="23" t="s">
        <v>155</v>
      </c>
      <c r="AS9" s="14" t="s">
        <v>137</v>
      </c>
      <c r="AT9" s="14" t="s">
        <v>221</v>
      </c>
      <c r="AU9" s="24" t="s">
        <v>157</v>
      </c>
      <c r="AV9" s="24" t="s">
        <v>222</v>
      </c>
      <c r="AW9" s="25" t="s">
        <v>223</v>
      </c>
      <c r="AX9" s="24" t="s">
        <v>141</v>
      </c>
      <c r="AY9" s="24" t="s">
        <v>224</v>
      </c>
      <c r="AZ9" s="17" t="s">
        <v>225</v>
      </c>
      <c r="BA9" s="17" t="s">
        <v>226</v>
      </c>
      <c r="BB9" s="26" t="str">
        <f>IFERROR(VLOOKUP($AY9,[1]프로젝트현황!Y:Z,2,0),"기타")</f>
        <v>동남권</v>
      </c>
      <c r="BC9" s="23" t="str">
        <f t="shared" si="8"/>
        <v>경기도 성남시 수정구 수정로 251번길 22 신원빌리지 102동 302호</v>
      </c>
    </row>
    <row r="10" spans="1:55" ht="15" customHeight="1" x14ac:dyDescent="0.3">
      <c r="A10" s="10">
        <f t="shared" si="0"/>
        <v>8</v>
      </c>
      <c r="B10" s="11">
        <v>180601</v>
      </c>
      <c r="C10" s="11" t="s">
        <v>227</v>
      </c>
      <c r="D10" s="12">
        <v>43262</v>
      </c>
      <c r="E10" s="12">
        <v>43262</v>
      </c>
      <c r="F10" s="12"/>
      <c r="G10" s="13"/>
      <c r="H10" s="14" t="s">
        <v>228</v>
      </c>
      <c r="I10" s="11" t="s">
        <v>229</v>
      </c>
      <c r="J10" s="15" t="str">
        <f t="shared" si="1"/>
        <v>920409</v>
      </c>
      <c r="K10" s="15" t="str">
        <f t="shared" si="9"/>
        <v>04</v>
      </c>
      <c r="L10" s="15" t="str">
        <f t="shared" si="2"/>
        <v>남자</v>
      </c>
      <c r="M10" s="15">
        <f t="shared" ca="1" si="3"/>
        <v>35</v>
      </c>
      <c r="N10" s="15" t="s">
        <v>111</v>
      </c>
      <c r="O10" s="15" t="s">
        <v>112</v>
      </c>
      <c r="P10" s="11" t="s">
        <v>230</v>
      </c>
      <c r="Q10" s="11"/>
      <c r="R10" s="11" t="s">
        <v>167</v>
      </c>
      <c r="S10" s="16"/>
      <c r="T10" s="15" t="s">
        <v>114</v>
      </c>
      <c r="U10" s="11"/>
      <c r="V10" s="15" t="str">
        <f t="shared" ca="1" si="7"/>
        <v>9년3개월</v>
      </c>
      <c r="W10" s="15" t="s">
        <v>231</v>
      </c>
      <c r="X10" s="18" t="str">
        <f t="shared" ca="1" si="4"/>
        <v>7년7개월</v>
      </c>
      <c r="Y10" s="17" t="s">
        <v>202</v>
      </c>
      <c r="Z10" s="17" t="s">
        <v>232</v>
      </c>
      <c r="AA10" s="14" t="s">
        <v>116</v>
      </c>
      <c r="AB10" s="16">
        <v>42412</v>
      </c>
      <c r="AC10" s="18">
        <f t="shared" ca="1" si="5"/>
        <v>9</v>
      </c>
      <c r="AD10" s="15" t="str">
        <f ca="1">IF($AA10="전문학사",IF($AC10&lt;=8,"초급",IF($AC10&lt;12,"중급",IF($AC10&lt;15,"고급",IF($AC10&gt;=15,"특급")))))</f>
        <v>중급</v>
      </c>
      <c r="AE10" s="15" t="str">
        <f t="shared" si="6"/>
        <v>미해당</v>
      </c>
      <c r="AF10" s="11"/>
      <c r="AG10" s="16"/>
      <c r="AH10" s="11"/>
      <c r="AI10" s="16"/>
      <c r="AJ10" s="11"/>
      <c r="AK10" s="11"/>
      <c r="AL10" s="19"/>
      <c r="AM10" s="11"/>
      <c r="AN10" s="20"/>
      <c r="AO10" s="21"/>
      <c r="AP10" s="21"/>
      <c r="AQ10" s="22" t="s">
        <v>154</v>
      </c>
      <c r="AR10" s="23" t="s">
        <v>155</v>
      </c>
      <c r="AS10" s="14" t="s">
        <v>137</v>
      </c>
      <c r="AT10" s="14" t="s">
        <v>233</v>
      </c>
      <c r="AU10" s="24" t="s">
        <v>157</v>
      </c>
      <c r="AV10" s="24" t="s">
        <v>234</v>
      </c>
      <c r="AW10" s="25" t="s">
        <v>235</v>
      </c>
      <c r="AX10" s="24" t="s">
        <v>122</v>
      </c>
      <c r="AY10" s="24" t="s">
        <v>236</v>
      </c>
      <c r="AZ10" s="17"/>
      <c r="BA10" s="17" t="s">
        <v>237</v>
      </c>
      <c r="BB10" s="26" t="str">
        <f>IFERROR(VLOOKUP($AY10,[1]프로젝트현황!Y:Z,2,0),"기타")</f>
        <v>서남권</v>
      </c>
      <c r="BC10" s="23" t="str">
        <f t="shared" si="8"/>
        <v>서울시 구로구 부일로17길 147 4층</v>
      </c>
    </row>
    <row r="11" spans="1:55" ht="15" customHeight="1" x14ac:dyDescent="0.3">
      <c r="A11" s="10">
        <f t="shared" si="0"/>
        <v>9</v>
      </c>
      <c r="B11" s="11">
        <v>190102</v>
      </c>
      <c r="C11" s="11" t="s">
        <v>238</v>
      </c>
      <c r="D11" s="12">
        <v>43467</v>
      </c>
      <c r="E11" s="12">
        <v>43467</v>
      </c>
      <c r="F11" s="12"/>
      <c r="G11" s="13"/>
      <c r="H11" s="14" t="s">
        <v>239</v>
      </c>
      <c r="I11" s="11" t="s">
        <v>240</v>
      </c>
      <c r="J11" s="15" t="str">
        <f t="shared" si="1"/>
        <v>920208</v>
      </c>
      <c r="K11" s="15" t="str">
        <f t="shared" si="9"/>
        <v>02</v>
      </c>
      <c r="L11" s="15" t="str">
        <f t="shared" si="2"/>
        <v>남자</v>
      </c>
      <c r="M11" s="15">
        <f t="shared" ca="1" si="3"/>
        <v>35</v>
      </c>
      <c r="N11" s="15" t="s">
        <v>111</v>
      </c>
      <c r="O11" s="15" t="s">
        <v>112</v>
      </c>
      <c r="P11" s="11" t="s">
        <v>241</v>
      </c>
      <c r="Q11" s="11"/>
      <c r="R11" s="11" t="s">
        <v>167</v>
      </c>
      <c r="S11" s="16"/>
      <c r="T11" s="15" t="s">
        <v>114</v>
      </c>
      <c r="U11" s="11"/>
      <c r="V11" s="15" t="str">
        <f t="shared" ca="1" si="7"/>
        <v>8년4개월</v>
      </c>
      <c r="W11" s="15" t="s">
        <v>242</v>
      </c>
      <c r="X11" s="18" t="str">
        <f t="shared" ca="1" si="4"/>
        <v>7년1개월</v>
      </c>
      <c r="Y11" s="17" t="s">
        <v>243</v>
      </c>
      <c r="Z11" s="17" t="s">
        <v>244</v>
      </c>
      <c r="AA11" s="14" t="s">
        <v>116</v>
      </c>
      <c r="AB11" s="16">
        <v>42050</v>
      </c>
      <c r="AC11" s="18">
        <f t="shared" ca="1" si="5"/>
        <v>8</v>
      </c>
      <c r="AD11" s="15" t="str">
        <f ca="1">IF($AA11="전문학사",IF($AC11&lt;=8,"초급",IF($AC11&lt;12,"중급",IF($AC11&lt;15,"고급",IF($AC11&gt;=15,"특급")))))</f>
        <v>초급</v>
      </c>
      <c r="AE11" s="15" t="str">
        <f t="shared" si="6"/>
        <v>미해당</v>
      </c>
      <c r="AF11" s="11"/>
      <c r="AG11" s="16"/>
      <c r="AH11" s="11" t="s">
        <v>87</v>
      </c>
      <c r="AI11" s="16">
        <v>2017.12</v>
      </c>
      <c r="AJ11" s="11"/>
      <c r="AK11" s="11"/>
      <c r="AL11" s="19"/>
      <c r="AM11" s="11"/>
      <c r="AN11" s="20"/>
      <c r="AO11" s="21" t="s">
        <v>134</v>
      </c>
      <c r="AP11" s="21" t="s">
        <v>245</v>
      </c>
      <c r="AQ11" s="22" t="s">
        <v>154</v>
      </c>
      <c r="AR11" s="23" t="s">
        <v>155</v>
      </c>
      <c r="AS11" s="14" t="s">
        <v>137</v>
      </c>
      <c r="AT11" s="14" t="s">
        <v>246</v>
      </c>
      <c r="AU11" s="24" t="s">
        <v>157</v>
      </c>
      <c r="AV11" s="24" t="s">
        <v>247</v>
      </c>
      <c r="AW11" s="25" t="s">
        <v>248</v>
      </c>
      <c r="AX11" s="24" t="s">
        <v>141</v>
      </c>
      <c r="AY11" s="24" t="s">
        <v>249</v>
      </c>
      <c r="AZ11" s="17" t="s">
        <v>250</v>
      </c>
      <c r="BA11" s="17" t="s">
        <v>251</v>
      </c>
      <c r="BB11" s="26" t="str">
        <f>IFERROR(VLOOKUP($AY11,[1]프로젝트현황!Y:Z,2,0),"기타")</f>
        <v>서남권</v>
      </c>
      <c r="BC11" s="23" t="str">
        <f t="shared" si="8"/>
        <v>경기도 부천시 원미구 부일로 232, 102동 2108호 (상동)</v>
      </c>
    </row>
    <row r="12" spans="1:55" ht="15" customHeight="1" x14ac:dyDescent="0.3">
      <c r="A12" s="10">
        <f t="shared" si="0"/>
        <v>10</v>
      </c>
      <c r="B12" s="11">
        <v>190103</v>
      </c>
      <c r="C12" s="11" t="s">
        <v>252</v>
      </c>
      <c r="D12" s="12">
        <v>43474</v>
      </c>
      <c r="E12" s="12">
        <v>43474</v>
      </c>
      <c r="F12" s="12"/>
      <c r="G12" s="13"/>
      <c r="H12" s="14"/>
      <c r="I12" s="11" t="s">
        <v>253</v>
      </c>
      <c r="J12" s="15" t="str">
        <f t="shared" si="1"/>
        <v>910629</v>
      </c>
      <c r="K12" s="15" t="str">
        <f t="shared" si="9"/>
        <v>06</v>
      </c>
      <c r="L12" s="15" t="str">
        <f t="shared" si="2"/>
        <v>남자</v>
      </c>
      <c r="M12" s="15">
        <f t="shared" ca="1" si="3"/>
        <v>36</v>
      </c>
      <c r="N12" s="15" t="s">
        <v>111</v>
      </c>
      <c r="O12" s="15" t="s">
        <v>112</v>
      </c>
      <c r="P12" s="11" t="s">
        <v>254</v>
      </c>
      <c r="Q12" s="11"/>
      <c r="R12" s="11" t="s">
        <v>167</v>
      </c>
      <c r="S12" s="16"/>
      <c r="T12" s="15" t="s">
        <v>114</v>
      </c>
      <c r="U12" s="11"/>
      <c r="V12" s="15" t="str">
        <f t="shared" ca="1" si="7"/>
        <v>13년6개월</v>
      </c>
      <c r="W12" s="15" t="s">
        <v>255</v>
      </c>
      <c r="X12" s="18" t="str">
        <f t="shared" ca="1" si="4"/>
        <v>7년1개월</v>
      </c>
      <c r="Y12" s="17" t="s">
        <v>256</v>
      </c>
      <c r="Z12" s="17" t="s">
        <v>257</v>
      </c>
      <c r="AA12" s="14" t="s">
        <v>258</v>
      </c>
      <c r="AB12" s="16">
        <v>40221</v>
      </c>
      <c r="AC12" s="18">
        <f t="shared" ca="1" si="5"/>
        <v>13</v>
      </c>
      <c r="AD12" s="15" t="str">
        <f ca="1">IF($AA12="고졸",IF($AC12&lt;=11,"초급",IF($AC12&lt;=14,"중급",IF($AC12&lt;=17,"고급",IF($AC12&gt;=18,"특급")))))</f>
        <v>중급</v>
      </c>
      <c r="AE12" s="15" t="str">
        <f t="shared" si="6"/>
        <v>미해당</v>
      </c>
      <c r="AF12" s="11"/>
      <c r="AG12" s="16"/>
      <c r="AH12" s="11" t="s">
        <v>87</v>
      </c>
      <c r="AI12" s="16">
        <v>42206</v>
      </c>
      <c r="AJ12" s="11"/>
      <c r="AK12" s="11"/>
      <c r="AL12" s="19"/>
      <c r="AM12" s="11"/>
      <c r="AN12" s="20"/>
      <c r="AO12" s="21" t="s">
        <v>134</v>
      </c>
      <c r="AP12" s="21" t="s">
        <v>259</v>
      </c>
      <c r="AQ12" s="22" t="s">
        <v>154</v>
      </c>
      <c r="AR12" s="23" t="s">
        <v>155</v>
      </c>
      <c r="AS12" s="14" t="s">
        <v>137</v>
      </c>
      <c r="AT12" s="14" t="s">
        <v>260</v>
      </c>
      <c r="AU12" s="24" t="s">
        <v>261</v>
      </c>
      <c r="AV12" s="24" t="s">
        <v>262</v>
      </c>
      <c r="AW12" s="25" t="s">
        <v>263</v>
      </c>
      <c r="AX12" s="24" t="s">
        <v>122</v>
      </c>
      <c r="AY12" s="24" t="s">
        <v>264</v>
      </c>
      <c r="AZ12" s="17"/>
      <c r="BA12" s="17" t="s">
        <v>265</v>
      </c>
      <c r="BB12" s="26" t="str">
        <f>IFERROR(VLOOKUP($AY12,[1]프로젝트현황!Y:Z,2,0),"기타")</f>
        <v>서남권</v>
      </c>
      <c r="BC12" s="23" t="str">
        <f t="shared" si="8"/>
        <v>서울시 관악구 행운2길 51 502호</v>
      </c>
    </row>
    <row r="13" spans="1:55" ht="15" customHeight="1" x14ac:dyDescent="0.3">
      <c r="A13" s="10">
        <f t="shared" si="0"/>
        <v>11</v>
      </c>
      <c r="B13" s="11">
        <v>190105</v>
      </c>
      <c r="C13" s="27" t="s">
        <v>266</v>
      </c>
      <c r="D13" s="12">
        <v>43479</v>
      </c>
      <c r="E13" s="12">
        <v>43479</v>
      </c>
      <c r="F13" s="12"/>
      <c r="G13" s="13"/>
      <c r="H13" s="14" t="s">
        <v>267</v>
      </c>
      <c r="I13" s="11" t="s">
        <v>268</v>
      </c>
      <c r="J13" s="15" t="str">
        <f t="shared" si="1"/>
        <v>911113</v>
      </c>
      <c r="K13" s="15" t="str">
        <f t="shared" si="9"/>
        <v>11</v>
      </c>
      <c r="L13" s="15" t="str">
        <f t="shared" si="2"/>
        <v>여자</v>
      </c>
      <c r="M13" s="15">
        <f t="shared" ca="1" si="3"/>
        <v>36</v>
      </c>
      <c r="N13" s="15" t="s">
        <v>111</v>
      </c>
      <c r="O13" s="15" t="s">
        <v>112</v>
      </c>
      <c r="P13" s="11" t="s">
        <v>269</v>
      </c>
      <c r="Q13" s="11"/>
      <c r="R13" s="11"/>
      <c r="S13" s="16"/>
      <c r="T13" s="15" t="s">
        <v>114</v>
      </c>
      <c r="U13" s="11"/>
      <c r="V13" s="15" t="str">
        <f t="shared" ca="1" si="7"/>
        <v>7년9개월</v>
      </c>
      <c r="W13" s="15" t="s">
        <v>270</v>
      </c>
      <c r="X13" s="18" t="str">
        <f t="shared" ca="1" si="4"/>
        <v>7년0개월</v>
      </c>
      <c r="Y13" s="17" t="s">
        <v>271</v>
      </c>
      <c r="Z13" s="17" t="s">
        <v>272</v>
      </c>
      <c r="AA13" s="14" t="s">
        <v>171</v>
      </c>
      <c r="AB13" s="16">
        <v>42787</v>
      </c>
      <c r="AC13" s="18">
        <f t="shared" ca="1" si="5"/>
        <v>7</v>
      </c>
      <c r="AD13" s="15" t="str">
        <f ca="1">IF($AA13="학사",IF($AC13&lt;=5,"초급",IF($AC13&lt;9,"중급",IF($AC13&lt;12,"고급",IF($AC13&gt;=12,"특급")))))</f>
        <v>중급</v>
      </c>
      <c r="AE13" s="15" t="str">
        <f t="shared" si="6"/>
        <v>미해당</v>
      </c>
      <c r="AF13" s="11"/>
      <c r="AG13" s="16"/>
      <c r="AH13" s="11"/>
      <c r="AI13" s="16"/>
      <c r="AJ13" s="11"/>
      <c r="AK13" s="11"/>
      <c r="AL13" s="19"/>
      <c r="AM13" s="11"/>
      <c r="AN13" s="20" t="s">
        <v>273</v>
      </c>
      <c r="AO13" s="21" t="s">
        <v>274</v>
      </c>
      <c r="AP13" s="21">
        <v>2012.11</v>
      </c>
      <c r="AQ13" s="22" t="s">
        <v>154</v>
      </c>
      <c r="AR13" s="23" t="s">
        <v>155</v>
      </c>
      <c r="AS13" s="14" t="s">
        <v>137</v>
      </c>
      <c r="AT13" s="14" t="s">
        <v>275</v>
      </c>
      <c r="AU13" s="24" t="s">
        <v>157</v>
      </c>
      <c r="AV13" s="24" t="s">
        <v>276</v>
      </c>
      <c r="AW13" s="25" t="s">
        <v>277</v>
      </c>
      <c r="AX13" s="24" t="s">
        <v>122</v>
      </c>
      <c r="AY13" s="24" t="s">
        <v>278</v>
      </c>
      <c r="AZ13" s="17"/>
      <c r="BA13" s="17" t="s">
        <v>279</v>
      </c>
      <c r="BB13" s="26" t="str">
        <f>IFERROR(VLOOKUP($AY13,[1]프로젝트현황!Y:Z,2,0),"기타")</f>
        <v>동남권</v>
      </c>
      <c r="BC13" s="23" t="str">
        <f t="shared" si="8"/>
        <v>서울시 서초구 청계산로9길 1-12, 601동 309호(신원동, 서초포레스타)</v>
      </c>
    </row>
    <row r="14" spans="1:55" ht="15" customHeight="1" x14ac:dyDescent="0.3">
      <c r="A14" s="10">
        <f t="shared" si="0"/>
        <v>12</v>
      </c>
      <c r="B14" s="11">
        <v>190107</v>
      </c>
      <c r="C14" s="27" t="s">
        <v>280</v>
      </c>
      <c r="D14" s="12">
        <v>43495</v>
      </c>
      <c r="E14" s="12">
        <v>43495</v>
      </c>
      <c r="F14" s="12"/>
      <c r="G14" s="13"/>
      <c r="H14" s="14" t="s">
        <v>281</v>
      </c>
      <c r="I14" s="11" t="s">
        <v>282</v>
      </c>
      <c r="J14" s="15" t="str">
        <f t="shared" si="1"/>
        <v>961116</v>
      </c>
      <c r="K14" s="15" t="str">
        <f t="shared" si="9"/>
        <v>11</v>
      </c>
      <c r="L14" s="15" t="str">
        <f t="shared" si="2"/>
        <v>여자</v>
      </c>
      <c r="M14" s="15">
        <f t="shared" ca="1" si="3"/>
        <v>31</v>
      </c>
      <c r="N14" s="15" t="s">
        <v>111</v>
      </c>
      <c r="O14" s="15" t="s">
        <v>112</v>
      </c>
      <c r="P14" s="11" t="s">
        <v>283</v>
      </c>
      <c r="Q14" s="11"/>
      <c r="R14" s="11"/>
      <c r="S14" s="16"/>
      <c r="T14" s="15" t="s">
        <v>114</v>
      </c>
      <c r="U14" s="11"/>
      <c r="V14" s="15" t="str">
        <f t="shared" ca="1" si="7"/>
        <v>9년0개월</v>
      </c>
      <c r="W14" s="15" t="s">
        <v>284</v>
      </c>
      <c r="X14" s="18" t="str">
        <f t="shared" ca="1" si="4"/>
        <v>7년0개월</v>
      </c>
      <c r="Y14" s="17" t="s">
        <v>285</v>
      </c>
      <c r="Z14" s="17" t="s">
        <v>286</v>
      </c>
      <c r="AA14" s="14" t="s">
        <v>116</v>
      </c>
      <c r="AB14" s="16">
        <v>43154</v>
      </c>
      <c r="AC14" s="18">
        <f t="shared" ca="1" si="5"/>
        <v>9</v>
      </c>
      <c r="AD14" s="15" t="str">
        <f t="shared" ref="AD14:AD20" ca="1" si="10">IF($AA14="전문학사",IF($AC14&lt;=8,"초급",IF($AC14&lt;12,"중급",IF($AC14&lt;15,"고급",IF($AC14&gt;=15,"특급")))))</f>
        <v>중급</v>
      </c>
      <c r="AE14" s="15" t="str">
        <f t="shared" si="6"/>
        <v>미해당</v>
      </c>
      <c r="AF14" s="11"/>
      <c r="AG14" s="16"/>
      <c r="AH14" s="11"/>
      <c r="AI14" s="16"/>
      <c r="AJ14" s="11"/>
      <c r="AK14" s="11"/>
      <c r="AL14" s="19"/>
      <c r="AM14" s="11"/>
      <c r="AN14" s="20"/>
      <c r="AO14" s="21"/>
      <c r="AP14" s="21"/>
      <c r="AQ14" s="22" t="s">
        <v>287</v>
      </c>
      <c r="AR14" s="23" t="s">
        <v>287</v>
      </c>
      <c r="AS14" s="14" t="s">
        <v>137</v>
      </c>
      <c r="AT14" s="14" t="s">
        <v>288</v>
      </c>
      <c r="AU14" s="24" t="s">
        <v>157</v>
      </c>
      <c r="AV14" s="24" t="s">
        <v>289</v>
      </c>
      <c r="AW14" s="25" t="s">
        <v>290</v>
      </c>
      <c r="AX14" s="24" t="s">
        <v>122</v>
      </c>
      <c r="AY14" s="24" t="s">
        <v>291</v>
      </c>
      <c r="AZ14" s="17"/>
      <c r="BA14" s="17" t="s">
        <v>292</v>
      </c>
      <c r="BB14" s="26" t="str">
        <f>IFERROR(VLOOKUP($AY14,[1]프로젝트현황!Y:Z,2,0),"기타")</f>
        <v>서남권</v>
      </c>
      <c r="BC14" s="23" t="str">
        <f t="shared" si="8"/>
        <v>서울시 강서구 등촌동 641-12, 802호</v>
      </c>
    </row>
    <row r="15" spans="1:55" ht="15" customHeight="1" x14ac:dyDescent="0.3">
      <c r="A15" s="10">
        <f t="shared" si="0"/>
        <v>13</v>
      </c>
      <c r="B15" s="11">
        <v>190301</v>
      </c>
      <c r="C15" s="27" t="s">
        <v>293</v>
      </c>
      <c r="D15" s="12">
        <v>43529</v>
      </c>
      <c r="E15" s="12">
        <v>43529</v>
      </c>
      <c r="F15" s="12"/>
      <c r="G15" s="13"/>
      <c r="H15" s="14" t="s">
        <v>294</v>
      </c>
      <c r="I15" s="11" t="s">
        <v>295</v>
      </c>
      <c r="J15" s="15" t="str">
        <f t="shared" si="1"/>
        <v>870110</v>
      </c>
      <c r="K15" s="15" t="str">
        <f t="shared" si="9"/>
        <v>01</v>
      </c>
      <c r="L15" s="15" t="str">
        <f t="shared" si="2"/>
        <v>남자</v>
      </c>
      <c r="M15" s="15">
        <f t="shared" ca="1" si="3"/>
        <v>40</v>
      </c>
      <c r="N15" s="15" t="s">
        <v>111</v>
      </c>
      <c r="O15" s="15" t="s">
        <v>112</v>
      </c>
      <c r="P15" s="11" t="s">
        <v>296</v>
      </c>
      <c r="Q15" s="11"/>
      <c r="R15" s="11"/>
      <c r="S15" s="16"/>
      <c r="T15" s="15" t="s">
        <v>114</v>
      </c>
      <c r="U15" s="11"/>
      <c r="V15" s="15" t="str">
        <f t="shared" ca="1" si="7"/>
        <v>15년11개월</v>
      </c>
      <c r="W15" s="15" t="s">
        <v>297</v>
      </c>
      <c r="X15" s="18" t="str">
        <f t="shared" ca="1" si="4"/>
        <v>6년11개월</v>
      </c>
      <c r="Y15" s="17" t="s">
        <v>298</v>
      </c>
      <c r="Z15" s="17" t="s">
        <v>299</v>
      </c>
      <c r="AA15" s="14" t="s">
        <v>116</v>
      </c>
      <c r="AB15" s="16">
        <v>40218</v>
      </c>
      <c r="AC15" s="18">
        <f t="shared" ca="1" si="5"/>
        <v>15</v>
      </c>
      <c r="AD15" s="15" t="str">
        <f t="shared" ca="1" si="10"/>
        <v>특급</v>
      </c>
      <c r="AE15" s="15" t="str">
        <f t="shared" si="6"/>
        <v>미해당</v>
      </c>
      <c r="AF15" s="11"/>
      <c r="AG15" s="16"/>
      <c r="AH15" s="11" t="s">
        <v>87</v>
      </c>
      <c r="AI15" s="16">
        <v>42787</v>
      </c>
      <c r="AJ15" s="11"/>
      <c r="AK15" s="11"/>
      <c r="AL15" s="19"/>
      <c r="AM15" s="11"/>
      <c r="AN15" s="20" t="s">
        <v>300</v>
      </c>
      <c r="AO15" s="21" t="s">
        <v>301</v>
      </c>
      <c r="AP15" s="21" t="s">
        <v>302</v>
      </c>
      <c r="AQ15" s="22" t="s">
        <v>154</v>
      </c>
      <c r="AR15" s="23" t="s">
        <v>155</v>
      </c>
      <c r="AS15" s="14" t="s">
        <v>137</v>
      </c>
      <c r="AT15" s="14" t="s">
        <v>303</v>
      </c>
      <c r="AU15" s="24" t="s">
        <v>157</v>
      </c>
      <c r="AV15" s="24" t="s">
        <v>304</v>
      </c>
      <c r="AW15" s="25" t="s">
        <v>305</v>
      </c>
      <c r="AX15" s="24" t="s">
        <v>122</v>
      </c>
      <c r="AY15" s="24" t="s">
        <v>236</v>
      </c>
      <c r="AZ15" s="17"/>
      <c r="BA15" s="17" t="s">
        <v>306</v>
      </c>
      <c r="BB15" s="26" t="str">
        <f>IFERROR(VLOOKUP($AY15,[1]프로젝트현황!Y:Z,2,0),"기타")</f>
        <v>서남권</v>
      </c>
      <c r="BC15" s="23" t="str">
        <f t="shared" si="8"/>
        <v>서울시 구로구 고척로 49, 202동 1402호 (오류동 338, 동부골든아파트)</v>
      </c>
    </row>
    <row r="16" spans="1:55" ht="15" customHeight="1" x14ac:dyDescent="0.3">
      <c r="A16" s="10">
        <f t="shared" si="0"/>
        <v>14</v>
      </c>
      <c r="B16" s="11">
        <v>190601</v>
      </c>
      <c r="C16" s="27" t="s">
        <v>307</v>
      </c>
      <c r="D16" s="12">
        <v>43619</v>
      </c>
      <c r="E16" s="12">
        <v>43619</v>
      </c>
      <c r="F16" s="12"/>
      <c r="G16" s="13"/>
      <c r="H16" s="14" t="s">
        <v>308</v>
      </c>
      <c r="I16" s="11" t="s">
        <v>309</v>
      </c>
      <c r="J16" s="15" t="str">
        <f t="shared" si="1"/>
        <v>730903</v>
      </c>
      <c r="K16" s="15" t="str">
        <f t="shared" si="9"/>
        <v>09</v>
      </c>
      <c r="L16" s="15" t="str">
        <f t="shared" si="2"/>
        <v>여자</v>
      </c>
      <c r="M16" s="15">
        <f t="shared" ca="1" si="3"/>
        <v>54</v>
      </c>
      <c r="N16" s="15" t="s">
        <v>111</v>
      </c>
      <c r="O16" s="15" t="s">
        <v>112</v>
      </c>
      <c r="P16" s="11" t="s">
        <v>310</v>
      </c>
      <c r="Q16" s="11"/>
      <c r="R16" s="11" t="s">
        <v>129</v>
      </c>
      <c r="S16" s="16">
        <v>45156</v>
      </c>
      <c r="T16" s="15" t="s">
        <v>114</v>
      </c>
      <c r="U16" s="11"/>
      <c r="V16" s="15" t="str">
        <f t="shared" ca="1" si="7"/>
        <v>28년3개월</v>
      </c>
      <c r="W16" s="15" t="s">
        <v>311</v>
      </c>
      <c r="X16" s="18" t="str">
        <f t="shared" ca="1" si="4"/>
        <v>6년8개월</v>
      </c>
      <c r="Y16" s="17" t="s">
        <v>312</v>
      </c>
      <c r="Z16" s="17" t="s">
        <v>313</v>
      </c>
      <c r="AA16" s="14" t="s">
        <v>116</v>
      </c>
      <c r="AB16" s="16">
        <v>34733</v>
      </c>
      <c r="AC16" s="18">
        <f t="shared" ca="1" si="5"/>
        <v>28</v>
      </c>
      <c r="AD16" s="15" t="str">
        <f t="shared" ca="1" si="10"/>
        <v>특급</v>
      </c>
      <c r="AE16" s="15" t="str">
        <f t="shared" ca="1" si="6"/>
        <v>특급</v>
      </c>
      <c r="AF16" s="11"/>
      <c r="AG16" s="16"/>
      <c r="AH16" s="11"/>
      <c r="AI16" s="16"/>
      <c r="AJ16" s="11" t="s">
        <v>89</v>
      </c>
      <c r="AK16" s="11">
        <v>34621</v>
      </c>
      <c r="AL16" s="19"/>
      <c r="AM16" s="11"/>
      <c r="AN16" s="20" t="s">
        <v>314</v>
      </c>
      <c r="AO16" s="21" t="s">
        <v>315</v>
      </c>
      <c r="AP16" s="21" t="s">
        <v>316</v>
      </c>
      <c r="AQ16" s="22" t="s">
        <v>154</v>
      </c>
      <c r="AR16" s="23" t="s">
        <v>155</v>
      </c>
      <c r="AS16" s="14" t="s">
        <v>317</v>
      </c>
      <c r="AT16" s="14" t="s">
        <v>318</v>
      </c>
      <c r="AU16" s="24" t="s">
        <v>119</v>
      </c>
      <c r="AV16" s="24" t="s">
        <v>319</v>
      </c>
      <c r="AW16" s="25" t="s">
        <v>320</v>
      </c>
      <c r="AX16" s="24" t="s">
        <v>122</v>
      </c>
      <c r="AY16" s="24" t="s">
        <v>123</v>
      </c>
      <c r="AZ16" s="17"/>
      <c r="BA16" s="17" t="s">
        <v>321</v>
      </c>
      <c r="BB16" s="26" t="str">
        <f>IFERROR(VLOOKUP($AY16,[1]프로젝트현황!Y:Z,2,0),"기타")</f>
        <v>서북권</v>
      </c>
      <c r="BC16" s="23" t="str">
        <f t="shared" si="8"/>
        <v>서울시 서대문구 문화촌길 6-24, 103동 510호(홍제동, 문화촌현대아파트)</v>
      </c>
    </row>
    <row r="17" spans="1:55" ht="15" customHeight="1" x14ac:dyDescent="0.3">
      <c r="A17" s="10">
        <f t="shared" si="0"/>
        <v>15</v>
      </c>
      <c r="B17" s="11">
        <v>190903</v>
      </c>
      <c r="C17" s="27" t="s">
        <v>322</v>
      </c>
      <c r="D17" s="12">
        <v>43731</v>
      </c>
      <c r="E17" s="12">
        <v>43731</v>
      </c>
      <c r="F17" s="12">
        <v>45352</v>
      </c>
      <c r="G17" s="13"/>
      <c r="H17" s="14" t="s">
        <v>323</v>
      </c>
      <c r="I17" s="11" t="s">
        <v>324</v>
      </c>
      <c r="J17" s="15" t="str">
        <f t="shared" si="1"/>
        <v>920215</v>
      </c>
      <c r="K17" s="15" t="str">
        <f t="shared" si="9"/>
        <v>02</v>
      </c>
      <c r="L17" s="15" t="str">
        <f t="shared" si="2"/>
        <v>남자</v>
      </c>
      <c r="M17" s="15">
        <f t="shared" ca="1" si="3"/>
        <v>35</v>
      </c>
      <c r="N17" s="15" t="s">
        <v>111</v>
      </c>
      <c r="O17" s="15" t="s">
        <v>112</v>
      </c>
      <c r="P17" s="11" t="s">
        <v>325</v>
      </c>
      <c r="Q17" s="11"/>
      <c r="R17" s="11" t="s">
        <v>167</v>
      </c>
      <c r="S17" s="16"/>
      <c r="T17" s="15" t="s">
        <v>114</v>
      </c>
      <c r="U17" s="11"/>
      <c r="V17" s="15" t="str">
        <f t="shared" ca="1" si="7"/>
        <v>7년4개월</v>
      </c>
      <c r="W17" s="15" t="s">
        <v>326</v>
      </c>
      <c r="X17" s="18" t="str">
        <f t="shared" ca="1" si="4"/>
        <v>6년4개월</v>
      </c>
      <c r="Y17" s="17" t="s">
        <v>243</v>
      </c>
      <c r="Z17" s="17" t="s">
        <v>244</v>
      </c>
      <c r="AA17" s="14" t="s">
        <v>116</v>
      </c>
      <c r="AB17" s="16">
        <v>42048</v>
      </c>
      <c r="AC17" s="18">
        <f t="shared" ca="1" si="5"/>
        <v>7</v>
      </c>
      <c r="AD17" s="15" t="str">
        <f t="shared" ca="1" si="10"/>
        <v>초급</v>
      </c>
      <c r="AE17" s="15" t="str">
        <f t="shared" si="6"/>
        <v>미해당</v>
      </c>
      <c r="AF17" s="11"/>
      <c r="AG17" s="16"/>
      <c r="AH17" s="11" t="s">
        <v>87</v>
      </c>
      <c r="AI17" s="16">
        <v>2023.02</v>
      </c>
      <c r="AJ17" s="11"/>
      <c r="AK17" s="11"/>
      <c r="AL17" s="19"/>
      <c r="AM17" s="11"/>
      <c r="AN17" s="20"/>
      <c r="AO17" s="21"/>
      <c r="AP17" s="21"/>
      <c r="AQ17" s="22" t="s">
        <v>154</v>
      </c>
      <c r="AR17" s="23" t="s">
        <v>155</v>
      </c>
      <c r="AS17" s="14" t="s">
        <v>137</v>
      </c>
      <c r="AT17" s="14" t="s">
        <v>327</v>
      </c>
      <c r="AU17" s="24" t="s">
        <v>157</v>
      </c>
      <c r="AV17" s="24" t="s">
        <v>328</v>
      </c>
      <c r="AW17" s="25" t="s">
        <v>329</v>
      </c>
      <c r="AX17" s="24" t="s">
        <v>141</v>
      </c>
      <c r="AY17" s="24" t="s">
        <v>330</v>
      </c>
      <c r="AZ17" s="17" t="s">
        <v>331</v>
      </c>
      <c r="BA17" s="17" t="s">
        <v>332</v>
      </c>
      <c r="BB17" s="26" t="str">
        <f>IFERROR(VLOOKUP($AY17,[1]프로젝트현황!Y:Z,2,0),"기타")</f>
        <v>서남권</v>
      </c>
      <c r="BC17" s="23" t="str">
        <f t="shared" si="8"/>
        <v>경기도 안양시 동안구 관악대로263번길 67-8, 가동 101호(비산동, 화도맨션)</v>
      </c>
    </row>
    <row r="18" spans="1:55" ht="15" customHeight="1" x14ac:dyDescent="0.3">
      <c r="A18" s="10">
        <f t="shared" si="0"/>
        <v>16</v>
      </c>
      <c r="B18" s="11">
        <v>200901</v>
      </c>
      <c r="C18" s="27" t="s">
        <v>333</v>
      </c>
      <c r="D18" s="12">
        <v>44075</v>
      </c>
      <c r="E18" s="12">
        <v>44075</v>
      </c>
      <c r="F18" s="12"/>
      <c r="G18" s="13"/>
      <c r="H18" s="14" t="s">
        <v>334</v>
      </c>
      <c r="I18" s="11" t="s">
        <v>335</v>
      </c>
      <c r="J18" s="15" t="str">
        <f t="shared" si="1"/>
        <v>990903</v>
      </c>
      <c r="K18" s="15" t="str">
        <f t="shared" si="9"/>
        <v>09</v>
      </c>
      <c r="L18" s="15" t="str">
        <f t="shared" si="2"/>
        <v>여자</v>
      </c>
      <c r="M18" s="15">
        <f t="shared" ca="1" si="3"/>
        <v>28</v>
      </c>
      <c r="N18" s="15" t="s">
        <v>111</v>
      </c>
      <c r="O18" s="15" t="s">
        <v>112</v>
      </c>
      <c r="P18" s="11" t="s">
        <v>336</v>
      </c>
      <c r="Q18" s="11"/>
      <c r="R18" s="11"/>
      <c r="S18" s="16"/>
      <c r="T18" s="15" t="s">
        <v>114</v>
      </c>
      <c r="U18" s="11"/>
      <c r="V18" s="15" t="str">
        <f t="shared" ca="1" si="7"/>
        <v>5년5개월</v>
      </c>
      <c r="W18" s="15" t="s">
        <v>115</v>
      </c>
      <c r="X18" s="18" t="str">
        <f t="shared" ca="1" si="4"/>
        <v>5년5개월</v>
      </c>
      <c r="Y18" s="17" t="s">
        <v>337</v>
      </c>
      <c r="Z18" s="17" t="s">
        <v>338</v>
      </c>
      <c r="AA18" s="14" t="s">
        <v>116</v>
      </c>
      <c r="AB18" s="16">
        <v>44232</v>
      </c>
      <c r="AC18" s="18">
        <f t="shared" ca="1" si="5"/>
        <v>5</v>
      </c>
      <c r="AD18" s="15" t="str">
        <f t="shared" ca="1" si="10"/>
        <v>초급</v>
      </c>
      <c r="AE18" s="15" t="str">
        <f t="shared" si="6"/>
        <v>미해당</v>
      </c>
      <c r="AF18" s="11"/>
      <c r="AG18" s="16"/>
      <c r="AH18" s="11"/>
      <c r="AI18" s="16"/>
      <c r="AJ18" s="11"/>
      <c r="AK18" s="11"/>
      <c r="AL18" s="19"/>
      <c r="AM18" s="11"/>
      <c r="AN18" s="20"/>
      <c r="AO18" s="21"/>
      <c r="AP18" s="21"/>
      <c r="AQ18" s="22" t="s">
        <v>154</v>
      </c>
      <c r="AR18" s="23" t="s">
        <v>155</v>
      </c>
      <c r="AS18" s="14" t="s">
        <v>137</v>
      </c>
      <c r="AT18" s="14" t="s">
        <v>339</v>
      </c>
      <c r="AU18" s="24" t="s">
        <v>157</v>
      </c>
      <c r="AV18" s="24" t="s">
        <v>340</v>
      </c>
      <c r="AW18" s="25" t="s">
        <v>341</v>
      </c>
      <c r="AX18" s="24" t="s">
        <v>141</v>
      </c>
      <c r="AY18" s="24" t="s">
        <v>342</v>
      </c>
      <c r="AZ18" s="17"/>
      <c r="BA18" s="17" t="s">
        <v>343</v>
      </c>
      <c r="BB18" s="26" t="str">
        <f>IFERROR(VLOOKUP($AY18,[1]프로젝트현황!Y:Z,2,0),"기타")</f>
        <v>서북권</v>
      </c>
      <c r="BC18" s="23" t="str">
        <f t="shared" si="8"/>
        <v>경기도 파주시 파평면 배머리길 811-15</v>
      </c>
    </row>
    <row r="19" spans="1:55" ht="15" customHeight="1" x14ac:dyDescent="0.3">
      <c r="A19" s="10">
        <f t="shared" si="0"/>
        <v>17</v>
      </c>
      <c r="B19" s="11">
        <v>201003</v>
      </c>
      <c r="C19" s="27" t="s">
        <v>344</v>
      </c>
      <c r="D19" s="12">
        <v>44116</v>
      </c>
      <c r="E19" s="12">
        <v>44116</v>
      </c>
      <c r="F19" s="12"/>
      <c r="G19" s="13"/>
      <c r="H19" s="14" t="s">
        <v>345</v>
      </c>
      <c r="I19" s="11" t="s">
        <v>346</v>
      </c>
      <c r="J19" s="15" t="str">
        <f t="shared" si="1"/>
        <v>931106</v>
      </c>
      <c r="K19" s="15" t="str">
        <f t="shared" si="9"/>
        <v>11</v>
      </c>
      <c r="L19" s="15" t="str">
        <f t="shared" si="2"/>
        <v>남자</v>
      </c>
      <c r="M19" s="15">
        <f t="shared" ca="1" si="3"/>
        <v>34</v>
      </c>
      <c r="N19" s="15" t="s">
        <v>111</v>
      </c>
      <c r="O19" s="15" t="s">
        <v>112</v>
      </c>
      <c r="P19" s="11" t="s">
        <v>347</v>
      </c>
      <c r="Q19" s="11"/>
      <c r="R19" s="11"/>
      <c r="S19" s="16"/>
      <c r="T19" s="15" t="s">
        <v>114</v>
      </c>
      <c r="U19" s="11"/>
      <c r="V19" s="15" t="str">
        <f t="shared" ca="1" si="7"/>
        <v>8년3개월</v>
      </c>
      <c r="W19" s="15" t="s">
        <v>348</v>
      </c>
      <c r="X19" s="18" t="str">
        <f t="shared" ca="1" si="4"/>
        <v>5년3개월</v>
      </c>
      <c r="Y19" s="17" t="s">
        <v>298</v>
      </c>
      <c r="Z19" s="17" t="s">
        <v>349</v>
      </c>
      <c r="AA19" s="14" t="s">
        <v>116</v>
      </c>
      <c r="AB19" s="16">
        <v>42769</v>
      </c>
      <c r="AC19" s="18">
        <f t="shared" ca="1" si="5"/>
        <v>8</v>
      </c>
      <c r="AD19" s="15" t="str">
        <f t="shared" ca="1" si="10"/>
        <v>초급</v>
      </c>
      <c r="AE19" s="15" t="str">
        <f t="shared" si="6"/>
        <v>미해당</v>
      </c>
      <c r="AF19" s="11"/>
      <c r="AG19" s="16"/>
      <c r="AH19" s="11"/>
      <c r="AI19" s="16"/>
      <c r="AJ19" s="11"/>
      <c r="AK19" s="11"/>
      <c r="AL19" s="19"/>
      <c r="AM19" s="11"/>
      <c r="AN19" s="20"/>
      <c r="AO19" s="21"/>
      <c r="AP19" s="21"/>
      <c r="AQ19" s="22" t="s">
        <v>154</v>
      </c>
      <c r="AR19" s="23" t="s">
        <v>155</v>
      </c>
      <c r="AS19" s="14" t="s">
        <v>137</v>
      </c>
      <c r="AT19" s="14" t="s">
        <v>350</v>
      </c>
      <c r="AU19" s="24" t="s">
        <v>157</v>
      </c>
      <c r="AV19" s="24" t="s">
        <v>351</v>
      </c>
      <c r="AW19" s="25" t="s">
        <v>352</v>
      </c>
      <c r="AX19" s="24" t="s">
        <v>141</v>
      </c>
      <c r="AY19" s="24" t="s">
        <v>353</v>
      </c>
      <c r="AZ19" s="17"/>
      <c r="BA19" s="17" t="s">
        <v>354</v>
      </c>
      <c r="BB19" s="26" t="str">
        <f>IFERROR(VLOOKUP($AY19,[1]프로젝트현황!Y:Z,2,0),"기타")</f>
        <v>동남권</v>
      </c>
      <c r="BC19" s="23" t="str">
        <f t="shared" si="8"/>
        <v>경기도 광주시 송정로 59-26, 2층</v>
      </c>
    </row>
    <row r="20" spans="1:55" ht="15" customHeight="1" x14ac:dyDescent="0.3">
      <c r="A20" s="10">
        <f t="shared" si="0"/>
        <v>18</v>
      </c>
      <c r="B20" s="11">
        <v>210301</v>
      </c>
      <c r="C20" s="27" t="s">
        <v>355</v>
      </c>
      <c r="D20" s="12">
        <v>44257</v>
      </c>
      <c r="E20" s="12">
        <v>44257</v>
      </c>
      <c r="F20" s="12"/>
      <c r="G20" s="13"/>
      <c r="H20" s="14" t="s">
        <v>356</v>
      </c>
      <c r="I20" s="11" t="s">
        <v>357</v>
      </c>
      <c r="J20" s="15" t="str">
        <f t="shared" si="1"/>
        <v>950306</v>
      </c>
      <c r="K20" s="15" t="str">
        <f t="shared" si="9"/>
        <v>03</v>
      </c>
      <c r="L20" s="15" t="str">
        <f t="shared" si="2"/>
        <v>남자</v>
      </c>
      <c r="M20" s="15">
        <f t="shared" ca="1" si="3"/>
        <v>32</v>
      </c>
      <c r="N20" s="15" t="s">
        <v>111</v>
      </c>
      <c r="O20" s="15" t="s">
        <v>112</v>
      </c>
      <c r="P20" s="11" t="s">
        <v>358</v>
      </c>
      <c r="Q20" s="11"/>
      <c r="R20" s="11"/>
      <c r="S20" s="16"/>
      <c r="T20" s="15" t="s">
        <v>114</v>
      </c>
      <c r="U20" s="11" t="s">
        <v>359</v>
      </c>
      <c r="V20" s="15" t="str">
        <f t="shared" ca="1" si="7"/>
        <v>6년8개월</v>
      </c>
      <c r="W20" s="15" t="s">
        <v>360</v>
      </c>
      <c r="X20" s="18" t="str">
        <f t="shared" ca="1" si="4"/>
        <v>4년11개월</v>
      </c>
      <c r="Y20" s="17" t="s">
        <v>361</v>
      </c>
      <c r="Z20" s="17" t="s">
        <v>362</v>
      </c>
      <c r="AA20" s="14" t="s">
        <v>116</v>
      </c>
      <c r="AB20" s="16">
        <v>43511</v>
      </c>
      <c r="AC20" s="18">
        <f t="shared" ca="1" si="5"/>
        <v>6</v>
      </c>
      <c r="AD20" s="15" t="str">
        <f t="shared" ca="1" si="10"/>
        <v>초급</v>
      </c>
      <c r="AE20" s="15" t="str">
        <f t="shared" si="6"/>
        <v>미해당</v>
      </c>
      <c r="AF20" s="11"/>
      <c r="AG20" s="16"/>
      <c r="AH20" s="11"/>
      <c r="AI20" s="16"/>
      <c r="AJ20" s="11"/>
      <c r="AK20" s="11"/>
      <c r="AL20" s="19"/>
      <c r="AM20" s="11"/>
      <c r="AN20" s="20"/>
      <c r="AO20" s="21"/>
      <c r="AP20" s="21"/>
      <c r="AQ20" s="22" t="s">
        <v>154</v>
      </c>
      <c r="AR20" s="23" t="s">
        <v>155</v>
      </c>
      <c r="AS20" s="14" t="s">
        <v>137</v>
      </c>
      <c r="AT20" s="14" t="s">
        <v>363</v>
      </c>
      <c r="AU20" s="24" t="s">
        <v>157</v>
      </c>
      <c r="AV20" s="24" t="s">
        <v>364</v>
      </c>
      <c r="AW20" s="25" t="s">
        <v>365</v>
      </c>
      <c r="AX20" s="24" t="s">
        <v>141</v>
      </c>
      <c r="AY20" s="24" t="s">
        <v>194</v>
      </c>
      <c r="AZ20" s="17" t="s">
        <v>210</v>
      </c>
      <c r="BA20" s="17" t="s">
        <v>366</v>
      </c>
      <c r="BB20" s="26" t="str">
        <f>IFERROR(VLOOKUP($AY20,[1]프로젝트현황!Y:Z,2,0),"기타")</f>
        <v>동남권</v>
      </c>
      <c r="BC20" s="23" t="str">
        <f t="shared" si="8"/>
        <v>경기도 수원시 권선구 세류동 97-20 201호</v>
      </c>
    </row>
    <row r="21" spans="1:55" ht="15" customHeight="1" x14ac:dyDescent="0.3">
      <c r="A21" s="10">
        <f t="shared" si="0"/>
        <v>19</v>
      </c>
      <c r="B21" s="11">
        <v>210303</v>
      </c>
      <c r="C21" s="27" t="s">
        <v>367</v>
      </c>
      <c r="D21" s="12">
        <v>44273</v>
      </c>
      <c r="E21" s="12">
        <v>44273</v>
      </c>
      <c r="F21" s="12"/>
      <c r="G21" s="13"/>
      <c r="H21" s="14" t="s">
        <v>368</v>
      </c>
      <c r="I21" s="11" t="s">
        <v>369</v>
      </c>
      <c r="J21" s="15" t="str">
        <f t="shared" si="1"/>
        <v>810323</v>
      </c>
      <c r="K21" s="15" t="str">
        <f t="shared" si="9"/>
        <v>03</v>
      </c>
      <c r="L21" s="15" t="str">
        <f t="shared" si="2"/>
        <v>남자</v>
      </c>
      <c r="M21" s="15">
        <f t="shared" ca="1" si="3"/>
        <v>46</v>
      </c>
      <c r="N21" s="15" t="s">
        <v>111</v>
      </c>
      <c r="O21" s="15" t="s">
        <v>112</v>
      </c>
      <c r="P21" s="11" t="s">
        <v>370</v>
      </c>
      <c r="Q21" s="11"/>
      <c r="R21" s="11"/>
      <c r="S21" s="16"/>
      <c r="T21" s="15" t="s">
        <v>114</v>
      </c>
      <c r="U21" s="11" t="s">
        <v>371</v>
      </c>
      <c r="V21" s="15" t="str">
        <f t="shared" ca="1" si="7"/>
        <v>16년1개월</v>
      </c>
      <c r="W21" s="15" t="s">
        <v>372</v>
      </c>
      <c r="X21" s="18" t="str">
        <f t="shared" ca="1" si="4"/>
        <v>4년10개월</v>
      </c>
      <c r="Y21" s="17" t="s">
        <v>373</v>
      </c>
      <c r="Z21" s="17" t="s">
        <v>374</v>
      </c>
      <c r="AA21" s="14" t="s">
        <v>171</v>
      </c>
      <c r="AB21" s="16">
        <v>39493</v>
      </c>
      <c r="AC21" s="18">
        <f t="shared" ca="1" si="5"/>
        <v>16</v>
      </c>
      <c r="AD21" s="15" t="str">
        <f ca="1">IF($AA21="학사",IF($AC21&lt;=5,"초급",IF($AC21&lt;9,"중급",IF($AC21&lt;12,"고급",IF($AC21&gt;=12,"특급")))))</f>
        <v>특급</v>
      </c>
      <c r="AE21" s="15" t="str">
        <f t="shared" si="6"/>
        <v>미해당</v>
      </c>
      <c r="AF21" s="11"/>
      <c r="AG21" s="16"/>
      <c r="AH21" s="11"/>
      <c r="AI21" s="16"/>
      <c r="AJ21" s="11"/>
      <c r="AK21" s="11"/>
      <c r="AL21" s="19"/>
      <c r="AM21" s="11"/>
      <c r="AN21" s="20"/>
      <c r="AO21" s="21"/>
      <c r="AP21" s="21"/>
      <c r="AQ21" s="22" t="s">
        <v>154</v>
      </c>
      <c r="AR21" s="23" t="s">
        <v>155</v>
      </c>
      <c r="AS21" s="14" t="s">
        <v>137</v>
      </c>
      <c r="AT21" s="14" t="s">
        <v>375</v>
      </c>
      <c r="AU21" s="24" t="s">
        <v>157</v>
      </c>
      <c r="AV21" s="24" t="s">
        <v>376</v>
      </c>
      <c r="AW21" s="25" t="s">
        <v>377</v>
      </c>
      <c r="AX21" s="24" t="s">
        <v>141</v>
      </c>
      <c r="AY21" s="24" t="s">
        <v>224</v>
      </c>
      <c r="AZ21" s="17" t="s">
        <v>378</v>
      </c>
      <c r="BA21" s="17" t="s">
        <v>379</v>
      </c>
      <c r="BB21" s="26" t="str">
        <f>IFERROR(VLOOKUP($AY21,[1]프로젝트현황!Y:Z,2,0),"기타")</f>
        <v>동남권</v>
      </c>
      <c r="BC21" s="23" t="str">
        <f t="shared" si="8"/>
        <v>경기도 성남시 분당구 분당로 190 101동 102호(분당동, 샛별마을)</v>
      </c>
    </row>
    <row r="22" spans="1:55" ht="15" customHeight="1" x14ac:dyDescent="0.3">
      <c r="A22" s="10">
        <f t="shared" si="0"/>
        <v>20</v>
      </c>
      <c r="B22" s="11">
        <v>210401</v>
      </c>
      <c r="C22" s="27" t="s">
        <v>380</v>
      </c>
      <c r="D22" s="12">
        <v>44287</v>
      </c>
      <c r="E22" s="12">
        <v>44287</v>
      </c>
      <c r="F22" s="12"/>
      <c r="G22" s="13"/>
      <c r="H22" s="14" t="s">
        <v>381</v>
      </c>
      <c r="I22" s="11" t="s">
        <v>382</v>
      </c>
      <c r="J22" s="15" t="str">
        <f t="shared" si="1"/>
        <v>740122</v>
      </c>
      <c r="K22" s="15" t="str">
        <f t="shared" si="9"/>
        <v>01</v>
      </c>
      <c r="L22" s="15" t="str">
        <f t="shared" si="2"/>
        <v>여자</v>
      </c>
      <c r="M22" s="15">
        <f t="shared" ca="1" si="3"/>
        <v>53</v>
      </c>
      <c r="N22" s="15" t="s">
        <v>111</v>
      </c>
      <c r="O22" s="15" t="s">
        <v>112</v>
      </c>
      <c r="P22" s="11" t="s">
        <v>383</v>
      </c>
      <c r="Q22" s="11"/>
      <c r="R22" s="11" t="s">
        <v>129</v>
      </c>
      <c r="S22" s="16">
        <v>45047</v>
      </c>
      <c r="T22" s="15" t="s">
        <v>114</v>
      </c>
      <c r="U22" s="11" t="s">
        <v>384</v>
      </c>
      <c r="V22" s="15" t="str">
        <f t="shared" ca="1" si="7"/>
        <v>27년7개월</v>
      </c>
      <c r="W22" s="15" t="s">
        <v>385</v>
      </c>
      <c r="X22" s="18" t="str">
        <f t="shared" ca="1" si="4"/>
        <v>4년10개월</v>
      </c>
      <c r="Y22" s="17" t="s">
        <v>386</v>
      </c>
      <c r="Z22" s="17" t="s">
        <v>387</v>
      </c>
      <c r="AA22" s="14" t="s">
        <v>388</v>
      </c>
      <c r="AB22" s="16">
        <v>41145</v>
      </c>
      <c r="AC22" s="18">
        <f t="shared" ca="1" si="5"/>
        <v>27</v>
      </c>
      <c r="AD22" s="15" t="str">
        <f ca="1">IF($AA22="석사",IF($AC22&lt;=2,"초급",IF($AC22&lt;6,"중급",IF($AC22&lt;9,"고급",IF($AC22&gt;=9,"특급")))))</f>
        <v>특급</v>
      </c>
      <c r="AE22" s="15" t="str">
        <f t="shared" ca="1" si="6"/>
        <v>특급</v>
      </c>
      <c r="AF22" s="11"/>
      <c r="AG22" s="16"/>
      <c r="AH22" s="11" t="s">
        <v>87</v>
      </c>
      <c r="AI22" s="16">
        <v>44443</v>
      </c>
      <c r="AJ22" s="11" t="s">
        <v>89</v>
      </c>
      <c r="AK22" s="16">
        <v>39237</v>
      </c>
      <c r="AL22" s="19"/>
      <c r="AM22" s="11"/>
      <c r="AN22" s="20" t="s">
        <v>389</v>
      </c>
      <c r="AO22" s="21" t="s">
        <v>390</v>
      </c>
      <c r="AP22" s="21" t="s">
        <v>391</v>
      </c>
      <c r="AQ22" s="22" t="s">
        <v>154</v>
      </c>
      <c r="AR22" s="23" t="s">
        <v>155</v>
      </c>
      <c r="AS22" s="14" t="s">
        <v>137</v>
      </c>
      <c r="AT22" s="14" t="s">
        <v>392</v>
      </c>
      <c r="AU22" s="24" t="s">
        <v>393</v>
      </c>
      <c r="AV22" s="24" t="s">
        <v>394</v>
      </c>
      <c r="AW22" s="25" t="s">
        <v>395</v>
      </c>
      <c r="AX22" s="24" t="s">
        <v>141</v>
      </c>
      <c r="AY22" s="24" t="s">
        <v>224</v>
      </c>
      <c r="AZ22" s="17" t="s">
        <v>378</v>
      </c>
      <c r="BA22" s="17" t="s">
        <v>396</v>
      </c>
      <c r="BB22" s="26" t="str">
        <f>IFERROR(VLOOKUP($AY22,[1]프로젝트현황!Y:Z,2,0),"기타")</f>
        <v>동남권</v>
      </c>
      <c r="BC22" s="23" t="str">
        <f t="shared" si="8"/>
        <v>경기도 성남시 분당구 서판교로29 918동 1804호</v>
      </c>
    </row>
    <row r="23" spans="1:55" ht="15" customHeight="1" x14ac:dyDescent="0.3">
      <c r="A23" s="10">
        <f t="shared" si="0"/>
        <v>21</v>
      </c>
      <c r="B23" s="11">
        <v>210403</v>
      </c>
      <c r="C23" s="27" t="s">
        <v>397</v>
      </c>
      <c r="D23" s="12">
        <v>44306</v>
      </c>
      <c r="E23" s="12">
        <v>44306</v>
      </c>
      <c r="F23" s="12"/>
      <c r="G23" s="13"/>
      <c r="H23" s="14" t="s">
        <v>398</v>
      </c>
      <c r="I23" s="11" t="s">
        <v>399</v>
      </c>
      <c r="J23" s="15" t="str">
        <f t="shared" si="1"/>
        <v>971214</v>
      </c>
      <c r="K23" s="15" t="str">
        <f t="shared" si="9"/>
        <v>12</v>
      </c>
      <c r="L23" s="15" t="str">
        <f t="shared" si="2"/>
        <v>여자</v>
      </c>
      <c r="M23" s="15">
        <f t="shared" ca="1" si="3"/>
        <v>30</v>
      </c>
      <c r="N23" s="15" t="s">
        <v>111</v>
      </c>
      <c r="O23" s="15" t="s">
        <v>112</v>
      </c>
      <c r="P23" s="11" t="s">
        <v>400</v>
      </c>
      <c r="Q23" s="11"/>
      <c r="R23" s="11"/>
      <c r="S23" s="16"/>
      <c r="T23" s="15" t="s">
        <v>114</v>
      </c>
      <c r="U23" s="11" t="s">
        <v>401</v>
      </c>
      <c r="V23" s="15" t="str">
        <f t="shared" ca="1" si="7"/>
        <v>8년7개월</v>
      </c>
      <c r="W23" s="15" t="s">
        <v>402</v>
      </c>
      <c r="X23" s="18" t="str">
        <f t="shared" ca="1" si="4"/>
        <v>4년9개월</v>
      </c>
      <c r="Y23" s="17" t="s">
        <v>403</v>
      </c>
      <c r="Z23" s="17" t="s">
        <v>404</v>
      </c>
      <c r="AA23" s="14" t="s">
        <v>258</v>
      </c>
      <c r="AB23" s="16">
        <v>42404</v>
      </c>
      <c r="AC23" s="18">
        <f t="shared" ca="1" si="5"/>
        <v>8</v>
      </c>
      <c r="AD23" s="15" t="str">
        <f ca="1">IF($AA23="고졸",IF($AC23&lt;=11,"초급",IF($AC23&lt;=14,"중급",IF($AC23&lt;=17,"고급",IF($AC23&gt;=18,"특급")))))</f>
        <v>초급</v>
      </c>
      <c r="AE23" s="15" t="str">
        <f t="shared" si="6"/>
        <v>미해당</v>
      </c>
      <c r="AF23" s="11"/>
      <c r="AG23" s="16"/>
      <c r="AH23" s="11"/>
      <c r="AI23" s="16"/>
      <c r="AJ23" s="11"/>
      <c r="AK23" s="11"/>
      <c r="AL23" s="19"/>
      <c r="AM23" s="11"/>
      <c r="AN23" s="20"/>
      <c r="AO23" s="21"/>
      <c r="AP23" s="21"/>
      <c r="AQ23" s="22" t="s">
        <v>154</v>
      </c>
      <c r="AR23" s="23" t="s">
        <v>155</v>
      </c>
      <c r="AS23" s="14" t="s">
        <v>137</v>
      </c>
      <c r="AT23" s="14" t="s">
        <v>405</v>
      </c>
      <c r="AU23" s="24" t="s">
        <v>157</v>
      </c>
      <c r="AV23" s="24" t="s">
        <v>406</v>
      </c>
      <c r="AW23" s="25" t="s">
        <v>407</v>
      </c>
      <c r="AX23" s="24" t="s">
        <v>141</v>
      </c>
      <c r="AY23" s="24" t="s">
        <v>194</v>
      </c>
      <c r="AZ23" s="17" t="s">
        <v>195</v>
      </c>
      <c r="BA23" s="17" t="s">
        <v>408</v>
      </c>
      <c r="BB23" s="26" t="str">
        <f>IFERROR(VLOOKUP($AY23,[1]프로젝트현황!Y:Z,2,0),"기타")</f>
        <v>동남권</v>
      </c>
      <c r="BC23" s="23" t="str">
        <f t="shared" si="8"/>
        <v>경기도 수원시 팔달구 월드컵로369번길 13, 202호 (우만동, 보은맨션)</v>
      </c>
    </row>
    <row r="24" spans="1:55" ht="15" customHeight="1" x14ac:dyDescent="0.3">
      <c r="A24" s="10">
        <f t="shared" si="0"/>
        <v>22</v>
      </c>
      <c r="B24" s="11">
        <v>210503</v>
      </c>
      <c r="C24" s="27" t="s">
        <v>409</v>
      </c>
      <c r="D24" s="12">
        <v>44337</v>
      </c>
      <c r="E24" s="12">
        <v>44470</v>
      </c>
      <c r="F24" s="12"/>
      <c r="G24" s="13"/>
      <c r="H24" s="14" t="s">
        <v>410</v>
      </c>
      <c r="I24" s="11" t="s">
        <v>411</v>
      </c>
      <c r="J24" s="15" t="str">
        <f t="shared" si="1"/>
        <v>741221</v>
      </c>
      <c r="K24" s="15" t="str">
        <f t="shared" si="9"/>
        <v>12</v>
      </c>
      <c r="L24" s="15" t="str">
        <f t="shared" si="2"/>
        <v>남자</v>
      </c>
      <c r="M24" s="15">
        <f t="shared" ca="1" si="3"/>
        <v>53</v>
      </c>
      <c r="N24" s="15" t="s">
        <v>111</v>
      </c>
      <c r="O24" s="15" t="s">
        <v>112</v>
      </c>
      <c r="P24" s="11" t="s">
        <v>412</v>
      </c>
      <c r="Q24" s="11"/>
      <c r="R24" s="11" t="s">
        <v>167</v>
      </c>
      <c r="S24" s="16"/>
      <c r="T24" s="15" t="s">
        <v>114</v>
      </c>
      <c r="U24" s="11" t="s">
        <v>413</v>
      </c>
      <c r="V24" s="15" t="str">
        <f t="shared" ca="1" si="7"/>
        <v>20년9개월</v>
      </c>
      <c r="W24" s="15" t="s">
        <v>414</v>
      </c>
      <c r="X24" s="18" t="str">
        <f t="shared" ca="1" si="4"/>
        <v>4년8개월</v>
      </c>
      <c r="Y24" s="17" t="s">
        <v>415</v>
      </c>
      <c r="Z24" s="17"/>
      <c r="AA24" s="14" t="s">
        <v>258</v>
      </c>
      <c r="AB24" s="16">
        <v>34013</v>
      </c>
      <c r="AC24" s="18">
        <f t="shared" ca="1" si="5"/>
        <v>20</v>
      </c>
      <c r="AD24" s="15" t="str">
        <f ca="1">IF($AA24="고졸",IF($AC24&lt;=11,"초급",IF($AC24&lt;=14,"중급",IF($AC24&lt;=17,"고급",IF($AC24&gt;=18,"특급")))))</f>
        <v>특급</v>
      </c>
      <c r="AE24" s="15" t="str">
        <f t="shared" si="6"/>
        <v>미해당</v>
      </c>
      <c r="AF24" s="11"/>
      <c r="AG24" s="16"/>
      <c r="AH24" s="11"/>
      <c r="AI24" s="16"/>
      <c r="AJ24" s="11"/>
      <c r="AK24" s="11"/>
      <c r="AL24" s="19"/>
      <c r="AM24" s="11"/>
      <c r="AN24" s="20" t="s">
        <v>416</v>
      </c>
      <c r="AO24" s="21" t="s">
        <v>417</v>
      </c>
      <c r="AP24" s="21">
        <v>1991.1</v>
      </c>
      <c r="AQ24" s="22" t="s">
        <v>154</v>
      </c>
      <c r="AR24" s="23" t="s">
        <v>155</v>
      </c>
      <c r="AS24" s="14" t="s">
        <v>137</v>
      </c>
      <c r="AT24" s="14" t="s">
        <v>418</v>
      </c>
      <c r="AU24" s="24" t="s">
        <v>157</v>
      </c>
      <c r="AV24" s="24" t="s">
        <v>419</v>
      </c>
      <c r="AW24" s="25" t="s">
        <v>420</v>
      </c>
      <c r="AX24" s="24" t="s">
        <v>122</v>
      </c>
      <c r="AY24" s="24" t="s">
        <v>421</v>
      </c>
      <c r="AZ24" s="17"/>
      <c r="BA24" s="17" t="s">
        <v>422</v>
      </c>
      <c r="BB24" s="26" t="str">
        <f>IFERROR(VLOOKUP($AY24,[1]프로젝트현황!Y:Z,2,0),"기타")</f>
        <v>서남권</v>
      </c>
      <c r="BC24" s="23" t="str">
        <f t="shared" si="8"/>
        <v>서울시 영등포구 도신로 64가길 1 1층</v>
      </c>
    </row>
    <row r="25" spans="1:55" ht="15" customHeight="1" x14ac:dyDescent="0.3">
      <c r="A25" s="10">
        <f t="shared" si="0"/>
        <v>23</v>
      </c>
      <c r="B25" s="11">
        <v>210504</v>
      </c>
      <c r="C25" s="27" t="s">
        <v>423</v>
      </c>
      <c r="D25" s="12">
        <v>44347</v>
      </c>
      <c r="E25" s="12">
        <v>44347</v>
      </c>
      <c r="F25" s="12"/>
      <c r="G25" s="13"/>
      <c r="H25" s="14" t="s">
        <v>424</v>
      </c>
      <c r="I25" s="11" t="s">
        <v>425</v>
      </c>
      <c r="J25" s="15" t="str">
        <f t="shared" si="1"/>
        <v>970415</v>
      </c>
      <c r="K25" s="15" t="str">
        <f t="shared" si="9"/>
        <v>04</v>
      </c>
      <c r="L25" s="15" t="str">
        <f t="shared" si="2"/>
        <v>남자</v>
      </c>
      <c r="M25" s="15">
        <f t="shared" ca="1" si="3"/>
        <v>30</v>
      </c>
      <c r="N25" s="15" t="s">
        <v>111</v>
      </c>
      <c r="O25" s="15" t="s">
        <v>112</v>
      </c>
      <c r="P25" s="11" t="s">
        <v>426</v>
      </c>
      <c r="Q25" s="11"/>
      <c r="R25" s="11" t="s">
        <v>167</v>
      </c>
      <c r="S25" s="16"/>
      <c r="T25" s="15" t="s">
        <v>114</v>
      </c>
      <c r="U25" s="11" t="s">
        <v>427</v>
      </c>
      <c r="V25" s="15" t="str">
        <f t="shared" ca="1" si="7"/>
        <v>4년8개월</v>
      </c>
      <c r="W25" s="15" t="s">
        <v>428</v>
      </c>
      <c r="X25" s="18" t="str">
        <f t="shared" ca="1" si="4"/>
        <v>4년8개월</v>
      </c>
      <c r="Y25" s="17" t="s">
        <v>429</v>
      </c>
      <c r="Z25" s="17" t="s">
        <v>430</v>
      </c>
      <c r="AA25" s="14" t="s">
        <v>116</v>
      </c>
      <c r="AB25" s="16">
        <v>44243</v>
      </c>
      <c r="AC25" s="18">
        <f t="shared" ca="1" si="5"/>
        <v>4</v>
      </c>
      <c r="AD25" s="15" t="str">
        <f ca="1">IF($AA25="전문학사",IF($AC25&lt;=8,"초급",IF($AC25&lt;12,"중급",IF($AC25&lt;15,"고급",IF($AC25&gt;=15,"특급")))))</f>
        <v>초급</v>
      </c>
      <c r="AE25" s="15" t="str">
        <f t="shared" si="6"/>
        <v>미해당</v>
      </c>
      <c r="AF25" s="11"/>
      <c r="AG25" s="16"/>
      <c r="AH25" s="11"/>
      <c r="AI25" s="16"/>
      <c r="AJ25" s="11"/>
      <c r="AK25" s="11"/>
      <c r="AL25" s="19"/>
      <c r="AM25" s="11"/>
      <c r="AN25" s="20"/>
      <c r="AO25" s="21"/>
      <c r="AP25" s="21"/>
      <c r="AQ25" s="22" t="s">
        <v>154</v>
      </c>
      <c r="AR25" s="23" t="s">
        <v>155</v>
      </c>
      <c r="AS25" s="14" t="s">
        <v>137</v>
      </c>
      <c r="AT25" s="14" t="s">
        <v>431</v>
      </c>
      <c r="AU25" s="24" t="s">
        <v>157</v>
      </c>
      <c r="AV25" s="24" t="s">
        <v>432</v>
      </c>
      <c r="AW25" s="25" t="s">
        <v>433</v>
      </c>
      <c r="AX25" s="24" t="s">
        <v>122</v>
      </c>
      <c r="AY25" s="24" t="s">
        <v>264</v>
      </c>
      <c r="AZ25" s="17"/>
      <c r="BA25" s="17" t="s">
        <v>434</v>
      </c>
      <c r="BB25" s="26" t="str">
        <f>IFERROR(VLOOKUP($AY25,[1]프로젝트현황!Y:Z,2,0),"기타")</f>
        <v>서남권</v>
      </c>
      <c r="BC25" s="23" t="str">
        <f t="shared" si="8"/>
        <v>서울시 관악구 남부순환로 1430 신림푸르지오 114동 704호</v>
      </c>
    </row>
    <row r="26" spans="1:55" ht="15" customHeight="1" x14ac:dyDescent="0.3">
      <c r="A26" s="10">
        <f t="shared" si="0"/>
        <v>24</v>
      </c>
      <c r="B26" s="11">
        <v>210703</v>
      </c>
      <c r="C26" s="27" t="s">
        <v>435</v>
      </c>
      <c r="D26" s="12">
        <v>44378</v>
      </c>
      <c r="E26" s="12">
        <v>44378</v>
      </c>
      <c r="F26" s="12"/>
      <c r="G26" s="13"/>
      <c r="H26" s="14" t="s">
        <v>436</v>
      </c>
      <c r="I26" s="11" t="s">
        <v>437</v>
      </c>
      <c r="J26" s="15" t="str">
        <f t="shared" si="1"/>
        <v>920917</v>
      </c>
      <c r="K26" s="15" t="str">
        <f t="shared" si="9"/>
        <v>09</v>
      </c>
      <c r="L26" s="15" t="str">
        <f t="shared" si="2"/>
        <v>여자</v>
      </c>
      <c r="M26" s="15">
        <f t="shared" ca="1" si="3"/>
        <v>35</v>
      </c>
      <c r="N26" s="15" t="s">
        <v>111</v>
      </c>
      <c r="O26" s="15" t="s">
        <v>112</v>
      </c>
      <c r="P26" s="11" t="s">
        <v>438</v>
      </c>
      <c r="Q26" s="11"/>
      <c r="R26" s="11" t="s">
        <v>129</v>
      </c>
      <c r="S26" s="16">
        <v>45072</v>
      </c>
      <c r="T26" s="15" t="s">
        <v>114</v>
      </c>
      <c r="U26" s="11" t="s">
        <v>439</v>
      </c>
      <c r="V26" s="15" t="str">
        <f t="shared" ca="1" si="7"/>
        <v>4년7개월</v>
      </c>
      <c r="W26" s="15" t="s">
        <v>428</v>
      </c>
      <c r="X26" s="18" t="str">
        <f t="shared" ca="1" si="4"/>
        <v>4년7개월</v>
      </c>
      <c r="Y26" s="17" t="s">
        <v>440</v>
      </c>
      <c r="Z26" s="17" t="s">
        <v>441</v>
      </c>
      <c r="AA26" s="14" t="s">
        <v>171</v>
      </c>
      <c r="AB26" s="16">
        <v>42429</v>
      </c>
      <c r="AC26" s="18">
        <f t="shared" ca="1" si="5"/>
        <v>4</v>
      </c>
      <c r="AD26" s="15" t="str">
        <f ca="1">IF($AA26="학사",IF($AC26&lt;=5,"초급",IF($AC26&lt;9,"중급",IF($AC26&lt;12,"고급",IF($AC26&gt;=12,"특급")))))</f>
        <v>초급</v>
      </c>
      <c r="AE26" s="15" t="str">
        <f t="shared" si="6"/>
        <v>미해당</v>
      </c>
      <c r="AF26" s="11"/>
      <c r="AG26" s="16"/>
      <c r="AH26" s="11"/>
      <c r="AI26" s="16"/>
      <c r="AJ26" s="11"/>
      <c r="AK26" s="11"/>
      <c r="AL26" s="19"/>
      <c r="AM26" s="11"/>
      <c r="AN26" s="20"/>
      <c r="AO26" s="21"/>
      <c r="AP26" s="21"/>
      <c r="AQ26" s="22" t="s">
        <v>442</v>
      </c>
      <c r="AR26" s="23" t="s">
        <v>443</v>
      </c>
      <c r="AS26" s="14" t="s">
        <v>137</v>
      </c>
      <c r="AT26" s="14" t="s">
        <v>444</v>
      </c>
      <c r="AU26" s="24" t="s">
        <v>393</v>
      </c>
      <c r="AV26" s="24" t="s">
        <v>445</v>
      </c>
      <c r="AW26" s="25" t="s">
        <v>446</v>
      </c>
      <c r="AX26" s="24" t="s">
        <v>122</v>
      </c>
      <c r="AY26" s="24" t="s">
        <v>421</v>
      </c>
      <c r="AZ26" s="17"/>
      <c r="BA26" s="17" t="s">
        <v>447</v>
      </c>
      <c r="BB26" s="26" t="str">
        <f>IFERROR(VLOOKUP($AY26,[1]프로젝트현황!Y:Z,2,0),"기타")</f>
        <v>서남권</v>
      </c>
      <c r="BC26" s="23" t="str">
        <f t="shared" si="8"/>
        <v>서울시 영등포구 양평로30길 38, 103-1301</v>
      </c>
    </row>
    <row r="27" spans="1:55" ht="15" customHeight="1" x14ac:dyDescent="0.3">
      <c r="A27" s="10">
        <f t="shared" si="0"/>
        <v>25</v>
      </c>
      <c r="B27" s="11">
        <v>210901</v>
      </c>
      <c r="C27" s="11" t="s">
        <v>448</v>
      </c>
      <c r="D27" s="12">
        <v>44466</v>
      </c>
      <c r="E27" s="12">
        <v>44466</v>
      </c>
      <c r="F27" s="12"/>
      <c r="G27" s="13"/>
      <c r="H27" s="14" t="s">
        <v>449</v>
      </c>
      <c r="I27" s="11" t="s">
        <v>450</v>
      </c>
      <c r="J27" s="15" t="str">
        <f t="shared" si="1"/>
        <v>880915</v>
      </c>
      <c r="K27" s="15" t="str">
        <f t="shared" si="9"/>
        <v>09</v>
      </c>
      <c r="L27" s="15" t="str">
        <f t="shared" si="2"/>
        <v>남자</v>
      </c>
      <c r="M27" s="15">
        <f t="shared" ca="1" si="3"/>
        <v>39</v>
      </c>
      <c r="N27" s="15" t="s">
        <v>111</v>
      </c>
      <c r="O27" s="15" t="s">
        <v>112</v>
      </c>
      <c r="P27" s="11" t="s">
        <v>451</v>
      </c>
      <c r="Q27" s="11"/>
      <c r="R27" s="11"/>
      <c r="S27" s="16"/>
      <c r="T27" s="15" t="s">
        <v>114</v>
      </c>
      <c r="U27" s="11" t="s">
        <v>452</v>
      </c>
      <c r="V27" s="15" t="str">
        <f t="shared" ca="1" si="7"/>
        <v>8년9개월</v>
      </c>
      <c r="W27" s="15" t="s">
        <v>453</v>
      </c>
      <c r="X27" s="18" t="str">
        <f t="shared" ca="1" si="4"/>
        <v>4년4개월</v>
      </c>
      <c r="Y27" s="17" t="s">
        <v>454</v>
      </c>
      <c r="Z27" s="17"/>
      <c r="AA27" s="14" t="s">
        <v>258</v>
      </c>
      <c r="AB27" s="16">
        <v>39127</v>
      </c>
      <c r="AC27" s="18">
        <f t="shared" ca="1" si="5"/>
        <v>8</v>
      </c>
      <c r="AD27" s="15" t="str">
        <f ca="1">IF($AA27="고졸",IF($AC27&lt;=11,"초급",IF($AC27&lt;=14,"중급",IF($AC27&lt;=17,"고급",IF($AC27&gt;=18,"특급")))))</f>
        <v>초급</v>
      </c>
      <c r="AE27" s="15" t="str">
        <f t="shared" si="6"/>
        <v>미해당</v>
      </c>
      <c r="AF27" s="11"/>
      <c r="AG27" s="16"/>
      <c r="AH27" s="11" t="s">
        <v>134</v>
      </c>
      <c r="AI27" s="16">
        <v>43301</v>
      </c>
      <c r="AJ27" s="11"/>
      <c r="AK27" s="11"/>
      <c r="AL27" s="19"/>
      <c r="AM27" s="11"/>
      <c r="AN27" s="20"/>
      <c r="AO27" s="21" t="s">
        <v>455</v>
      </c>
      <c r="AP27" s="21" t="s">
        <v>456</v>
      </c>
      <c r="AQ27" s="22" t="s">
        <v>154</v>
      </c>
      <c r="AR27" s="23" t="s">
        <v>155</v>
      </c>
      <c r="AS27" s="14" t="s">
        <v>137</v>
      </c>
      <c r="AT27" s="14" t="s">
        <v>457</v>
      </c>
      <c r="AU27" s="24" t="s">
        <v>458</v>
      </c>
      <c r="AV27" s="24" t="s">
        <v>459</v>
      </c>
      <c r="AW27" s="25" t="s">
        <v>460</v>
      </c>
      <c r="AX27" s="24" t="s">
        <v>461</v>
      </c>
      <c r="AY27" s="24" t="s">
        <v>462</v>
      </c>
      <c r="AZ27" s="17"/>
      <c r="BA27" s="17" t="s">
        <v>463</v>
      </c>
      <c r="BB27" s="26" t="str">
        <f>IFERROR(VLOOKUP($AY27,[1]프로젝트현황!Y:Z,2,0),"기타")</f>
        <v>서남권</v>
      </c>
      <c r="BC27" s="23" t="str">
        <f t="shared" si="8"/>
        <v>인천시 부평구 경원대로 1269, 117동 503호 (신곡동, 현대아파트)</v>
      </c>
    </row>
    <row r="28" spans="1:55" ht="15" customHeight="1" x14ac:dyDescent="0.3">
      <c r="A28" s="10">
        <f t="shared" si="0"/>
        <v>26</v>
      </c>
      <c r="B28" s="11">
        <v>220103</v>
      </c>
      <c r="C28" s="11" t="s">
        <v>464</v>
      </c>
      <c r="D28" s="12">
        <v>44578</v>
      </c>
      <c r="E28" s="12">
        <v>44578</v>
      </c>
      <c r="F28" s="12"/>
      <c r="G28" s="13"/>
      <c r="H28" s="14" t="s">
        <v>465</v>
      </c>
      <c r="I28" s="11" t="s">
        <v>466</v>
      </c>
      <c r="J28" s="15" t="str">
        <f t="shared" si="1"/>
        <v>950519</v>
      </c>
      <c r="K28" s="15" t="str">
        <f t="shared" si="9"/>
        <v>05</v>
      </c>
      <c r="L28" s="15" t="str">
        <f t="shared" si="2"/>
        <v>여자</v>
      </c>
      <c r="M28" s="15">
        <f t="shared" ca="1" si="3"/>
        <v>32</v>
      </c>
      <c r="N28" s="15" t="s">
        <v>111</v>
      </c>
      <c r="O28" s="15" t="s">
        <v>112</v>
      </c>
      <c r="P28" s="11" t="s">
        <v>467</v>
      </c>
      <c r="Q28" s="11"/>
      <c r="R28" s="11"/>
      <c r="S28" s="16"/>
      <c r="T28" s="15" t="s">
        <v>114</v>
      </c>
      <c r="U28" s="11" t="s">
        <v>468</v>
      </c>
      <c r="V28" s="15" t="str">
        <f t="shared" ca="1" si="7"/>
        <v>5년4개월</v>
      </c>
      <c r="W28" s="15" t="s">
        <v>469</v>
      </c>
      <c r="X28" s="18" t="str">
        <f t="shared" ca="1" si="4"/>
        <v>4년0개월</v>
      </c>
      <c r="Y28" s="17" t="s">
        <v>470</v>
      </c>
      <c r="Z28" s="17" t="s">
        <v>471</v>
      </c>
      <c r="AA28" s="14" t="s">
        <v>171</v>
      </c>
      <c r="AB28" s="16">
        <v>43882</v>
      </c>
      <c r="AC28" s="18">
        <f t="shared" ca="1" si="5"/>
        <v>5</v>
      </c>
      <c r="AD28" s="15" t="str">
        <f ca="1">IF($AA28="학사",IF($AC28&lt;=5,"초급",IF($AC28&lt;9,"중급",IF($AC28&lt;12,"고급",IF($AC28&gt;=12,"특급")))))</f>
        <v>초급</v>
      </c>
      <c r="AE28" s="15" t="str">
        <f t="shared" ca="1" si="6"/>
        <v>중급</v>
      </c>
      <c r="AF28" s="11"/>
      <c r="AG28" s="16"/>
      <c r="AH28" s="11" t="s">
        <v>87</v>
      </c>
      <c r="AI28" s="16">
        <v>44665</v>
      </c>
      <c r="AJ28" s="11" t="s">
        <v>89</v>
      </c>
      <c r="AK28" s="11">
        <v>43791</v>
      </c>
      <c r="AL28" s="19"/>
      <c r="AM28" s="11"/>
      <c r="AN28" s="20"/>
      <c r="AO28" s="21" t="s">
        <v>472</v>
      </c>
      <c r="AP28" s="21" t="s">
        <v>473</v>
      </c>
      <c r="AQ28" s="22" t="s">
        <v>154</v>
      </c>
      <c r="AR28" s="23" t="s">
        <v>155</v>
      </c>
      <c r="AS28" s="14" t="s">
        <v>137</v>
      </c>
      <c r="AT28" s="14" t="s">
        <v>474</v>
      </c>
      <c r="AU28" s="24" t="s">
        <v>157</v>
      </c>
      <c r="AV28" s="24" t="s">
        <v>475</v>
      </c>
      <c r="AW28" s="25" t="s">
        <v>476</v>
      </c>
      <c r="AX28" s="24" t="s">
        <v>141</v>
      </c>
      <c r="AY28" s="24" t="s">
        <v>477</v>
      </c>
      <c r="AZ28" s="17"/>
      <c r="BA28" s="17" t="s">
        <v>478</v>
      </c>
      <c r="BB28" s="26" t="str">
        <f>IFERROR(VLOOKUP($AY28,[1]프로젝트현황!Y:Z,2,0),"기타")</f>
        <v>서남권</v>
      </c>
      <c r="BC28" s="23" t="str">
        <f t="shared" si="8"/>
        <v>경기도 화성시 병점노을1로 14, 101동 703호</v>
      </c>
    </row>
    <row r="29" spans="1:55" ht="15" customHeight="1" x14ac:dyDescent="0.3">
      <c r="A29" s="10">
        <f t="shared" si="0"/>
        <v>27</v>
      </c>
      <c r="B29" s="11">
        <v>220104</v>
      </c>
      <c r="C29" s="11" t="s">
        <v>479</v>
      </c>
      <c r="D29" s="12">
        <v>44578</v>
      </c>
      <c r="E29" s="12">
        <v>44578</v>
      </c>
      <c r="F29" s="12"/>
      <c r="G29" s="13"/>
      <c r="H29" s="14" t="s">
        <v>480</v>
      </c>
      <c r="I29" s="11" t="s">
        <v>481</v>
      </c>
      <c r="J29" s="15" t="str">
        <f t="shared" si="1"/>
        <v>820319</v>
      </c>
      <c r="K29" s="15" t="str">
        <f t="shared" si="9"/>
        <v>03</v>
      </c>
      <c r="L29" s="15" t="str">
        <f t="shared" si="2"/>
        <v>여자</v>
      </c>
      <c r="M29" s="15">
        <f t="shared" ca="1" si="3"/>
        <v>45</v>
      </c>
      <c r="N29" s="15" t="s">
        <v>111</v>
      </c>
      <c r="O29" s="15" t="s">
        <v>112</v>
      </c>
      <c r="P29" s="11" t="s">
        <v>482</v>
      </c>
      <c r="Q29" s="11"/>
      <c r="R29" s="11"/>
      <c r="S29" s="16"/>
      <c r="T29" s="15" t="s">
        <v>114</v>
      </c>
      <c r="U29" s="11"/>
      <c r="V29" s="15" t="str">
        <f t="shared" ca="1" si="7"/>
        <v>7년6개월</v>
      </c>
      <c r="W29" s="15" t="s">
        <v>483</v>
      </c>
      <c r="X29" s="18" t="str">
        <f t="shared" ca="1" si="4"/>
        <v>4년0개월</v>
      </c>
      <c r="Y29" s="17" t="s">
        <v>484</v>
      </c>
      <c r="Z29" s="17" t="s">
        <v>485</v>
      </c>
      <c r="AA29" s="14" t="s">
        <v>171</v>
      </c>
      <c r="AB29" s="16">
        <v>39135</v>
      </c>
      <c r="AC29" s="18">
        <f t="shared" ca="1" si="5"/>
        <v>7</v>
      </c>
      <c r="AD29" s="15" t="str">
        <f ca="1">IF($AA29="학사",IF($AC29&lt;=5,"초급",IF($AC29&lt;9,"중급",IF($AC29&lt;12,"고급",IF($AC29&gt;=12,"특급")))))</f>
        <v>중급</v>
      </c>
      <c r="AE29" s="15" t="str">
        <f t="shared" si="6"/>
        <v>미해당</v>
      </c>
      <c r="AF29" s="11"/>
      <c r="AG29" s="16"/>
      <c r="AH29" s="11" t="s">
        <v>134</v>
      </c>
      <c r="AI29" s="16">
        <v>44443</v>
      </c>
      <c r="AJ29" s="11"/>
      <c r="AK29" s="11"/>
      <c r="AL29" s="19"/>
      <c r="AM29" s="11"/>
      <c r="AN29" s="20" t="s">
        <v>486</v>
      </c>
      <c r="AO29" s="21" t="s">
        <v>487</v>
      </c>
      <c r="AP29" s="21" t="s">
        <v>488</v>
      </c>
      <c r="AQ29" s="22" t="s">
        <v>154</v>
      </c>
      <c r="AR29" s="23" t="s">
        <v>155</v>
      </c>
      <c r="AS29" s="14" t="s">
        <v>137</v>
      </c>
      <c r="AT29" s="14" t="s">
        <v>489</v>
      </c>
      <c r="AU29" s="24" t="s">
        <v>490</v>
      </c>
      <c r="AV29" s="24" t="s">
        <v>491</v>
      </c>
      <c r="AW29" s="25" t="s">
        <v>492</v>
      </c>
      <c r="AX29" s="24" t="s">
        <v>122</v>
      </c>
      <c r="AY29" s="24" t="s">
        <v>493</v>
      </c>
      <c r="AZ29" s="17"/>
      <c r="BA29" s="17" t="s">
        <v>494</v>
      </c>
      <c r="BB29" s="26" t="str">
        <f>IFERROR(VLOOKUP($AY29,[1]프로젝트현황!Y:Z,2,0),"기타")</f>
        <v>동북권</v>
      </c>
      <c r="BC29" s="23" t="str">
        <f t="shared" si="8"/>
        <v>서울시 성동구 마조로7길 15(행당동)</v>
      </c>
    </row>
    <row r="30" spans="1:55" ht="15" customHeight="1" x14ac:dyDescent="0.3">
      <c r="A30" s="10">
        <f t="shared" si="0"/>
        <v>28</v>
      </c>
      <c r="B30" s="11">
        <v>220404</v>
      </c>
      <c r="C30" s="11" t="s">
        <v>495</v>
      </c>
      <c r="D30" s="12">
        <v>44669</v>
      </c>
      <c r="E30" s="12">
        <v>44669</v>
      </c>
      <c r="F30" s="12"/>
      <c r="G30" s="13"/>
      <c r="H30" s="14" t="s">
        <v>496</v>
      </c>
      <c r="I30" s="11" t="s">
        <v>497</v>
      </c>
      <c r="J30" s="15" t="str">
        <f t="shared" si="1"/>
        <v>951109</v>
      </c>
      <c r="K30" s="15" t="str">
        <f t="shared" si="9"/>
        <v>11</v>
      </c>
      <c r="L30" s="15" t="str">
        <f t="shared" si="2"/>
        <v>남자</v>
      </c>
      <c r="M30" s="15">
        <f t="shared" ca="1" si="3"/>
        <v>32</v>
      </c>
      <c r="N30" s="15" t="s">
        <v>111</v>
      </c>
      <c r="O30" s="15" t="s">
        <v>112</v>
      </c>
      <c r="P30" s="11" t="s">
        <v>498</v>
      </c>
      <c r="Q30" s="11"/>
      <c r="R30" s="11"/>
      <c r="S30" s="16"/>
      <c r="T30" s="15" t="s">
        <v>114</v>
      </c>
      <c r="U30" s="11" t="s">
        <v>499</v>
      </c>
      <c r="V30" s="15" t="str">
        <f t="shared" ca="1" si="7"/>
        <v>3년9개월</v>
      </c>
      <c r="W30" s="15" t="s">
        <v>428</v>
      </c>
      <c r="X30" s="18" t="str">
        <f t="shared" ca="1" si="4"/>
        <v>3년9개월</v>
      </c>
      <c r="Y30" s="17" t="s">
        <v>500</v>
      </c>
      <c r="Z30" s="17" t="s">
        <v>501</v>
      </c>
      <c r="AA30" s="14" t="s">
        <v>116</v>
      </c>
      <c r="AB30" s="16">
        <v>43872</v>
      </c>
      <c r="AC30" s="18">
        <f t="shared" ca="1" si="5"/>
        <v>3</v>
      </c>
      <c r="AD30" s="15" t="str">
        <f ca="1">IF($AA30="전문학사",IF($AC30&lt;=8,"초급",IF($AC30&lt;12,"중급",IF($AC30&lt;15,"고급",IF($AC30&gt;=15,"특급")))))</f>
        <v>초급</v>
      </c>
      <c r="AE30" s="15" t="str">
        <f t="shared" si="6"/>
        <v>미해당</v>
      </c>
      <c r="AF30" s="11"/>
      <c r="AG30" s="16"/>
      <c r="AH30" s="11"/>
      <c r="AI30" s="16"/>
      <c r="AJ30" s="11"/>
      <c r="AK30" s="11"/>
      <c r="AL30" s="19"/>
      <c r="AM30" s="11"/>
      <c r="AN30" s="20"/>
      <c r="AO30" s="21"/>
      <c r="AP30" s="21"/>
      <c r="AQ30" s="22" t="s">
        <v>154</v>
      </c>
      <c r="AR30" s="23" t="s">
        <v>155</v>
      </c>
      <c r="AS30" s="14" t="s">
        <v>137</v>
      </c>
      <c r="AT30" s="14" t="s">
        <v>502</v>
      </c>
      <c r="AU30" s="24" t="s">
        <v>157</v>
      </c>
      <c r="AV30" s="24" t="s">
        <v>503</v>
      </c>
      <c r="AW30" s="25" t="s">
        <v>504</v>
      </c>
      <c r="AX30" s="24" t="s">
        <v>122</v>
      </c>
      <c r="AY30" s="24" t="s">
        <v>505</v>
      </c>
      <c r="AZ30" s="17"/>
      <c r="BA30" s="17" t="s">
        <v>506</v>
      </c>
      <c r="BB30" s="26" t="str">
        <f>IFERROR(VLOOKUP($AY30,[1]프로젝트현황!Y:Z,2,0),"기타")</f>
        <v>동북권</v>
      </c>
      <c r="BC30" s="23" t="str">
        <f t="shared" si="8"/>
        <v>서울시 강북구  삼양로27길 19, 215동 401호 (미아동,삼성래미안트리베라아파트)</v>
      </c>
    </row>
    <row r="31" spans="1:55" ht="15" customHeight="1" x14ac:dyDescent="0.3">
      <c r="A31" s="10">
        <f t="shared" si="0"/>
        <v>29</v>
      </c>
      <c r="B31" s="11">
        <v>220501</v>
      </c>
      <c r="C31" s="11" t="s">
        <v>507</v>
      </c>
      <c r="D31" s="12">
        <v>44683</v>
      </c>
      <c r="E31" s="12">
        <v>44683</v>
      </c>
      <c r="F31" s="12"/>
      <c r="G31" s="13"/>
      <c r="H31" s="14" t="s">
        <v>508</v>
      </c>
      <c r="I31" s="11" t="s">
        <v>509</v>
      </c>
      <c r="J31" s="15" t="str">
        <f t="shared" si="1"/>
        <v>000206</v>
      </c>
      <c r="K31" s="15" t="str">
        <f t="shared" si="9"/>
        <v>02</v>
      </c>
      <c r="L31" s="15" t="str">
        <f t="shared" si="2"/>
        <v>남자</v>
      </c>
      <c r="M31" s="15">
        <f t="shared" ca="1" si="3"/>
        <v>27</v>
      </c>
      <c r="N31" s="15" t="s">
        <v>111</v>
      </c>
      <c r="O31" s="15" t="s">
        <v>112</v>
      </c>
      <c r="P31" s="11" t="s">
        <v>510</v>
      </c>
      <c r="Q31" s="11"/>
      <c r="R31" s="11"/>
      <c r="S31" s="16"/>
      <c r="T31" s="15" t="s">
        <v>114</v>
      </c>
      <c r="U31" s="11" t="s">
        <v>511</v>
      </c>
      <c r="V31" s="15" t="str">
        <f t="shared" ca="1" si="7"/>
        <v>3년9개월</v>
      </c>
      <c r="W31" s="15" t="s">
        <v>428</v>
      </c>
      <c r="X31" s="18" t="str">
        <f t="shared" ca="1" si="4"/>
        <v>3년9개월</v>
      </c>
      <c r="Y31" s="17" t="s">
        <v>512</v>
      </c>
      <c r="Z31" s="17" t="s">
        <v>513</v>
      </c>
      <c r="AA31" s="14" t="s">
        <v>171</v>
      </c>
      <c r="AB31" s="16">
        <v>44622</v>
      </c>
      <c r="AC31" s="18">
        <f t="shared" ca="1" si="5"/>
        <v>3</v>
      </c>
      <c r="AD31" s="15" t="str">
        <f ca="1">IF($AA31="학사",IF($AC31&lt;=5,"초급",IF($AC31&lt;9,"중급",IF($AC31&lt;12,"고급",IF($AC31&gt;=12,"특급")))))</f>
        <v>초급</v>
      </c>
      <c r="AE31" s="15" t="str">
        <f t="shared" si="6"/>
        <v>미해당</v>
      </c>
      <c r="AF31" s="11"/>
      <c r="AG31" s="16"/>
      <c r="AH31" s="11"/>
      <c r="AI31" s="16"/>
      <c r="AJ31" s="11"/>
      <c r="AK31" s="16"/>
      <c r="AL31" s="19"/>
      <c r="AM31" s="11"/>
      <c r="AN31" s="20" t="s">
        <v>514</v>
      </c>
      <c r="AO31" s="21" t="s">
        <v>417</v>
      </c>
      <c r="AP31" s="21" t="s">
        <v>515</v>
      </c>
      <c r="AQ31" s="22" t="s">
        <v>154</v>
      </c>
      <c r="AR31" s="23" t="s">
        <v>155</v>
      </c>
      <c r="AS31" s="14" t="s">
        <v>137</v>
      </c>
      <c r="AT31" s="14" t="s">
        <v>516</v>
      </c>
      <c r="AU31" s="24" t="s">
        <v>157</v>
      </c>
      <c r="AV31" s="24" t="s">
        <v>517</v>
      </c>
      <c r="AW31" s="25" t="s">
        <v>518</v>
      </c>
      <c r="AX31" s="24" t="s">
        <v>122</v>
      </c>
      <c r="AY31" s="24" t="s">
        <v>264</v>
      </c>
      <c r="AZ31" s="17"/>
      <c r="BA31" s="17" t="s">
        <v>519</v>
      </c>
      <c r="BB31" s="26" t="str">
        <f>IFERROR(VLOOKUP($AY31,[1]프로젝트현황!Y:Z,2,0),"기타")</f>
        <v>서남권</v>
      </c>
      <c r="BC31" s="23" t="str">
        <f t="shared" si="8"/>
        <v>서울시 관악구 남부순환로 1527 (신림동) 502호</v>
      </c>
    </row>
    <row r="32" spans="1:55" ht="15" customHeight="1" x14ac:dyDescent="0.3">
      <c r="A32" s="10">
        <f t="shared" si="0"/>
        <v>30</v>
      </c>
      <c r="B32" s="11">
        <v>220602</v>
      </c>
      <c r="C32" s="11" t="s">
        <v>520</v>
      </c>
      <c r="D32" s="12">
        <v>44719</v>
      </c>
      <c r="E32" s="12">
        <v>44719</v>
      </c>
      <c r="F32" s="12"/>
      <c r="G32" s="13"/>
      <c r="H32" s="14" t="s">
        <v>521</v>
      </c>
      <c r="I32" s="11" t="s">
        <v>522</v>
      </c>
      <c r="J32" s="15" t="str">
        <f t="shared" si="1"/>
        <v>920626</v>
      </c>
      <c r="K32" s="15" t="str">
        <f t="shared" si="9"/>
        <v>06</v>
      </c>
      <c r="L32" s="15" t="str">
        <f t="shared" si="2"/>
        <v>남자</v>
      </c>
      <c r="M32" s="15">
        <f t="shared" ca="1" si="3"/>
        <v>35</v>
      </c>
      <c r="N32" s="15" t="s">
        <v>111</v>
      </c>
      <c r="O32" s="15" t="s">
        <v>112</v>
      </c>
      <c r="P32" s="11" t="s">
        <v>523</v>
      </c>
      <c r="Q32" s="11"/>
      <c r="R32" s="11" t="s">
        <v>167</v>
      </c>
      <c r="S32" s="16"/>
      <c r="T32" s="15" t="s">
        <v>114</v>
      </c>
      <c r="U32" s="11" t="s">
        <v>524</v>
      </c>
      <c r="V32" s="15" t="str">
        <f t="shared" ca="1" si="7"/>
        <v>3년8개월</v>
      </c>
      <c r="W32" s="15" t="s">
        <v>428</v>
      </c>
      <c r="X32" s="18" t="str">
        <f t="shared" ca="1" si="4"/>
        <v>3년8개월</v>
      </c>
      <c r="Y32" s="17" t="s">
        <v>525</v>
      </c>
      <c r="Z32" s="17" t="s">
        <v>526</v>
      </c>
      <c r="AA32" s="14" t="s">
        <v>258</v>
      </c>
      <c r="AB32" s="16">
        <v>40583</v>
      </c>
      <c r="AC32" s="18">
        <f t="shared" ca="1" si="5"/>
        <v>3</v>
      </c>
      <c r="AD32" s="15" t="str">
        <f ca="1">IF($AA32="고졸",IF($AC32&lt;=11,"초급",IF($AC32&lt;=14,"중급",IF($AC32&lt;=17,"고급",IF($AC32&gt;=18,"특급")))))</f>
        <v>초급</v>
      </c>
      <c r="AE32" s="15" t="str">
        <f t="shared" si="6"/>
        <v>미해당</v>
      </c>
      <c r="AF32" s="11"/>
      <c r="AG32" s="16"/>
      <c r="AH32" s="11" t="s">
        <v>87</v>
      </c>
      <c r="AI32" s="16">
        <v>44728</v>
      </c>
      <c r="AJ32" s="11"/>
      <c r="AK32" s="11"/>
      <c r="AL32" s="19"/>
      <c r="AM32" s="11"/>
      <c r="AN32" s="20"/>
      <c r="AO32" s="21" t="s">
        <v>527</v>
      </c>
      <c r="AP32" s="21" t="s">
        <v>528</v>
      </c>
      <c r="AQ32" s="22" t="s">
        <v>154</v>
      </c>
      <c r="AR32" s="23" t="s">
        <v>155</v>
      </c>
      <c r="AS32" s="14" t="s">
        <v>137</v>
      </c>
      <c r="AT32" s="14" t="s">
        <v>529</v>
      </c>
      <c r="AU32" s="24" t="s">
        <v>157</v>
      </c>
      <c r="AV32" s="24" t="s">
        <v>530</v>
      </c>
      <c r="AW32" s="25" t="s">
        <v>531</v>
      </c>
      <c r="AX32" s="24" t="s">
        <v>122</v>
      </c>
      <c r="AY32" s="24" t="s">
        <v>532</v>
      </c>
      <c r="AZ32" s="17"/>
      <c r="BA32" s="17" t="s">
        <v>533</v>
      </c>
      <c r="BB32" s="26" t="str">
        <f>IFERROR(VLOOKUP($AY32,[1]프로젝트현황!Y:Z,2,0),"기타")</f>
        <v>동북권</v>
      </c>
      <c r="BC32" s="23" t="str">
        <f t="shared" si="8"/>
        <v>서울시 광진구 뚝섬로45길 40 (자양동)</v>
      </c>
    </row>
    <row r="33" spans="1:55" ht="15" customHeight="1" x14ac:dyDescent="0.3">
      <c r="A33" s="10">
        <f t="shared" si="0"/>
        <v>31</v>
      </c>
      <c r="B33" s="11">
        <v>220603</v>
      </c>
      <c r="C33" s="11" t="s">
        <v>534</v>
      </c>
      <c r="D33" s="12">
        <v>44719</v>
      </c>
      <c r="E33" s="12">
        <v>44719</v>
      </c>
      <c r="F33" s="12"/>
      <c r="G33" s="13">
        <v>46038</v>
      </c>
      <c r="H33" s="14" t="s">
        <v>535</v>
      </c>
      <c r="I33" s="11" t="s">
        <v>536</v>
      </c>
      <c r="J33" s="15" t="str">
        <f t="shared" si="1"/>
        <v>930923</v>
      </c>
      <c r="K33" s="15" t="str">
        <f t="shared" si="9"/>
        <v>09</v>
      </c>
      <c r="L33" s="15" t="str">
        <f t="shared" si="2"/>
        <v>남자</v>
      </c>
      <c r="M33" s="15">
        <f t="shared" ca="1" si="3"/>
        <v>34</v>
      </c>
      <c r="N33" s="15" t="s">
        <v>111</v>
      </c>
      <c r="O33" s="15" t="s">
        <v>112</v>
      </c>
      <c r="P33" s="11" t="s">
        <v>537</v>
      </c>
      <c r="Q33" s="11"/>
      <c r="R33" s="11"/>
      <c r="S33" s="16"/>
      <c r="T33" s="15" t="s">
        <v>114</v>
      </c>
      <c r="U33" s="11" t="s">
        <v>538</v>
      </c>
      <c r="V33" s="15" t="str">
        <f t="shared" ca="1" si="7"/>
        <v>3년8개월</v>
      </c>
      <c r="W33" s="15" t="s">
        <v>428</v>
      </c>
      <c r="X33" s="18" t="str">
        <f t="shared" ca="1" si="4"/>
        <v>3년8개월</v>
      </c>
      <c r="Y33" s="17" t="s">
        <v>539</v>
      </c>
      <c r="Z33" s="17" t="s">
        <v>526</v>
      </c>
      <c r="AA33" s="14" t="s">
        <v>258</v>
      </c>
      <c r="AB33" s="16">
        <v>40948</v>
      </c>
      <c r="AC33" s="18">
        <f t="shared" ca="1" si="5"/>
        <v>3</v>
      </c>
      <c r="AD33" s="15" t="str">
        <f ca="1">IF($AA33="고졸",IF($AC33&lt;=11,"초급",IF($AC33&lt;=14,"중급",IF($AC33&lt;=17,"고급",IF($AC33&gt;=18,"특급")))))</f>
        <v>초급</v>
      </c>
      <c r="AE33" s="15" t="str">
        <f t="shared" si="6"/>
        <v>미해당</v>
      </c>
      <c r="AF33" s="11"/>
      <c r="AG33" s="16"/>
      <c r="AH33" s="11"/>
      <c r="AI33" s="16"/>
      <c r="AJ33" s="11"/>
      <c r="AK33" s="11"/>
      <c r="AL33" s="19"/>
      <c r="AM33" s="11"/>
      <c r="AN33" s="20"/>
      <c r="AO33" s="21"/>
      <c r="AP33" s="21"/>
      <c r="AQ33" s="22" t="s">
        <v>154</v>
      </c>
      <c r="AR33" s="23" t="s">
        <v>155</v>
      </c>
      <c r="AS33" s="14" t="s">
        <v>137</v>
      </c>
      <c r="AT33" s="14" t="s">
        <v>540</v>
      </c>
      <c r="AU33" s="24" t="s">
        <v>176</v>
      </c>
      <c r="AV33" s="24" t="s">
        <v>541</v>
      </c>
      <c r="AW33" s="25" t="s">
        <v>542</v>
      </c>
      <c r="AX33" s="24" t="s">
        <v>122</v>
      </c>
      <c r="AY33" s="24" t="s">
        <v>543</v>
      </c>
      <c r="AZ33" s="17"/>
      <c r="BA33" s="17" t="s">
        <v>544</v>
      </c>
      <c r="BB33" s="26" t="str">
        <f>IFERROR(VLOOKUP($AY33,[1]프로젝트현황!Y:Z,2,0),"기타")</f>
        <v>서남권</v>
      </c>
      <c r="BC33" s="23" t="str">
        <f t="shared" si="8"/>
        <v>서울시 양천구 목동중앙북로22길 14-16 (목동)</v>
      </c>
    </row>
    <row r="34" spans="1:55" ht="15" customHeight="1" x14ac:dyDescent="0.3">
      <c r="A34" s="10">
        <f t="shared" si="0"/>
        <v>32</v>
      </c>
      <c r="B34" s="11">
        <v>220604</v>
      </c>
      <c r="C34" s="11" t="s">
        <v>545</v>
      </c>
      <c r="D34" s="12">
        <v>44732</v>
      </c>
      <c r="E34" s="12">
        <v>44732</v>
      </c>
      <c r="F34" s="12"/>
      <c r="G34" s="13"/>
      <c r="H34" s="14" t="s">
        <v>546</v>
      </c>
      <c r="I34" s="11" t="s">
        <v>547</v>
      </c>
      <c r="J34" s="15" t="str">
        <f t="shared" si="1"/>
        <v>010420</v>
      </c>
      <c r="K34" s="15" t="str">
        <f t="shared" si="9"/>
        <v>04</v>
      </c>
      <c r="L34" s="15" t="str">
        <f t="shared" si="2"/>
        <v>여자</v>
      </c>
      <c r="M34" s="15">
        <f t="shared" ca="1" si="3"/>
        <v>26</v>
      </c>
      <c r="N34" s="15" t="s">
        <v>111</v>
      </c>
      <c r="O34" s="15" t="s">
        <v>112</v>
      </c>
      <c r="P34" s="11" t="s">
        <v>548</v>
      </c>
      <c r="Q34" s="11"/>
      <c r="R34" s="11" t="s">
        <v>167</v>
      </c>
      <c r="S34" s="16"/>
      <c r="T34" s="15" t="s">
        <v>114</v>
      </c>
      <c r="U34" s="11" t="s">
        <v>549</v>
      </c>
      <c r="V34" s="15" t="str">
        <f t="shared" ca="1" si="7"/>
        <v>4년7개월</v>
      </c>
      <c r="W34" s="15" t="s">
        <v>326</v>
      </c>
      <c r="X34" s="18" t="str">
        <f t="shared" ca="1" si="4"/>
        <v>3년7개월</v>
      </c>
      <c r="Y34" s="17" t="s">
        <v>429</v>
      </c>
      <c r="Z34" s="17" t="s">
        <v>550</v>
      </c>
      <c r="AA34" s="14" t="s">
        <v>116</v>
      </c>
      <c r="AB34" s="16">
        <v>44607</v>
      </c>
      <c r="AC34" s="18">
        <f t="shared" ca="1" si="5"/>
        <v>4</v>
      </c>
      <c r="AD34" s="15" t="str">
        <f ca="1">IF($AA34="전문학사",IF($AC34&lt;=8,"초급",IF($AC34&lt;12,"중급",IF($AC34&lt;15,"고급",IF($AC34&gt;=15,"특급")))))</f>
        <v>초급</v>
      </c>
      <c r="AE34" s="15" t="str">
        <f t="shared" si="6"/>
        <v>미해당</v>
      </c>
      <c r="AF34" s="11"/>
      <c r="AG34" s="16"/>
      <c r="AH34" s="11"/>
      <c r="AI34" s="16"/>
      <c r="AJ34" s="11"/>
      <c r="AK34" s="11"/>
      <c r="AL34" s="19"/>
      <c r="AM34" s="11"/>
      <c r="AN34" s="20"/>
      <c r="AO34" s="21"/>
      <c r="AP34" s="21"/>
      <c r="AQ34" s="22" t="s">
        <v>154</v>
      </c>
      <c r="AR34" s="23" t="s">
        <v>155</v>
      </c>
      <c r="AS34" s="14" t="s">
        <v>137</v>
      </c>
      <c r="AT34" s="14" t="s">
        <v>551</v>
      </c>
      <c r="AU34" s="24" t="s">
        <v>157</v>
      </c>
      <c r="AV34" s="24" t="s">
        <v>552</v>
      </c>
      <c r="AW34" s="25" t="s">
        <v>553</v>
      </c>
      <c r="AX34" s="24" t="s">
        <v>141</v>
      </c>
      <c r="AY34" s="24" t="s">
        <v>554</v>
      </c>
      <c r="AZ34" s="17"/>
      <c r="BA34" s="17" t="s">
        <v>555</v>
      </c>
      <c r="BB34" s="26" t="str">
        <f>IFERROR(VLOOKUP($AY34,[1]프로젝트현황!Y:Z,2,0),"기타")</f>
        <v>서남권</v>
      </c>
      <c r="BC34" s="23" t="str">
        <f t="shared" si="8"/>
        <v>경기도 광명시 광명로927번길 6-10, 302호(광명동, 보륭빌라)</v>
      </c>
    </row>
    <row r="35" spans="1:55" ht="15" customHeight="1" x14ac:dyDescent="0.3">
      <c r="A35" s="10">
        <f t="shared" si="0"/>
        <v>33</v>
      </c>
      <c r="B35" s="11">
        <v>220702</v>
      </c>
      <c r="C35" s="11" t="s">
        <v>556</v>
      </c>
      <c r="D35" s="12">
        <v>44746</v>
      </c>
      <c r="E35" s="12">
        <v>44774</v>
      </c>
      <c r="F35" s="12"/>
      <c r="G35" s="13"/>
      <c r="H35" s="14" t="s">
        <v>557</v>
      </c>
      <c r="I35" s="11" t="s">
        <v>558</v>
      </c>
      <c r="J35" s="15" t="str">
        <f t="shared" si="1"/>
        <v>990317</v>
      </c>
      <c r="K35" s="15" t="str">
        <f t="shared" si="9"/>
        <v>03</v>
      </c>
      <c r="L35" s="15" t="str">
        <f t="shared" si="2"/>
        <v>남자</v>
      </c>
      <c r="M35" s="15">
        <f t="shared" ca="1" si="3"/>
        <v>28</v>
      </c>
      <c r="N35" s="15" t="s">
        <v>111</v>
      </c>
      <c r="O35" s="15" t="s">
        <v>112</v>
      </c>
      <c r="P35" s="11" t="s">
        <v>559</v>
      </c>
      <c r="Q35" s="11"/>
      <c r="R35" s="11"/>
      <c r="S35" s="16"/>
      <c r="T35" s="15" t="s">
        <v>114</v>
      </c>
      <c r="U35" s="11" t="s">
        <v>560</v>
      </c>
      <c r="V35" s="15" t="str">
        <f t="shared" ca="1" si="7"/>
        <v>3년7개월</v>
      </c>
      <c r="W35" s="15" t="s">
        <v>428</v>
      </c>
      <c r="X35" s="18" t="str">
        <f t="shared" ca="1" si="4"/>
        <v>3년7개월</v>
      </c>
      <c r="Y35" s="17" t="s">
        <v>337</v>
      </c>
      <c r="Z35" s="17" t="s">
        <v>338</v>
      </c>
      <c r="AA35" s="14" t="s">
        <v>116</v>
      </c>
      <c r="AB35" s="16">
        <v>44967</v>
      </c>
      <c r="AC35" s="18">
        <f t="shared" ca="1" si="5"/>
        <v>3</v>
      </c>
      <c r="AD35" s="15" t="str">
        <f ca="1">IF($AA35="전문학사",IF($AC35&lt;=8,"초급",IF($AC35&lt;12,"중급",IF($AC35&lt;15,"고급",IF($AC35&gt;=15,"특급")))))</f>
        <v>초급</v>
      </c>
      <c r="AE35" s="15" t="str">
        <f t="shared" si="6"/>
        <v>미해당</v>
      </c>
      <c r="AF35" s="11"/>
      <c r="AG35" s="16"/>
      <c r="AH35" s="11" t="s">
        <v>87</v>
      </c>
      <c r="AI35" s="16">
        <v>45267</v>
      </c>
      <c r="AJ35" s="11"/>
      <c r="AK35" s="11"/>
      <c r="AL35" s="19"/>
      <c r="AM35" s="11"/>
      <c r="AN35" s="20"/>
      <c r="AO35" s="21"/>
      <c r="AP35" s="21"/>
      <c r="AQ35" s="22" t="s">
        <v>154</v>
      </c>
      <c r="AR35" s="23" t="s">
        <v>155</v>
      </c>
      <c r="AS35" s="14" t="s">
        <v>137</v>
      </c>
      <c r="AT35" s="14" t="s">
        <v>561</v>
      </c>
      <c r="AU35" s="24" t="s">
        <v>157</v>
      </c>
      <c r="AV35" s="24" t="s">
        <v>562</v>
      </c>
      <c r="AW35" s="25" t="s">
        <v>563</v>
      </c>
      <c r="AX35" s="24" t="s">
        <v>141</v>
      </c>
      <c r="AY35" s="24" t="s">
        <v>564</v>
      </c>
      <c r="AZ35" s="17"/>
      <c r="BA35" s="17" t="s">
        <v>565</v>
      </c>
      <c r="BB35" s="26" t="str">
        <f>IFERROR(VLOOKUP($AY35,[1]프로젝트현황!Y:Z,2,0),"기타")</f>
        <v>서남권</v>
      </c>
      <c r="BC35" s="23" t="str">
        <f t="shared" si="8"/>
        <v>경기도 김포시 전원로 28, 110동 1302호 (운양동,전원마을)</v>
      </c>
    </row>
    <row r="36" spans="1:55" ht="15" customHeight="1" x14ac:dyDescent="0.3">
      <c r="A36" s="10">
        <f t="shared" si="0"/>
        <v>34</v>
      </c>
      <c r="B36" s="11">
        <v>220703</v>
      </c>
      <c r="C36" s="11" t="s">
        <v>566</v>
      </c>
      <c r="D36" s="12">
        <v>44746</v>
      </c>
      <c r="E36" s="12">
        <v>44774</v>
      </c>
      <c r="F36" s="12"/>
      <c r="G36" s="13"/>
      <c r="H36" s="14" t="s">
        <v>567</v>
      </c>
      <c r="I36" s="11" t="s">
        <v>568</v>
      </c>
      <c r="J36" s="15" t="str">
        <f t="shared" si="1"/>
        <v>990724</v>
      </c>
      <c r="K36" s="15" t="str">
        <f t="shared" si="9"/>
        <v>07</v>
      </c>
      <c r="L36" s="15" t="str">
        <f t="shared" si="2"/>
        <v>남자</v>
      </c>
      <c r="M36" s="15">
        <f t="shared" ca="1" si="3"/>
        <v>28</v>
      </c>
      <c r="N36" s="15" t="s">
        <v>111</v>
      </c>
      <c r="O36" s="15" t="s">
        <v>112</v>
      </c>
      <c r="P36" s="11" t="s">
        <v>569</v>
      </c>
      <c r="Q36" s="11"/>
      <c r="R36" s="11"/>
      <c r="S36" s="16"/>
      <c r="T36" s="15" t="s">
        <v>114</v>
      </c>
      <c r="U36" s="11" t="s">
        <v>570</v>
      </c>
      <c r="V36" s="15" t="str">
        <f t="shared" ca="1" si="7"/>
        <v>3년7개월</v>
      </c>
      <c r="W36" s="15" t="s">
        <v>428</v>
      </c>
      <c r="X36" s="18" t="str">
        <f t="shared" ca="1" si="4"/>
        <v>3년7개월</v>
      </c>
      <c r="Y36" s="17" t="s">
        <v>429</v>
      </c>
      <c r="Z36" s="17" t="s">
        <v>571</v>
      </c>
      <c r="AA36" s="14" t="s">
        <v>116</v>
      </c>
      <c r="AB36" s="16">
        <v>44971</v>
      </c>
      <c r="AC36" s="18">
        <f t="shared" ca="1" si="5"/>
        <v>3</v>
      </c>
      <c r="AD36" s="15" t="str">
        <f ca="1">IF($AA36="전문학사",IF($AC36&lt;=8,"초급",IF($AC36&lt;12,"중급",IF($AC36&lt;15,"고급",IF($AC36&gt;=15,"특급")))))</f>
        <v>초급</v>
      </c>
      <c r="AE36" s="15" t="str">
        <f t="shared" si="6"/>
        <v>미해당</v>
      </c>
      <c r="AF36" s="11"/>
      <c r="AG36" s="16"/>
      <c r="AH36" s="11"/>
      <c r="AI36" s="16"/>
      <c r="AJ36" s="11"/>
      <c r="AK36" s="11"/>
      <c r="AL36" s="19"/>
      <c r="AM36" s="11"/>
      <c r="AN36" s="20"/>
      <c r="AO36" s="21"/>
      <c r="AP36" s="21"/>
      <c r="AQ36" s="22" t="s">
        <v>154</v>
      </c>
      <c r="AR36" s="23" t="s">
        <v>155</v>
      </c>
      <c r="AS36" s="14" t="s">
        <v>137</v>
      </c>
      <c r="AT36" s="14" t="s">
        <v>572</v>
      </c>
      <c r="AU36" s="24" t="s">
        <v>157</v>
      </c>
      <c r="AV36" s="24" t="s">
        <v>573</v>
      </c>
      <c r="AW36" s="25" t="s">
        <v>574</v>
      </c>
      <c r="AX36" s="24" t="s">
        <v>141</v>
      </c>
      <c r="AY36" s="24" t="s">
        <v>330</v>
      </c>
      <c r="AZ36" s="17" t="s">
        <v>575</v>
      </c>
      <c r="BA36" s="17" t="s">
        <v>576</v>
      </c>
      <c r="BB36" s="26" t="str">
        <f>IFERROR(VLOOKUP($AY36,[1]프로젝트현황!Y:Z,2,0),"기타")</f>
        <v>서남권</v>
      </c>
      <c r="BC36" s="23" t="str">
        <f t="shared" si="8"/>
        <v>경기도 안양시 만안구 만안구 경수대로 1193, 102동 1502호 (석수동,석수e편한세상아파트)</v>
      </c>
    </row>
    <row r="37" spans="1:55" ht="15" customHeight="1" x14ac:dyDescent="0.3">
      <c r="A37" s="10">
        <f t="shared" si="0"/>
        <v>35</v>
      </c>
      <c r="B37" s="11">
        <v>220705</v>
      </c>
      <c r="C37" s="11" t="s">
        <v>577</v>
      </c>
      <c r="D37" s="12">
        <v>44760</v>
      </c>
      <c r="E37" s="12">
        <v>44760</v>
      </c>
      <c r="F37" s="12"/>
      <c r="G37" s="13"/>
      <c r="H37" s="14" t="s">
        <v>578</v>
      </c>
      <c r="I37" s="11" t="s">
        <v>579</v>
      </c>
      <c r="J37" s="15" t="str">
        <f t="shared" si="1"/>
        <v>911116</v>
      </c>
      <c r="K37" s="15" t="str">
        <f t="shared" si="9"/>
        <v>11</v>
      </c>
      <c r="L37" s="15" t="str">
        <f t="shared" si="2"/>
        <v>남자</v>
      </c>
      <c r="M37" s="15">
        <f t="shared" ca="1" si="3"/>
        <v>36</v>
      </c>
      <c r="N37" s="15" t="s">
        <v>111</v>
      </c>
      <c r="O37" s="15" t="s">
        <v>112</v>
      </c>
      <c r="P37" s="11" t="s">
        <v>580</v>
      </c>
      <c r="Q37" s="11"/>
      <c r="R37" s="11"/>
      <c r="S37" s="16"/>
      <c r="T37" s="15" t="s">
        <v>114</v>
      </c>
      <c r="U37" s="11" t="s">
        <v>581</v>
      </c>
      <c r="V37" s="15" t="str">
        <f t="shared" ca="1" si="7"/>
        <v>3년6개월</v>
      </c>
      <c r="W37" s="15" t="s">
        <v>428</v>
      </c>
      <c r="X37" s="18" t="str">
        <f t="shared" ca="1" si="4"/>
        <v>3년6개월</v>
      </c>
      <c r="Y37" s="17" t="s">
        <v>582</v>
      </c>
      <c r="Z37" s="17" t="s">
        <v>583</v>
      </c>
      <c r="AA37" s="14" t="s">
        <v>171</v>
      </c>
      <c r="AB37" s="16">
        <v>42419</v>
      </c>
      <c r="AC37" s="18">
        <f t="shared" ca="1" si="5"/>
        <v>3</v>
      </c>
      <c r="AD37" s="15" t="str">
        <f ca="1">IF($AA37="학사",IF($AC37&lt;=5,"초급",IF($AC37&lt;9,"중급",IF($AC37&lt;12,"고급",IF($AC37&gt;=12,"특급")))))</f>
        <v>초급</v>
      </c>
      <c r="AE37" s="15" t="str">
        <f t="shared" si="6"/>
        <v>미해당</v>
      </c>
      <c r="AF37" s="11"/>
      <c r="AG37" s="16"/>
      <c r="AH37" s="11"/>
      <c r="AI37" s="16"/>
      <c r="AJ37" s="11"/>
      <c r="AK37" s="11"/>
      <c r="AL37" s="19"/>
      <c r="AM37" s="11"/>
      <c r="AN37" s="20"/>
      <c r="AO37" s="21"/>
      <c r="AP37" s="21"/>
      <c r="AQ37" s="22" t="s">
        <v>154</v>
      </c>
      <c r="AR37" s="23" t="s">
        <v>155</v>
      </c>
      <c r="AS37" s="14" t="s">
        <v>137</v>
      </c>
      <c r="AT37" s="14" t="s">
        <v>584</v>
      </c>
      <c r="AU37" s="24" t="s">
        <v>157</v>
      </c>
      <c r="AV37" s="24" t="s">
        <v>585</v>
      </c>
      <c r="AW37" s="25" t="s">
        <v>586</v>
      </c>
      <c r="AX37" s="24" t="s">
        <v>122</v>
      </c>
      <c r="AY37" s="24" t="s">
        <v>264</v>
      </c>
      <c r="AZ37" s="17"/>
      <c r="BA37" s="17" t="s">
        <v>587</v>
      </c>
      <c r="BB37" s="26" t="str">
        <f>IFERROR(VLOOKUP($AY37,[1]프로젝트현황!Y:Z,2,0),"기타")</f>
        <v>서남권</v>
      </c>
      <c r="BC37" s="23" t="str">
        <f t="shared" si="8"/>
        <v>서울시 관악구 관천로 125-17 B03호(신림동)</v>
      </c>
    </row>
    <row r="38" spans="1:55" ht="15" customHeight="1" x14ac:dyDescent="0.3">
      <c r="A38" s="10">
        <f t="shared" si="0"/>
        <v>36</v>
      </c>
      <c r="B38" s="11">
        <v>220804</v>
      </c>
      <c r="C38" s="11" t="s">
        <v>588</v>
      </c>
      <c r="D38" s="12">
        <v>44774</v>
      </c>
      <c r="E38" s="12">
        <v>44986</v>
      </c>
      <c r="F38" s="12"/>
      <c r="G38" s="13"/>
      <c r="H38" s="14" t="s">
        <v>589</v>
      </c>
      <c r="I38" s="11" t="s">
        <v>590</v>
      </c>
      <c r="J38" s="15" t="str">
        <f t="shared" si="1"/>
        <v>990408</v>
      </c>
      <c r="K38" s="15" t="str">
        <f t="shared" si="9"/>
        <v>04</v>
      </c>
      <c r="L38" s="15" t="str">
        <f t="shared" si="2"/>
        <v>여자</v>
      </c>
      <c r="M38" s="15">
        <f t="shared" ca="1" si="3"/>
        <v>28</v>
      </c>
      <c r="N38" s="15" t="s">
        <v>111</v>
      </c>
      <c r="O38" s="15" t="s">
        <v>112</v>
      </c>
      <c r="P38" s="11" t="s">
        <v>591</v>
      </c>
      <c r="Q38" s="11"/>
      <c r="R38" s="11"/>
      <c r="S38" s="16"/>
      <c r="T38" s="15" t="s">
        <v>114</v>
      </c>
      <c r="U38" s="11" t="s">
        <v>592</v>
      </c>
      <c r="V38" s="15" t="str">
        <f t="shared" ca="1" si="7"/>
        <v>3년6개월</v>
      </c>
      <c r="W38" s="15" t="s">
        <v>428</v>
      </c>
      <c r="X38" s="18" t="str">
        <f t="shared" ca="1" si="4"/>
        <v>3년6개월</v>
      </c>
      <c r="Y38" s="17" t="s">
        <v>484</v>
      </c>
      <c r="Z38" s="17" t="s">
        <v>593</v>
      </c>
      <c r="AA38" s="14" t="s">
        <v>171</v>
      </c>
      <c r="AB38" s="16">
        <v>44973</v>
      </c>
      <c r="AC38" s="18">
        <f t="shared" ca="1" si="5"/>
        <v>3</v>
      </c>
      <c r="AD38" s="15" t="str">
        <f ca="1">IF($AA38="학사",IF($AC38&lt;=5,"초급",IF($AC38&lt;9,"중급",IF($AC38&lt;12,"고급",IF($AC38&gt;=12,"특급")))))</f>
        <v>초급</v>
      </c>
      <c r="AE38" s="15" t="str">
        <f t="shared" si="6"/>
        <v>미해당</v>
      </c>
      <c r="AF38" s="11"/>
      <c r="AG38" s="16"/>
      <c r="AH38" s="11"/>
      <c r="AI38" s="16"/>
      <c r="AJ38" s="11"/>
      <c r="AK38" s="11"/>
      <c r="AL38" s="19"/>
      <c r="AM38" s="11"/>
      <c r="AN38" s="20"/>
      <c r="AO38" s="21"/>
      <c r="AP38" s="21"/>
      <c r="AQ38" s="22" t="s">
        <v>154</v>
      </c>
      <c r="AR38" s="23" t="s">
        <v>155</v>
      </c>
      <c r="AS38" s="14" t="s">
        <v>137</v>
      </c>
      <c r="AT38" s="14" t="s">
        <v>594</v>
      </c>
      <c r="AU38" s="24" t="s">
        <v>157</v>
      </c>
      <c r="AV38" s="24" t="s">
        <v>595</v>
      </c>
      <c r="AW38" s="25" t="s">
        <v>596</v>
      </c>
      <c r="AX38" s="24" t="s">
        <v>461</v>
      </c>
      <c r="AY38" s="24" t="s">
        <v>597</v>
      </c>
      <c r="AZ38" s="17"/>
      <c r="BA38" s="17" t="s">
        <v>598</v>
      </c>
      <c r="BB38" s="26" t="str">
        <f>IFERROR(VLOOKUP($AY38,[1]프로젝트현황!Y:Z,2,0),"기타")</f>
        <v>서남권</v>
      </c>
      <c r="BC38" s="23" t="str">
        <f t="shared" si="8"/>
        <v>인천시 연수구 한나루로105번길 68, 408동 2103호(옥련동,현대아파트)</v>
      </c>
    </row>
    <row r="39" spans="1:55" ht="15" customHeight="1" x14ac:dyDescent="0.3">
      <c r="A39" s="10">
        <f t="shared" si="0"/>
        <v>37</v>
      </c>
      <c r="B39" s="11">
        <v>220805</v>
      </c>
      <c r="C39" s="11" t="s">
        <v>599</v>
      </c>
      <c r="D39" s="12">
        <v>44774</v>
      </c>
      <c r="E39" s="12">
        <v>44774</v>
      </c>
      <c r="F39" s="12"/>
      <c r="G39" s="13"/>
      <c r="H39" s="14" t="s">
        <v>600</v>
      </c>
      <c r="I39" s="11" t="s">
        <v>601</v>
      </c>
      <c r="J39" s="15" t="str">
        <f t="shared" si="1"/>
        <v>911231</v>
      </c>
      <c r="K39" s="15" t="str">
        <f t="shared" si="9"/>
        <v>12</v>
      </c>
      <c r="L39" s="15" t="str">
        <f t="shared" si="2"/>
        <v>남자</v>
      </c>
      <c r="M39" s="15">
        <f t="shared" ca="1" si="3"/>
        <v>36</v>
      </c>
      <c r="N39" s="15" t="s">
        <v>111</v>
      </c>
      <c r="O39" s="15" t="s">
        <v>112</v>
      </c>
      <c r="P39" s="11" t="s">
        <v>602</v>
      </c>
      <c r="Q39" s="11"/>
      <c r="R39" s="11"/>
      <c r="S39" s="16"/>
      <c r="T39" s="15" t="s">
        <v>114</v>
      </c>
      <c r="U39" s="11" t="s">
        <v>603</v>
      </c>
      <c r="V39" s="15" t="str">
        <f t="shared" ca="1" si="7"/>
        <v>3년6개월</v>
      </c>
      <c r="W39" s="15" t="s">
        <v>428</v>
      </c>
      <c r="X39" s="18" t="str">
        <f t="shared" ca="1" si="4"/>
        <v>3년6개월</v>
      </c>
      <c r="Y39" s="17" t="s">
        <v>604</v>
      </c>
      <c r="Z39" s="17"/>
      <c r="AA39" s="14" t="s">
        <v>258</v>
      </c>
      <c r="AB39" s="16">
        <v>40212</v>
      </c>
      <c r="AC39" s="18">
        <f t="shared" ca="1" si="5"/>
        <v>3</v>
      </c>
      <c r="AD39" s="15" t="str">
        <f ca="1">IF($AA39="고졸",IF($AC39&lt;=11,"초급",IF($AC39&lt;=14,"중급",IF($AC39&lt;=17,"고급",IF($AC39&gt;=18,"특급")))))</f>
        <v>초급</v>
      </c>
      <c r="AE39" s="15" t="str">
        <f t="shared" si="6"/>
        <v>미해당</v>
      </c>
      <c r="AF39" s="11" t="s">
        <v>85</v>
      </c>
      <c r="AG39" s="16">
        <v>45367</v>
      </c>
      <c r="AH39" s="11"/>
      <c r="AI39" s="16"/>
      <c r="AJ39" s="11"/>
      <c r="AK39" s="11"/>
      <c r="AL39" s="19"/>
      <c r="AM39" s="11"/>
      <c r="AN39" s="20"/>
      <c r="AO39" s="21"/>
      <c r="AP39" s="21"/>
      <c r="AQ39" s="22" t="s">
        <v>154</v>
      </c>
      <c r="AR39" s="23" t="s">
        <v>155</v>
      </c>
      <c r="AS39" s="14" t="s">
        <v>137</v>
      </c>
      <c r="AT39" s="14" t="s">
        <v>605</v>
      </c>
      <c r="AU39" s="24" t="s">
        <v>176</v>
      </c>
      <c r="AV39" s="24" t="s">
        <v>606</v>
      </c>
      <c r="AW39" s="25" t="s">
        <v>607</v>
      </c>
      <c r="AX39" s="24" t="s">
        <v>122</v>
      </c>
      <c r="AY39" s="24" t="s">
        <v>608</v>
      </c>
      <c r="AZ39" s="17"/>
      <c r="BA39" s="17" t="s">
        <v>609</v>
      </c>
      <c r="BB39" s="26" t="str">
        <f>IFERROR(VLOOKUP($AY39,[1]프로젝트현황!Y:Z,2,0),"기타")</f>
        <v>동북권</v>
      </c>
      <c r="BC39" s="23" t="str">
        <f t="shared" si="8"/>
        <v>서울시 중랑구 상봉로16길 9-9</v>
      </c>
    </row>
    <row r="40" spans="1:55" ht="15" customHeight="1" x14ac:dyDescent="0.3">
      <c r="A40" s="10">
        <f t="shared" si="0"/>
        <v>38</v>
      </c>
      <c r="B40" s="11">
        <v>220901</v>
      </c>
      <c r="C40" s="11" t="s">
        <v>610</v>
      </c>
      <c r="D40" s="12">
        <v>44805</v>
      </c>
      <c r="E40" s="12">
        <v>44896</v>
      </c>
      <c r="F40" s="12"/>
      <c r="G40" s="13"/>
      <c r="H40" s="14" t="s">
        <v>611</v>
      </c>
      <c r="I40" s="11" t="s">
        <v>612</v>
      </c>
      <c r="J40" s="15" t="str">
        <f t="shared" si="1"/>
        <v>931208</v>
      </c>
      <c r="K40" s="15" t="str">
        <f t="shared" si="9"/>
        <v>12</v>
      </c>
      <c r="L40" s="15" t="str">
        <f t="shared" si="2"/>
        <v>남자</v>
      </c>
      <c r="M40" s="15">
        <f t="shared" ca="1" si="3"/>
        <v>34</v>
      </c>
      <c r="N40" s="15" t="s">
        <v>111</v>
      </c>
      <c r="O40" s="15" t="s">
        <v>112</v>
      </c>
      <c r="P40" s="11" t="s">
        <v>613</v>
      </c>
      <c r="Q40" s="11"/>
      <c r="R40" s="11"/>
      <c r="S40" s="16"/>
      <c r="T40" s="15" t="s">
        <v>114</v>
      </c>
      <c r="U40" s="11" t="s">
        <v>614</v>
      </c>
      <c r="V40" s="15" t="str">
        <f t="shared" ca="1" si="7"/>
        <v>8년5개월</v>
      </c>
      <c r="W40" s="15" t="s">
        <v>615</v>
      </c>
      <c r="X40" s="18" t="str">
        <f t="shared" ca="1" si="4"/>
        <v>3년5개월</v>
      </c>
      <c r="Y40" s="17" t="s">
        <v>616</v>
      </c>
      <c r="Z40" s="17" t="s">
        <v>217</v>
      </c>
      <c r="AA40" s="14" t="s">
        <v>116</v>
      </c>
      <c r="AB40" s="16">
        <v>43336</v>
      </c>
      <c r="AC40" s="18">
        <f t="shared" ca="1" si="5"/>
        <v>8</v>
      </c>
      <c r="AD40" s="15" t="str">
        <f ca="1">IF($AA40="전문학사",IF($AC40&lt;=8,"초급",IF($AC40&lt;12,"중급",IF($AC40&lt;15,"고급",IF($AC40&gt;=15,"특급")))))</f>
        <v>초급</v>
      </c>
      <c r="AE40" s="15" t="str">
        <f t="shared" si="6"/>
        <v>미해당</v>
      </c>
      <c r="AF40" s="11"/>
      <c r="AG40" s="16"/>
      <c r="AH40" s="11"/>
      <c r="AI40" s="16"/>
      <c r="AJ40" s="11"/>
      <c r="AK40" s="11"/>
      <c r="AL40" s="19"/>
      <c r="AM40" s="11"/>
      <c r="AN40" s="20"/>
      <c r="AO40" s="21"/>
      <c r="AP40" s="21"/>
      <c r="AQ40" s="22" t="s">
        <v>154</v>
      </c>
      <c r="AR40" s="23" t="s">
        <v>155</v>
      </c>
      <c r="AS40" s="14" t="s">
        <v>137</v>
      </c>
      <c r="AT40" s="14" t="s">
        <v>617</v>
      </c>
      <c r="AU40" s="24" t="s">
        <v>157</v>
      </c>
      <c r="AV40" s="24" t="s">
        <v>618</v>
      </c>
      <c r="AW40" s="25" t="s">
        <v>619</v>
      </c>
      <c r="AX40" s="24" t="s">
        <v>141</v>
      </c>
      <c r="AY40" s="24" t="s">
        <v>353</v>
      </c>
      <c r="AZ40" s="17"/>
      <c r="BA40" s="17" t="s">
        <v>620</v>
      </c>
      <c r="BB40" s="26" t="str">
        <f>IFERROR(VLOOKUP($AY40,[1]프로젝트현황!Y:Z,2,0),"기타")</f>
        <v>동남권</v>
      </c>
      <c r="BC40" s="23" t="str">
        <f t="shared" si="8"/>
        <v>경기도 광주시 삼지곡길46,A동 202호</v>
      </c>
    </row>
    <row r="41" spans="1:55" ht="15" customHeight="1" x14ac:dyDescent="0.3">
      <c r="A41" s="10">
        <f t="shared" si="0"/>
        <v>39</v>
      </c>
      <c r="B41" s="11">
        <v>220905</v>
      </c>
      <c r="C41" s="11" t="s">
        <v>621</v>
      </c>
      <c r="D41" s="12">
        <v>44823</v>
      </c>
      <c r="E41" s="12">
        <v>44823</v>
      </c>
      <c r="F41" s="12"/>
      <c r="G41" s="13"/>
      <c r="H41" s="14" t="s">
        <v>622</v>
      </c>
      <c r="I41" s="11" t="s">
        <v>623</v>
      </c>
      <c r="J41" s="15" t="str">
        <f t="shared" si="1"/>
        <v>010511</v>
      </c>
      <c r="K41" s="15" t="str">
        <f t="shared" si="9"/>
        <v>05</v>
      </c>
      <c r="L41" s="15" t="str">
        <f t="shared" si="2"/>
        <v>남자</v>
      </c>
      <c r="M41" s="15">
        <f t="shared" ca="1" si="3"/>
        <v>26</v>
      </c>
      <c r="N41" s="15" t="s">
        <v>111</v>
      </c>
      <c r="O41" s="15" t="s">
        <v>112</v>
      </c>
      <c r="P41" s="11" t="s">
        <v>624</v>
      </c>
      <c r="Q41" s="11"/>
      <c r="R41" s="11"/>
      <c r="S41" s="16"/>
      <c r="T41" s="15" t="s">
        <v>114</v>
      </c>
      <c r="U41" s="11" t="s">
        <v>625</v>
      </c>
      <c r="V41" s="15" t="str">
        <f t="shared" ca="1" si="7"/>
        <v>3년4개월</v>
      </c>
      <c r="W41" s="15" t="s">
        <v>428</v>
      </c>
      <c r="X41" s="18" t="str">
        <f t="shared" ca="1" si="4"/>
        <v>3년4개월</v>
      </c>
      <c r="Y41" s="17" t="s">
        <v>429</v>
      </c>
      <c r="Z41" s="17" t="s">
        <v>571</v>
      </c>
      <c r="AA41" s="14" t="s">
        <v>116</v>
      </c>
      <c r="AB41" s="16">
        <v>44971</v>
      </c>
      <c r="AC41" s="18">
        <f t="shared" ca="1" si="5"/>
        <v>3</v>
      </c>
      <c r="AD41" s="15" t="str">
        <f ca="1">IF($AA41="전문학사",IF($AC41&lt;=8,"초급",IF($AC41&lt;12,"중급",IF($AC41&lt;15,"고급",IF($AC41&gt;=15,"특급")))))</f>
        <v>초급</v>
      </c>
      <c r="AE41" s="15" t="str">
        <f t="shared" si="6"/>
        <v>미해당</v>
      </c>
      <c r="AF41" s="11"/>
      <c r="AG41" s="16"/>
      <c r="AH41" s="11"/>
      <c r="AI41" s="16"/>
      <c r="AJ41" s="11"/>
      <c r="AK41" s="11"/>
      <c r="AL41" s="19"/>
      <c r="AM41" s="11"/>
      <c r="AN41" s="20" t="s">
        <v>626</v>
      </c>
      <c r="AO41" s="21" t="s">
        <v>627</v>
      </c>
      <c r="AP41" s="21" t="s">
        <v>628</v>
      </c>
      <c r="AQ41" s="22" t="s">
        <v>154</v>
      </c>
      <c r="AR41" s="23" t="s">
        <v>155</v>
      </c>
      <c r="AS41" s="14" t="s">
        <v>137</v>
      </c>
      <c r="AT41" s="14" t="s">
        <v>629</v>
      </c>
      <c r="AU41" s="24" t="s">
        <v>176</v>
      </c>
      <c r="AV41" s="24" t="s">
        <v>630</v>
      </c>
      <c r="AW41" s="25" t="s">
        <v>631</v>
      </c>
      <c r="AX41" s="24" t="s">
        <v>141</v>
      </c>
      <c r="AY41" s="24" t="s">
        <v>194</v>
      </c>
      <c r="AZ41" s="17" t="s">
        <v>210</v>
      </c>
      <c r="BA41" s="17" t="s">
        <v>632</v>
      </c>
      <c r="BB41" s="26" t="str">
        <f>IFERROR(VLOOKUP($AY41,[1]프로젝트현황!Y:Z,2,0),"기타")</f>
        <v>동남권</v>
      </c>
      <c r="BC41" s="23" t="str">
        <f t="shared" si="8"/>
        <v>경기도 수원시 권선구 일월천로4번길 74, 103동 901호 (구운동, 성원아파트)</v>
      </c>
    </row>
    <row r="42" spans="1:55" ht="15" customHeight="1" x14ac:dyDescent="0.3">
      <c r="A42" s="10">
        <f t="shared" si="0"/>
        <v>40</v>
      </c>
      <c r="B42" s="11">
        <v>220906</v>
      </c>
      <c r="C42" s="11" t="s">
        <v>633</v>
      </c>
      <c r="D42" s="12">
        <v>44832</v>
      </c>
      <c r="E42" s="12">
        <v>44832</v>
      </c>
      <c r="F42" s="12"/>
      <c r="G42" s="13"/>
      <c r="H42" s="14" t="s">
        <v>634</v>
      </c>
      <c r="I42" s="11" t="s">
        <v>635</v>
      </c>
      <c r="J42" s="15" t="str">
        <f t="shared" si="1"/>
        <v>941130</v>
      </c>
      <c r="K42" s="15" t="str">
        <f t="shared" si="9"/>
        <v>11</v>
      </c>
      <c r="L42" s="15" t="str">
        <f t="shared" si="2"/>
        <v>여자</v>
      </c>
      <c r="M42" s="15">
        <f t="shared" ca="1" si="3"/>
        <v>33</v>
      </c>
      <c r="N42" s="15" t="s">
        <v>111</v>
      </c>
      <c r="O42" s="15" t="s">
        <v>112</v>
      </c>
      <c r="P42" s="11" t="s">
        <v>636</v>
      </c>
      <c r="Q42" s="11"/>
      <c r="R42" s="11"/>
      <c r="S42" s="16"/>
      <c r="T42" s="15" t="s">
        <v>114</v>
      </c>
      <c r="U42" s="11" t="s">
        <v>637</v>
      </c>
      <c r="V42" s="15" t="str">
        <f t="shared" ca="1" si="7"/>
        <v>3년4개월</v>
      </c>
      <c r="W42" s="15" t="s">
        <v>428</v>
      </c>
      <c r="X42" s="18" t="str">
        <f t="shared" ca="1" si="4"/>
        <v>3년4개월</v>
      </c>
      <c r="Y42" s="17" t="s">
        <v>638</v>
      </c>
      <c r="Z42" s="17" t="s">
        <v>639</v>
      </c>
      <c r="AA42" s="14" t="s">
        <v>171</v>
      </c>
      <c r="AB42" s="16">
        <v>42965</v>
      </c>
      <c r="AC42" s="18">
        <f t="shared" ca="1" si="5"/>
        <v>3</v>
      </c>
      <c r="AD42" s="15" t="str">
        <f ca="1">IF($AA42="학사",IF($AC42&lt;=5,"초급",IF($AC42&lt;9,"중급",IF($AC42&lt;12,"고급",IF($AC42&gt;=12,"특급")))))</f>
        <v>초급</v>
      </c>
      <c r="AE42" s="15" t="str">
        <f t="shared" si="6"/>
        <v>미해당</v>
      </c>
      <c r="AF42" s="11"/>
      <c r="AG42" s="16"/>
      <c r="AH42" s="11" t="s">
        <v>87</v>
      </c>
      <c r="AI42" s="16">
        <v>45302</v>
      </c>
      <c r="AJ42" s="11"/>
      <c r="AK42" s="11"/>
      <c r="AL42" s="19"/>
      <c r="AM42" s="11"/>
      <c r="AN42" s="20"/>
      <c r="AO42" s="21"/>
      <c r="AP42" s="21"/>
      <c r="AQ42" s="22" t="s">
        <v>154</v>
      </c>
      <c r="AR42" s="23" t="s">
        <v>155</v>
      </c>
      <c r="AS42" s="14" t="s">
        <v>137</v>
      </c>
      <c r="AT42" s="14" t="s">
        <v>640</v>
      </c>
      <c r="AU42" s="24" t="s">
        <v>157</v>
      </c>
      <c r="AV42" s="24" t="s">
        <v>641</v>
      </c>
      <c r="AW42" s="25" t="s">
        <v>642</v>
      </c>
      <c r="AX42" s="24" t="s">
        <v>141</v>
      </c>
      <c r="AY42" s="24" t="s">
        <v>179</v>
      </c>
      <c r="AZ42" s="17" t="s">
        <v>180</v>
      </c>
      <c r="BA42" s="17" t="s">
        <v>643</v>
      </c>
      <c r="BB42" s="26" t="str">
        <f>IFERROR(VLOOKUP($AY42,[1]프로젝트현황!Y:Z,2,0),"기타")</f>
        <v>서남권</v>
      </c>
      <c r="BC42" s="23" t="str">
        <f t="shared" si="8"/>
        <v>경기도 안산시 단원구 광덕1로 80, 138동 203호 (초지동,호수마을아파트)</v>
      </c>
    </row>
    <row r="43" spans="1:55" ht="15" customHeight="1" x14ac:dyDescent="0.3">
      <c r="A43" s="10">
        <f t="shared" si="0"/>
        <v>41</v>
      </c>
      <c r="B43" s="11">
        <v>220907</v>
      </c>
      <c r="C43" s="11" t="s">
        <v>644</v>
      </c>
      <c r="D43" s="12">
        <v>44832</v>
      </c>
      <c r="E43" s="12">
        <v>44832</v>
      </c>
      <c r="F43" s="12"/>
      <c r="G43" s="13"/>
      <c r="H43" s="14" t="s">
        <v>645</v>
      </c>
      <c r="I43" s="11" t="s">
        <v>646</v>
      </c>
      <c r="J43" s="15" t="str">
        <f t="shared" si="1"/>
        <v>950717</v>
      </c>
      <c r="K43" s="15" t="str">
        <f t="shared" si="9"/>
        <v>07</v>
      </c>
      <c r="L43" s="15" t="str">
        <f t="shared" si="2"/>
        <v>남자</v>
      </c>
      <c r="M43" s="15">
        <f t="shared" ca="1" si="3"/>
        <v>32</v>
      </c>
      <c r="N43" s="15" t="s">
        <v>111</v>
      </c>
      <c r="O43" s="15" t="s">
        <v>112</v>
      </c>
      <c r="P43" s="11" t="s">
        <v>647</v>
      </c>
      <c r="Q43" s="11"/>
      <c r="R43" s="11" t="s">
        <v>167</v>
      </c>
      <c r="S43" s="16"/>
      <c r="T43" s="15" t="s">
        <v>114</v>
      </c>
      <c r="U43" s="11" t="s">
        <v>648</v>
      </c>
      <c r="V43" s="15" t="str">
        <f t="shared" ca="1" si="7"/>
        <v>3년4개월</v>
      </c>
      <c r="W43" s="15" t="s">
        <v>428</v>
      </c>
      <c r="X43" s="18" t="str">
        <f t="shared" ca="1" si="4"/>
        <v>3년4개월</v>
      </c>
      <c r="Y43" s="17" t="s">
        <v>649</v>
      </c>
      <c r="Z43" s="17"/>
      <c r="AA43" s="14" t="s">
        <v>258</v>
      </c>
      <c r="AB43" s="16">
        <v>41677</v>
      </c>
      <c r="AC43" s="18">
        <f t="shared" ca="1" si="5"/>
        <v>3</v>
      </c>
      <c r="AD43" s="15" t="str">
        <f ca="1">IF($AA43="고졸",IF($AC43&lt;=11,"초급",IF($AC43&lt;=14,"중급",IF($AC43&lt;=17,"고급",IF($AC43&gt;=18,"특급")))))</f>
        <v>초급</v>
      </c>
      <c r="AE43" s="15" t="str">
        <f t="shared" si="6"/>
        <v>미해당</v>
      </c>
      <c r="AF43" s="11"/>
      <c r="AG43" s="16"/>
      <c r="AH43" s="11"/>
      <c r="AI43" s="16"/>
      <c r="AJ43" s="11"/>
      <c r="AK43" s="11"/>
      <c r="AL43" s="19"/>
      <c r="AM43" s="11"/>
      <c r="AN43" s="20"/>
      <c r="AO43" s="21"/>
      <c r="AP43" s="21"/>
      <c r="AQ43" s="22" t="s">
        <v>154</v>
      </c>
      <c r="AR43" s="23" t="s">
        <v>155</v>
      </c>
      <c r="AS43" s="14" t="s">
        <v>137</v>
      </c>
      <c r="AT43" s="14" t="s">
        <v>650</v>
      </c>
      <c r="AU43" s="24" t="s">
        <v>176</v>
      </c>
      <c r="AV43" s="24" t="s">
        <v>651</v>
      </c>
      <c r="AW43" s="25" t="s">
        <v>652</v>
      </c>
      <c r="AX43" s="24" t="s">
        <v>461</v>
      </c>
      <c r="AY43" s="24" t="s">
        <v>653</v>
      </c>
      <c r="AZ43" s="17"/>
      <c r="BA43" s="17" t="s">
        <v>654</v>
      </c>
      <c r="BB43" s="26" t="str">
        <f>IFERROR(VLOOKUP($AY43,[1]프로젝트현황!Y:Z,2,0),"기타")</f>
        <v>서남권</v>
      </c>
      <c r="BC43" s="23" t="str">
        <f t="shared" si="8"/>
        <v>인천시 서구 대평로56번길 32 101동 202호(연희동,우성아파트)</v>
      </c>
    </row>
    <row r="44" spans="1:55" ht="15" customHeight="1" x14ac:dyDescent="0.3">
      <c r="A44" s="10">
        <f t="shared" si="0"/>
        <v>42</v>
      </c>
      <c r="B44" s="11">
        <v>221001</v>
      </c>
      <c r="C44" s="11" t="s">
        <v>655</v>
      </c>
      <c r="D44" s="12">
        <v>44838</v>
      </c>
      <c r="E44" s="12">
        <v>44838</v>
      </c>
      <c r="F44" s="12"/>
      <c r="G44" s="13"/>
      <c r="H44" s="14" t="s">
        <v>656</v>
      </c>
      <c r="I44" s="11" t="s">
        <v>657</v>
      </c>
      <c r="J44" s="15" t="str">
        <f t="shared" si="1"/>
        <v>941020</v>
      </c>
      <c r="K44" s="15" t="str">
        <f t="shared" si="9"/>
        <v>10</v>
      </c>
      <c r="L44" s="15" t="str">
        <f t="shared" si="2"/>
        <v>남자</v>
      </c>
      <c r="M44" s="15">
        <f t="shared" ca="1" si="3"/>
        <v>33</v>
      </c>
      <c r="N44" s="15" t="s">
        <v>111</v>
      </c>
      <c r="O44" s="15" t="s">
        <v>112</v>
      </c>
      <c r="P44" s="11" t="s">
        <v>658</v>
      </c>
      <c r="Q44" s="11"/>
      <c r="R44" s="11"/>
      <c r="S44" s="16"/>
      <c r="T44" s="15" t="s">
        <v>114</v>
      </c>
      <c r="U44" s="11" t="s">
        <v>659</v>
      </c>
      <c r="V44" s="15" t="str">
        <f t="shared" ca="1" si="7"/>
        <v>3년4개월</v>
      </c>
      <c r="W44" s="15" t="s">
        <v>428</v>
      </c>
      <c r="X44" s="18" t="str">
        <f t="shared" ca="1" si="4"/>
        <v>3년4개월</v>
      </c>
      <c r="Y44" s="17" t="s">
        <v>660</v>
      </c>
      <c r="Z44" s="17" t="s">
        <v>661</v>
      </c>
      <c r="AA44" s="14" t="s">
        <v>171</v>
      </c>
      <c r="AB44" s="16">
        <v>44062</v>
      </c>
      <c r="AC44" s="18">
        <f t="shared" ca="1" si="5"/>
        <v>3</v>
      </c>
      <c r="AD44" s="15" t="str">
        <f ca="1">IF($AA44="학사",IF($AC44&lt;=5,"초급",IF($AC44&lt;9,"중급",IF($AC44&lt;12,"고급",IF($AC44&gt;=12,"특급")))))</f>
        <v>초급</v>
      </c>
      <c r="AE44" s="15" t="str">
        <f t="shared" si="6"/>
        <v>미해당</v>
      </c>
      <c r="AF44" s="11"/>
      <c r="AG44" s="16"/>
      <c r="AH44" s="11"/>
      <c r="AI44" s="16"/>
      <c r="AJ44" s="11"/>
      <c r="AK44" s="11"/>
      <c r="AL44" s="19"/>
      <c r="AM44" s="11"/>
      <c r="AN44" s="20"/>
      <c r="AO44" s="21"/>
      <c r="AP44" s="21"/>
      <c r="AQ44" s="22" t="s">
        <v>154</v>
      </c>
      <c r="AR44" s="23" t="s">
        <v>155</v>
      </c>
      <c r="AS44" s="14" t="s">
        <v>137</v>
      </c>
      <c r="AT44" s="14" t="s">
        <v>662</v>
      </c>
      <c r="AU44" s="24" t="s">
        <v>261</v>
      </c>
      <c r="AV44" s="24" t="s">
        <v>663</v>
      </c>
      <c r="AW44" s="25" t="s">
        <v>664</v>
      </c>
      <c r="AX44" s="24" t="s">
        <v>122</v>
      </c>
      <c r="AY44" s="24" t="s">
        <v>665</v>
      </c>
      <c r="AZ44" s="17"/>
      <c r="BA44" s="17" t="s">
        <v>666</v>
      </c>
      <c r="BB44" s="26" t="str">
        <f>IFERROR(VLOOKUP($AY44,[1]프로젝트현황!Y:Z,2,0),"기타")</f>
        <v>서북권</v>
      </c>
      <c r="BC44" s="23" t="str">
        <f t="shared" si="8"/>
        <v>서울시 마포구 서강로 95, 102동 2002호(창전동, 창전동삼성아파트)</v>
      </c>
    </row>
    <row r="45" spans="1:55" ht="15" customHeight="1" x14ac:dyDescent="0.3">
      <c r="A45" s="10">
        <f t="shared" si="0"/>
        <v>43</v>
      </c>
      <c r="B45" s="11">
        <v>221003</v>
      </c>
      <c r="C45" s="11" t="s">
        <v>667</v>
      </c>
      <c r="D45" s="12">
        <v>44851</v>
      </c>
      <c r="E45" s="12">
        <v>44851</v>
      </c>
      <c r="F45" s="12"/>
      <c r="G45" s="13"/>
      <c r="H45" s="14" t="s">
        <v>668</v>
      </c>
      <c r="I45" s="11" t="s">
        <v>669</v>
      </c>
      <c r="J45" s="15" t="str">
        <f t="shared" si="1"/>
        <v>920611</v>
      </c>
      <c r="K45" s="15" t="str">
        <f t="shared" si="9"/>
        <v>06</v>
      </c>
      <c r="L45" s="15" t="str">
        <f t="shared" si="2"/>
        <v>여자</v>
      </c>
      <c r="M45" s="15">
        <f t="shared" ca="1" si="3"/>
        <v>35</v>
      </c>
      <c r="N45" s="15" t="s">
        <v>111</v>
      </c>
      <c r="O45" s="15" t="s">
        <v>112</v>
      </c>
      <c r="P45" s="11" t="s">
        <v>670</v>
      </c>
      <c r="Q45" s="11"/>
      <c r="R45" s="11" t="s">
        <v>167</v>
      </c>
      <c r="S45" s="16"/>
      <c r="T45" s="15" t="s">
        <v>114</v>
      </c>
      <c r="U45" s="11" t="s">
        <v>671</v>
      </c>
      <c r="V45" s="15" t="str">
        <f t="shared" ca="1" si="7"/>
        <v>3년3개월</v>
      </c>
      <c r="W45" s="15" t="s">
        <v>428</v>
      </c>
      <c r="X45" s="18" t="str">
        <f t="shared" ca="1" si="4"/>
        <v>3년3개월</v>
      </c>
      <c r="Y45" s="17" t="s">
        <v>672</v>
      </c>
      <c r="Z45" s="17" t="s">
        <v>673</v>
      </c>
      <c r="AA45" s="14" t="s">
        <v>116</v>
      </c>
      <c r="AB45" s="16">
        <v>41326</v>
      </c>
      <c r="AC45" s="18">
        <f t="shared" ca="1" si="5"/>
        <v>3</v>
      </c>
      <c r="AD45" s="15" t="str">
        <f ca="1">IF($AA45="전문학사",IF($AC45&lt;=8,"초급",IF($AC45&lt;12,"중급",IF($AC45&lt;15,"고급",IF($AC45&gt;=15,"특급")))))</f>
        <v>초급</v>
      </c>
      <c r="AE45" s="15" t="str">
        <f t="shared" si="6"/>
        <v>미해당</v>
      </c>
      <c r="AF45" s="11"/>
      <c r="AG45" s="16"/>
      <c r="AH45" s="11"/>
      <c r="AI45" s="16"/>
      <c r="AJ45" s="11"/>
      <c r="AK45" s="11"/>
      <c r="AL45" s="19"/>
      <c r="AM45" s="11"/>
      <c r="AN45" s="20"/>
      <c r="AO45" s="21"/>
      <c r="AP45" s="21"/>
      <c r="AQ45" s="22" t="s">
        <v>154</v>
      </c>
      <c r="AR45" s="23" t="s">
        <v>155</v>
      </c>
      <c r="AS45" s="14" t="s">
        <v>137</v>
      </c>
      <c r="AT45" s="14" t="s">
        <v>674</v>
      </c>
      <c r="AU45" s="24" t="s">
        <v>157</v>
      </c>
      <c r="AV45" s="24" t="s">
        <v>675</v>
      </c>
      <c r="AW45" s="25" t="s">
        <v>676</v>
      </c>
      <c r="AX45" s="24" t="s">
        <v>141</v>
      </c>
      <c r="AY45" s="24" t="s">
        <v>249</v>
      </c>
      <c r="AZ45" s="17"/>
      <c r="BA45" s="17" t="s">
        <v>677</v>
      </c>
      <c r="BB45" s="26" t="str">
        <f>IFERROR(VLOOKUP($AY45,[1]프로젝트현황!Y:Z,2,0),"기타")</f>
        <v>서남권</v>
      </c>
      <c r="BC45" s="23" t="str">
        <f t="shared" si="8"/>
        <v>경기도 부천시 원미로77번길 20-2, A동 402호(원미동, 뜨란채A)</v>
      </c>
    </row>
    <row r="46" spans="1:55" ht="15" customHeight="1" x14ac:dyDescent="0.3">
      <c r="A46" s="10">
        <f t="shared" si="0"/>
        <v>44</v>
      </c>
      <c r="B46" s="11">
        <v>221004</v>
      </c>
      <c r="C46" s="11" t="s">
        <v>678</v>
      </c>
      <c r="D46" s="12">
        <v>44851</v>
      </c>
      <c r="E46" s="12">
        <v>44851</v>
      </c>
      <c r="F46" s="12"/>
      <c r="G46" s="13"/>
      <c r="H46" s="14" t="s">
        <v>679</v>
      </c>
      <c r="I46" s="11" t="s">
        <v>680</v>
      </c>
      <c r="J46" s="15" t="str">
        <f t="shared" si="1"/>
        <v>921218</v>
      </c>
      <c r="K46" s="15" t="str">
        <f t="shared" si="9"/>
        <v>12</v>
      </c>
      <c r="L46" s="15" t="str">
        <f t="shared" si="2"/>
        <v>남자</v>
      </c>
      <c r="M46" s="15">
        <f t="shared" ca="1" si="3"/>
        <v>35</v>
      </c>
      <c r="N46" s="15" t="s">
        <v>111</v>
      </c>
      <c r="O46" s="15" t="s">
        <v>112</v>
      </c>
      <c r="P46" s="11" t="s">
        <v>681</v>
      </c>
      <c r="Q46" s="11"/>
      <c r="R46" s="11"/>
      <c r="S46" s="16"/>
      <c r="T46" s="15" t="s">
        <v>114</v>
      </c>
      <c r="U46" s="11" t="s">
        <v>682</v>
      </c>
      <c r="V46" s="15" t="str">
        <f t="shared" ca="1" si="7"/>
        <v>3년3개월</v>
      </c>
      <c r="W46" s="15" t="s">
        <v>428</v>
      </c>
      <c r="X46" s="18" t="str">
        <f t="shared" ca="1" si="4"/>
        <v>3년3개월</v>
      </c>
      <c r="Y46" s="17" t="s">
        <v>683</v>
      </c>
      <c r="Z46" s="17" t="s">
        <v>684</v>
      </c>
      <c r="AA46" s="14" t="s">
        <v>171</v>
      </c>
      <c r="AB46" s="16">
        <v>43336</v>
      </c>
      <c r="AC46" s="18">
        <f t="shared" ca="1" si="5"/>
        <v>3</v>
      </c>
      <c r="AD46" s="15" t="str">
        <f ca="1">IF($AA46="학사",IF($AC46&lt;=5,"초급",IF($AC46&lt;9,"중급",IF($AC46&lt;12,"고급",IF($AC46&gt;=12,"특급")))))</f>
        <v>초급</v>
      </c>
      <c r="AE46" s="15" t="str">
        <f t="shared" si="6"/>
        <v>미해당</v>
      </c>
      <c r="AF46" s="11"/>
      <c r="AG46" s="16"/>
      <c r="AH46" s="11"/>
      <c r="AI46" s="16"/>
      <c r="AJ46" s="11"/>
      <c r="AK46" s="11"/>
      <c r="AL46" s="19"/>
      <c r="AM46" s="11"/>
      <c r="AN46" s="20"/>
      <c r="AO46" s="21"/>
      <c r="AP46" s="21"/>
      <c r="AQ46" s="22" t="s">
        <v>154</v>
      </c>
      <c r="AR46" s="23" t="s">
        <v>155</v>
      </c>
      <c r="AS46" s="14" t="s">
        <v>137</v>
      </c>
      <c r="AT46" s="14" t="s">
        <v>685</v>
      </c>
      <c r="AU46" s="24" t="s">
        <v>157</v>
      </c>
      <c r="AV46" s="24" t="s">
        <v>686</v>
      </c>
      <c r="AW46" s="25" t="s">
        <v>687</v>
      </c>
      <c r="AX46" s="24" t="s">
        <v>122</v>
      </c>
      <c r="AY46" s="24" t="s">
        <v>688</v>
      </c>
      <c r="AZ46" s="17"/>
      <c r="BA46" s="17" t="s">
        <v>689</v>
      </c>
      <c r="BB46" s="26" t="str">
        <f>IFERROR(VLOOKUP($AY46,[1]프로젝트현황!Y:Z,2,0),"기타")</f>
        <v>서북권</v>
      </c>
      <c r="BC46" s="23" t="str">
        <f t="shared" si="8"/>
        <v>서울시 중구 오장동 148-16 남산센트럴시티투웨니퍼스트 609호</v>
      </c>
    </row>
    <row r="47" spans="1:55" ht="15" customHeight="1" x14ac:dyDescent="0.3">
      <c r="A47" s="10">
        <f t="shared" si="0"/>
        <v>45</v>
      </c>
      <c r="B47" s="11">
        <v>221005</v>
      </c>
      <c r="C47" s="11" t="s">
        <v>690</v>
      </c>
      <c r="D47" s="12">
        <v>44851</v>
      </c>
      <c r="E47" s="12">
        <v>44851</v>
      </c>
      <c r="F47" s="12"/>
      <c r="G47" s="13"/>
      <c r="H47" s="14" t="s">
        <v>691</v>
      </c>
      <c r="I47" s="11" t="s">
        <v>692</v>
      </c>
      <c r="J47" s="15" t="str">
        <f t="shared" si="1"/>
        <v>950618</v>
      </c>
      <c r="K47" s="15" t="str">
        <f t="shared" si="9"/>
        <v>06</v>
      </c>
      <c r="L47" s="15" t="str">
        <f t="shared" si="2"/>
        <v>남자</v>
      </c>
      <c r="M47" s="15">
        <f t="shared" ca="1" si="3"/>
        <v>32</v>
      </c>
      <c r="N47" s="15" t="s">
        <v>111</v>
      </c>
      <c r="O47" s="15" t="s">
        <v>112</v>
      </c>
      <c r="P47" s="11" t="s">
        <v>693</v>
      </c>
      <c r="Q47" s="11"/>
      <c r="R47" s="11" t="s">
        <v>167</v>
      </c>
      <c r="S47" s="16"/>
      <c r="T47" s="15" t="s">
        <v>114</v>
      </c>
      <c r="U47" s="11" t="s">
        <v>694</v>
      </c>
      <c r="V47" s="15" t="str">
        <f t="shared" ca="1" si="7"/>
        <v>4년6개월</v>
      </c>
      <c r="W47" s="15" t="s">
        <v>695</v>
      </c>
      <c r="X47" s="18" t="str">
        <f t="shared" ca="1" si="4"/>
        <v>3년3개월</v>
      </c>
      <c r="Y47" s="17" t="s">
        <v>696</v>
      </c>
      <c r="Z47" s="17" t="s">
        <v>697</v>
      </c>
      <c r="AA47" s="14" t="s">
        <v>171</v>
      </c>
      <c r="AB47" s="16">
        <v>44069</v>
      </c>
      <c r="AC47" s="18">
        <f t="shared" ca="1" si="5"/>
        <v>4</v>
      </c>
      <c r="AD47" s="15" t="str">
        <f ca="1">IF($AA47="학사",IF($AC47&lt;=5,"초급",IF($AC47&lt;9,"중급",IF($AC47&lt;12,"고급",IF($AC47&gt;=12,"특급")))))</f>
        <v>초급</v>
      </c>
      <c r="AE47" s="15" t="str">
        <f t="shared" si="6"/>
        <v>미해당</v>
      </c>
      <c r="AF47" s="11" t="s">
        <v>85</v>
      </c>
      <c r="AG47" s="16">
        <v>45003</v>
      </c>
      <c r="AH47" s="11"/>
      <c r="AI47" s="16"/>
      <c r="AJ47" s="11"/>
      <c r="AK47" s="11"/>
      <c r="AL47" s="19"/>
      <c r="AM47" s="11"/>
      <c r="AN47" s="20"/>
      <c r="AO47" s="21"/>
      <c r="AP47" s="21"/>
      <c r="AQ47" s="22" t="s">
        <v>154</v>
      </c>
      <c r="AR47" s="23" t="s">
        <v>155</v>
      </c>
      <c r="AS47" s="14" t="s">
        <v>137</v>
      </c>
      <c r="AT47" s="14" t="s">
        <v>698</v>
      </c>
      <c r="AU47" s="24" t="s">
        <v>157</v>
      </c>
      <c r="AV47" s="24" t="s">
        <v>699</v>
      </c>
      <c r="AW47" s="25" t="s">
        <v>700</v>
      </c>
      <c r="AX47" s="24" t="s">
        <v>122</v>
      </c>
      <c r="AY47" s="24" t="s">
        <v>701</v>
      </c>
      <c r="AZ47" s="17"/>
      <c r="BA47" s="17" t="s">
        <v>702</v>
      </c>
      <c r="BB47" s="26" t="str">
        <f>IFERROR(VLOOKUP($AY47,[1]프로젝트현황!Y:Z,2,0),"기타")</f>
        <v>동북권</v>
      </c>
      <c r="BC47" s="23" t="str">
        <f t="shared" si="8"/>
        <v>서울시 도봉구 시루봉로 260-7, B동 302호 (방학동, 한림그린맨숀)</v>
      </c>
    </row>
    <row r="48" spans="1:55" ht="15" customHeight="1" x14ac:dyDescent="0.3">
      <c r="A48" s="10">
        <f t="shared" si="0"/>
        <v>46</v>
      </c>
      <c r="B48" s="11">
        <v>221007</v>
      </c>
      <c r="C48" s="11" t="s">
        <v>703</v>
      </c>
      <c r="D48" s="12">
        <v>44865</v>
      </c>
      <c r="E48" s="12">
        <v>44865</v>
      </c>
      <c r="F48" s="12"/>
      <c r="G48" s="13"/>
      <c r="H48" s="14" t="s">
        <v>704</v>
      </c>
      <c r="I48" s="11" t="s">
        <v>705</v>
      </c>
      <c r="J48" s="15" t="str">
        <f t="shared" si="1"/>
        <v>991013</v>
      </c>
      <c r="K48" s="15" t="str">
        <f t="shared" si="9"/>
        <v>10</v>
      </c>
      <c r="L48" s="15" t="str">
        <f t="shared" si="2"/>
        <v>여자</v>
      </c>
      <c r="M48" s="15">
        <f t="shared" ca="1" si="3"/>
        <v>28</v>
      </c>
      <c r="N48" s="15" t="s">
        <v>111</v>
      </c>
      <c r="O48" s="15" t="s">
        <v>112</v>
      </c>
      <c r="P48" s="11" t="s">
        <v>706</v>
      </c>
      <c r="Q48" s="11"/>
      <c r="R48" s="11"/>
      <c r="S48" s="16"/>
      <c r="T48" s="15" t="s">
        <v>114</v>
      </c>
      <c r="U48" s="11" t="s">
        <v>707</v>
      </c>
      <c r="V48" s="15" t="str">
        <f t="shared" ca="1" si="7"/>
        <v>3년3개월</v>
      </c>
      <c r="W48" s="15" t="s">
        <v>428</v>
      </c>
      <c r="X48" s="18" t="str">
        <f t="shared" ca="1" si="4"/>
        <v>3년3개월</v>
      </c>
      <c r="Y48" s="17" t="s">
        <v>708</v>
      </c>
      <c r="Z48" s="17"/>
      <c r="AA48" s="14" t="s">
        <v>258</v>
      </c>
      <c r="AB48" s="16">
        <v>42866</v>
      </c>
      <c r="AC48" s="18">
        <f t="shared" ca="1" si="5"/>
        <v>3</v>
      </c>
      <c r="AD48" s="15" t="str">
        <f ca="1">IF($AA48="고졸",IF($AC48&lt;=11,"초급",IF($AC48&lt;=14,"중급",IF($AC48&lt;=17,"고급",IF($AC48&gt;=18,"특급")))))</f>
        <v>초급</v>
      </c>
      <c r="AE48" s="15" t="str">
        <f t="shared" si="6"/>
        <v>미해당</v>
      </c>
      <c r="AF48" s="11"/>
      <c r="AG48" s="16"/>
      <c r="AH48" s="11"/>
      <c r="AI48" s="16"/>
      <c r="AJ48" s="11"/>
      <c r="AK48" s="11"/>
      <c r="AL48" s="19"/>
      <c r="AM48" s="11"/>
      <c r="AN48" s="20"/>
      <c r="AO48" s="21"/>
      <c r="AP48" s="21"/>
      <c r="AQ48" s="22" t="s">
        <v>154</v>
      </c>
      <c r="AR48" s="23" t="s">
        <v>155</v>
      </c>
      <c r="AS48" s="14" t="s">
        <v>137</v>
      </c>
      <c r="AT48" s="14" t="s">
        <v>709</v>
      </c>
      <c r="AU48" s="24" t="s">
        <v>176</v>
      </c>
      <c r="AV48" s="24" t="s">
        <v>710</v>
      </c>
      <c r="AW48" s="25" t="s">
        <v>711</v>
      </c>
      <c r="AX48" s="24" t="s">
        <v>141</v>
      </c>
      <c r="AY48" s="24" t="s">
        <v>330</v>
      </c>
      <c r="AZ48" s="17" t="s">
        <v>575</v>
      </c>
      <c r="BA48" s="17" t="s">
        <v>712</v>
      </c>
      <c r="BB48" s="26" t="str">
        <f>IFERROR(VLOOKUP($AY48,[1]프로젝트현황!Y:Z,2,0),"기타")</f>
        <v>서남권</v>
      </c>
      <c r="BC48" s="23" t="str">
        <f t="shared" si="8"/>
        <v>경기도 안양시 만안구 현충로24번길 14, 1006호(안양동, 더베이프리미엄아파트)</v>
      </c>
    </row>
    <row r="49" spans="1:55" ht="15" customHeight="1" x14ac:dyDescent="0.3">
      <c r="A49" s="10">
        <f t="shared" si="0"/>
        <v>47</v>
      </c>
      <c r="B49" s="11">
        <v>221008</v>
      </c>
      <c r="C49" s="11" t="s">
        <v>713</v>
      </c>
      <c r="D49" s="12">
        <v>44865</v>
      </c>
      <c r="E49" s="12">
        <v>44865</v>
      </c>
      <c r="F49" s="12"/>
      <c r="G49" s="13"/>
      <c r="H49" s="14" t="s">
        <v>714</v>
      </c>
      <c r="I49" s="11" t="s">
        <v>715</v>
      </c>
      <c r="J49" s="15" t="str">
        <f t="shared" si="1"/>
        <v>990604</v>
      </c>
      <c r="K49" s="15" t="str">
        <f t="shared" si="9"/>
        <v>06</v>
      </c>
      <c r="L49" s="15" t="str">
        <f t="shared" si="2"/>
        <v>여자</v>
      </c>
      <c r="M49" s="15">
        <f t="shared" ca="1" si="3"/>
        <v>28</v>
      </c>
      <c r="N49" s="15" t="s">
        <v>111</v>
      </c>
      <c r="O49" s="15" t="s">
        <v>112</v>
      </c>
      <c r="P49" s="11" t="s">
        <v>716</v>
      </c>
      <c r="Q49" s="11"/>
      <c r="R49" s="11"/>
      <c r="S49" s="16"/>
      <c r="T49" s="15" t="s">
        <v>114</v>
      </c>
      <c r="U49" s="11" t="s">
        <v>717</v>
      </c>
      <c r="V49" s="15" t="str">
        <f t="shared" ca="1" si="7"/>
        <v>3년3개월</v>
      </c>
      <c r="W49" s="15" t="s">
        <v>428</v>
      </c>
      <c r="X49" s="18" t="str">
        <f t="shared" ca="1" si="4"/>
        <v>3년3개월</v>
      </c>
      <c r="Y49" s="17" t="s">
        <v>718</v>
      </c>
      <c r="Z49" s="17"/>
      <c r="AA49" s="14" t="s">
        <v>258</v>
      </c>
      <c r="AB49" s="16">
        <v>43139</v>
      </c>
      <c r="AC49" s="18">
        <f t="shared" ca="1" si="5"/>
        <v>3</v>
      </c>
      <c r="AD49" s="15" t="str">
        <f ca="1">IF($AA49="고졸",IF($AC49&lt;=11,"초급",IF($AC49&lt;=14,"중급",IF($AC49&lt;=17,"고급",IF($AC49&gt;=18,"특급")))))</f>
        <v>초급</v>
      </c>
      <c r="AE49" s="15" t="str">
        <f t="shared" si="6"/>
        <v>미해당</v>
      </c>
      <c r="AF49" s="11"/>
      <c r="AG49" s="16"/>
      <c r="AH49" s="11"/>
      <c r="AI49" s="16"/>
      <c r="AJ49" s="11"/>
      <c r="AK49" s="11"/>
      <c r="AL49" s="19"/>
      <c r="AM49" s="11"/>
      <c r="AN49" s="20"/>
      <c r="AO49" s="21"/>
      <c r="AP49" s="21"/>
      <c r="AQ49" s="22" t="s">
        <v>154</v>
      </c>
      <c r="AR49" s="23" t="s">
        <v>155</v>
      </c>
      <c r="AS49" s="14" t="s">
        <v>137</v>
      </c>
      <c r="AT49" s="14" t="s">
        <v>719</v>
      </c>
      <c r="AU49" s="24" t="s">
        <v>176</v>
      </c>
      <c r="AV49" s="24" t="s">
        <v>720</v>
      </c>
      <c r="AW49" s="25" t="s">
        <v>721</v>
      </c>
      <c r="AX49" s="24" t="s">
        <v>122</v>
      </c>
      <c r="AY49" s="24" t="s">
        <v>264</v>
      </c>
      <c r="AZ49" s="17"/>
      <c r="BA49" s="17" t="s">
        <v>722</v>
      </c>
      <c r="BB49" s="26" t="str">
        <f>IFERROR(VLOOKUP($AY49,[1]프로젝트현황!Y:Z,2,0),"기타")</f>
        <v>서남권</v>
      </c>
      <c r="BC49" s="23" t="str">
        <f t="shared" si="8"/>
        <v>서울시 관악구 신사로24길 4</v>
      </c>
    </row>
    <row r="50" spans="1:55" ht="15" customHeight="1" x14ac:dyDescent="0.3">
      <c r="A50" s="10">
        <f t="shared" si="0"/>
        <v>48</v>
      </c>
      <c r="B50" s="11">
        <v>221009</v>
      </c>
      <c r="C50" s="11" t="s">
        <v>723</v>
      </c>
      <c r="D50" s="12">
        <v>44865</v>
      </c>
      <c r="E50" s="12">
        <v>44865</v>
      </c>
      <c r="F50" s="12"/>
      <c r="G50" s="13"/>
      <c r="H50" s="14" t="s">
        <v>724</v>
      </c>
      <c r="I50" s="11" t="s">
        <v>725</v>
      </c>
      <c r="J50" s="15" t="str">
        <f t="shared" si="1"/>
        <v>980109</v>
      </c>
      <c r="K50" s="15" t="str">
        <f t="shared" si="9"/>
        <v>01</v>
      </c>
      <c r="L50" s="15" t="str">
        <f t="shared" si="2"/>
        <v>남자</v>
      </c>
      <c r="M50" s="15">
        <f t="shared" ca="1" si="3"/>
        <v>29</v>
      </c>
      <c r="N50" s="15" t="s">
        <v>111</v>
      </c>
      <c r="O50" s="15" t="s">
        <v>112</v>
      </c>
      <c r="P50" s="11" t="s">
        <v>726</v>
      </c>
      <c r="Q50" s="11"/>
      <c r="R50" s="11"/>
      <c r="S50" s="16"/>
      <c r="T50" s="15" t="s">
        <v>114</v>
      </c>
      <c r="U50" s="11" t="s">
        <v>727</v>
      </c>
      <c r="V50" s="15" t="str">
        <f t="shared" ca="1" si="7"/>
        <v>3년3개월</v>
      </c>
      <c r="W50" s="15" t="s">
        <v>428</v>
      </c>
      <c r="X50" s="18" t="str">
        <f t="shared" ca="1" si="4"/>
        <v>3년3개월</v>
      </c>
      <c r="Y50" s="17" t="s">
        <v>337</v>
      </c>
      <c r="Z50" s="17" t="s">
        <v>338</v>
      </c>
      <c r="AA50" s="14" t="s">
        <v>116</v>
      </c>
      <c r="AB50" s="16">
        <v>44967</v>
      </c>
      <c r="AC50" s="18">
        <f t="shared" ca="1" si="5"/>
        <v>3</v>
      </c>
      <c r="AD50" s="15" t="b">
        <f>IF($ZE30="전문학사",IF($AC50&lt;=8,"초급",IF($AC50&lt;12,"중급",IF($AC50&lt;15,"고급",IF($AC50&gt;=15,"특급")))))</f>
        <v>0</v>
      </c>
      <c r="AE50" s="15" t="str">
        <f t="shared" si="6"/>
        <v>미해당</v>
      </c>
      <c r="AF50" s="11"/>
      <c r="AG50" s="16"/>
      <c r="AH50" s="11"/>
      <c r="AI50" s="16"/>
      <c r="AJ50" s="11"/>
      <c r="AK50" s="11"/>
      <c r="AL50" s="19"/>
      <c r="AM50" s="11"/>
      <c r="AN50" s="20"/>
      <c r="AO50" s="21"/>
      <c r="AP50" s="21"/>
      <c r="AQ50" s="22" t="s">
        <v>154</v>
      </c>
      <c r="AR50" s="23" t="s">
        <v>155</v>
      </c>
      <c r="AS50" s="14" t="s">
        <v>137</v>
      </c>
      <c r="AT50" s="14" t="s">
        <v>728</v>
      </c>
      <c r="AU50" s="24" t="s">
        <v>157</v>
      </c>
      <c r="AV50" s="24" t="s">
        <v>729</v>
      </c>
      <c r="AW50" s="25" t="s">
        <v>730</v>
      </c>
      <c r="AX50" s="24" t="s">
        <v>141</v>
      </c>
      <c r="AY50" s="24" t="s">
        <v>564</v>
      </c>
      <c r="AZ50" s="17"/>
      <c r="BA50" s="17" t="s">
        <v>731</v>
      </c>
      <c r="BB50" s="26" t="str">
        <f>IFERROR(VLOOKUP($AY50,[1]프로젝트현황!Y:Z,2,0),"기타")</f>
        <v>서남권</v>
      </c>
      <c r="BC50" s="23" t="str">
        <f>(IF(AX50="","",AX50&amp;" "))&amp;(IF(AY50="","",AY50&amp;" "))&amp;(IF(AZ50="","",AZ50&amp;" "))&amp;AZE30</f>
        <v xml:space="preserve">경기도 김포시 </v>
      </c>
    </row>
    <row r="51" spans="1:55" ht="15" customHeight="1" x14ac:dyDescent="0.3">
      <c r="A51" s="10">
        <f t="shared" si="0"/>
        <v>49</v>
      </c>
      <c r="B51" s="11">
        <v>221101</v>
      </c>
      <c r="C51" s="11" t="s">
        <v>732</v>
      </c>
      <c r="D51" s="12">
        <v>44866</v>
      </c>
      <c r="E51" s="12">
        <v>44866</v>
      </c>
      <c r="F51" s="12"/>
      <c r="G51" s="13"/>
      <c r="H51" s="14"/>
      <c r="I51" s="11" t="s">
        <v>733</v>
      </c>
      <c r="J51" s="15" t="str">
        <f t="shared" si="1"/>
        <v>761015</v>
      </c>
      <c r="K51" s="15" t="str">
        <f t="shared" si="9"/>
        <v>10</v>
      </c>
      <c r="L51" s="15" t="str">
        <f t="shared" si="2"/>
        <v>남자</v>
      </c>
      <c r="M51" s="15">
        <f t="shared" ca="1" si="3"/>
        <v>51</v>
      </c>
      <c r="N51" s="15" t="s">
        <v>111</v>
      </c>
      <c r="O51" s="15" t="s">
        <v>112</v>
      </c>
      <c r="P51" s="11" t="s">
        <v>734</v>
      </c>
      <c r="Q51" s="11"/>
      <c r="R51" s="11" t="s">
        <v>129</v>
      </c>
      <c r="S51" s="16">
        <v>45024</v>
      </c>
      <c r="T51" s="15" t="s">
        <v>114</v>
      </c>
      <c r="U51" s="11" t="s">
        <v>735</v>
      </c>
      <c r="V51" s="15" t="str">
        <f t="shared" ca="1" si="7"/>
        <v>22년10개월</v>
      </c>
      <c r="W51" s="15" t="s">
        <v>736</v>
      </c>
      <c r="X51" s="18" t="str">
        <f t="shared" ca="1" si="4"/>
        <v>3년3개월</v>
      </c>
      <c r="Y51" s="17" t="s">
        <v>737</v>
      </c>
      <c r="Z51" s="17" t="s">
        <v>738</v>
      </c>
      <c r="AA51" s="14" t="s">
        <v>171</v>
      </c>
      <c r="AB51" s="16">
        <v>37673</v>
      </c>
      <c r="AC51" s="18">
        <f t="shared" ca="1" si="5"/>
        <v>22</v>
      </c>
      <c r="AD51" s="15" t="e">
        <f>IF(#REF!="학사",IF($AC51&lt;=5,"초급",IF($AC51&lt;9,"중급",IF($AC51&lt;12,"고급",IF($AC51&gt;=12,"특급")))))</f>
        <v>#REF!</v>
      </c>
      <c r="AE51" s="15" t="str">
        <f t="shared" si="6"/>
        <v>미해당</v>
      </c>
      <c r="AF51" s="11"/>
      <c r="AG51" s="16"/>
      <c r="AH51" s="11"/>
      <c r="AI51" s="16"/>
      <c r="AJ51" s="11"/>
      <c r="AK51" s="11"/>
      <c r="AL51" s="19"/>
      <c r="AM51" s="11"/>
      <c r="AN51" s="20"/>
      <c r="AO51" s="21"/>
      <c r="AP51" s="21"/>
      <c r="AQ51" s="22" t="s">
        <v>136</v>
      </c>
      <c r="AR51" s="23" t="s">
        <v>136</v>
      </c>
      <c r="AS51" s="14" t="s">
        <v>137</v>
      </c>
      <c r="AT51" s="14" t="s">
        <v>739</v>
      </c>
      <c r="AU51" s="24" t="s">
        <v>119</v>
      </c>
      <c r="AV51" s="24" t="s">
        <v>740</v>
      </c>
      <c r="AW51" s="25" t="s">
        <v>741</v>
      </c>
      <c r="AX51" s="24" t="s">
        <v>122</v>
      </c>
      <c r="AY51" s="24" t="s">
        <v>608</v>
      </c>
      <c r="AZ51" s="17"/>
      <c r="BA51" s="17" t="s">
        <v>742</v>
      </c>
      <c r="BB51" s="26" t="str">
        <f>IFERROR(VLOOKUP($AY51,[1]프로젝트현황!Y:Z,2,0),"기타")</f>
        <v>동북권</v>
      </c>
      <c r="BC51" s="23" t="e">
        <f>(IF(AX51="","",AX51&amp;" "))&amp;(IF(AY51="","",AY51&amp;" "))&amp;(IF(AZ51="","",AZ51&amp;" "))&amp;#REF!</f>
        <v>#REF!</v>
      </c>
    </row>
    <row r="52" spans="1:55" ht="15" customHeight="1" x14ac:dyDescent="0.3">
      <c r="A52" s="10">
        <f t="shared" si="0"/>
        <v>50</v>
      </c>
      <c r="B52" s="11">
        <v>221204</v>
      </c>
      <c r="C52" s="11" t="s">
        <v>743</v>
      </c>
      <c r="D52" s="12">
        <v>44914</v>
      </c>
      <c r="E52" s="12">
        <v>44914</v>
      </c>
      <c r="F52" s="12"/>
      <c r="G52" s="13"/>
      <c r="H52" s="14" t="s">
        <v>744</v>
      </c>
      <c r="I52" s="11" t="s">
        <v>745</v>
      </c>
      <c r="J52" s="15" t="str">
        <f t="shared" si="1"/>
        <v>921026</v>
      </c>
      <c r="K52" s="15" t="str">
        <f t="shared" si="9"/>
        <v>10</v>
      </c>
      <c r="L52" s="15" t="str">
        <f t="shared" si="2"/>
        <v>여자</v>
      </c>
      <c r="M52" s="15">
        <f t="shared" ca="1" si="3"/>
        <v>35</v>
      </c>
      <c r="N52" s="15" t="s">
        <v>111</v>
      </c>
      <c r="O52" s="15" t="s">
        <v>112</v>
      </c>
      <c r="P52" s="11" t="s">
        <v>746</v>
      </c>
      <c r="Q52" s="11"/>
      <c r="R52" s="11"/>
      <c r="S52" s="16"/>
      <c r="T52" s="15" t="s">
        <v>114</v>
      </c>
      <c r="U52" s="11"/>
      <c r="V52" s="15" t="str">
        <f t="shared" ca="1" si="7"/>
        <v>3년1개월</v>
      </c>
      <c r="W52" s="15" t="s">
        <v>428</v>
      </c>
      <c r="X52" s="18" t="str">
        <f t="shared" ca="1" si="4"/>
        <v>3년1개월</v>
      </c>
      <c r="Y52" s="17" t="s">
        <v>582</v>
      </c>
      <c r="Z52" s="17" t="s">
        <v>747</v>
      </c>
      <c r="AA52" s="14" t="s">
        <v>171</v>
      </c>
      <c r="AB52" s="16">
        <v>42788</v>
      </c>
      <c r="AC52" s="18">
        <f t="shared" ca="1" si="5"/>
        <v>3</v>
      </c>
      <c r="AD52" s="15" t="b">
        <f>IF($ZE32="학사",IF($AC52&lt;=5,"초급",IF($AC52&lt;9,"중급",IF($AC52&lt;12,"고급",IF($AC52&gt;=12,"특급")))))</f>
        <v>0</v>
      </c>
      <c r="AE52" s="15" t="str">
        <f t="shared" si="6"/>
        <v>미해당</v>
      </c>
      <c r="AF52" s="11"/>
      <c r="AG52" s="16"/>
      <c r="AH52" s="11"/>
      <c r="AI52" s="16"/>
      <c r="AJ52" s="11"/>
      <c r="AK52" s="16"/>
      <c r="AL52" s="19"/>
      <c r="AM52" s="11"/>
      <c r="AN52" s="20"/>
      <c r="AO52" s="21"/>
      <c r="AP52" s="21"/>
      <c r="AQ52" s="22" t="s">
        <v>154</v>
      </c>
      <c r="AR52" s="23" t="s">
        <v>155</v>
      </c>
      <c r="AS52" s="14" t="s">
        <v>137</v>
      </c>
      <c r="AT52" s="14" t="s">
        <v>748</v>
      </c>
      <c r="AU52" s="24" t="s">
        <v>157</v>
      </c>
      <c r="AV52" s="24" t="s">
        <v>749</v>
      </c>
      <c r="AW52" s="25" t="s">
        <v>750</v>
      </c>
      <c r="AX52" s="24" t="s">
        <v>141</v>
      </c>
      <c r="AY52" s="24" t="s">
        <v>751</v>
      </c>
      <c r="AZ52" s="17"/>
      <c r="BA52" s="17" t="s">
        <v>752</v>
      </c>
      <c r="BB52" s="26" t="str">
        <f>IFERROR(VLOOKUP($AY52,[1]프로젝트현황!Y:Z,2,0),"기타")</f>
        <v>동북권</v>
      </c>
      <c r="BC52" s="23" t="str">
        <f>(IF(AX52="","",AX52&amp;" "))&amp;(IF(AY52="","",AY52&amp;" "))&amp;(IF(AZ52="","",AZ52&amp;" "))&amp;AZE32</f>
        <v xml:space="preserve">경기도 남양주시 </v>
      </c>
    </row>
    <row r="53" spans="1:55" ht="15" customHeight="1" x14ac:dyDescent="0.3">
      <c r="A53" s="10">
        <f t="shared" si="0"/>
        <v>51</v>
      </c>
      <c r="B53" s="11">
        <v>230102</v>
      </c>
      <c r="C53" s="11" t="s">
        <v>753</v>
      </c>
      <c r="D53" s="12">
        <v>44928</v>
      </c>
      <c r="E53" s="12">
        <v>44928</v>
      </c>
      <c r="F53" s="12"/>
      <c r="G53" s="13"/>
      <c r="H53" s="14" t="s">
        <v>754</v>
      </c>
      <c r="I53" s="11" t="s">
        <v>755</v>
      </c>
      <c r="J53" s="15" t="str">
        <f t="shared" si="1"/>
        <v>970613</v>
      </c>
      <c r="K53" s="15" t="str">
        <f t="shared" si="9"/>
        <v>06</v>
      </c>
      <c r="L53" s="15" t="str">
        <f t="shared" si="2"/>
        <v>여자</v>
      </c>
      <c r="M53" s="15">
        <f t="shared" ca="1" si="3"/>
        <v>30</v>
      </c>
      <c r="N53" s="15" t="s">
        <v>111</v>
      </c>
      <c r="O53" s="15" t="s">
        <v>112</v>
      </c>
      <c r="P53" s="11" t="s">
        <v>756</v>
      </c>
      <c r="Q53" s="11"/>
      <c r="R53" s="11"/>
      <c r="S53" s="16"/>
      <c r="T53" s="15" t="s">
        <v>114</v>
      </c>
      <c r="U53" s="11"/>
      <c r="V53" s="15" t="str">
        <f t="shared" ca="1" si="7"/>
        <v>3년1개월</v>
      </c>
      <c r="W53" s="15" t="s">
        <v>428</v>
      </c>
      <c r="X53" s="18" t="str">
        <f t="shared" ca="1" si="4"/>
        <v>3년1개월</v>
      </c>
      <c r="Y53" s="17" t="s">
        <v>757</v>
      </c>
      <c r="Z53" s="17" t="s">
        <v>758</v>
      </c>
      <c r="AA53" s="14" t="s">
        <v>116</v>
      </c>
      <c r="AB53" s="16">
        <v>43496</v>
      </c>
      <c r="AC53" s="18">
        <f t="shared" ca="1" si="5"/>
        <v>3</v>
      </c>
      <c r="AD53" s="15" t="b">
        <f>IF($ZE33="전문학사",IF($AC53&lt;=8,"초급",IF($AC53&lt;12,"중급",IF($AC53&lt;15,"고급",IF($AC53&gt;=15,"특급")))))</f>
        <v>0</v>
      </c>
      <c r="AE53" s="15" t="str">
        <f t="shared" si="6"/>
        <v>미해당</v>
      </c>
      <c r="AF53" s="11"/>
      <c r="AG53" s="16"/>
      <c r="AH53" s="11" t="s">
        <v>87</v>
      </c>
      <c r="AI53" s="16">
        <v>45589</v>
      </c>
      <c r="AJ53" s="11"/>
      <c r="AK53" s="11"/>
      <c r="AL53" s="19"/>
      <c r="AM53" s="11"/>
      <c r="AN53" s="20"/>
      <c r="AO53" s="21"/>
      <c r="AP53" s="21"/>
      <c r="AQ53" s="22" t="s">
        <v>154</v>
      </c>
      <c r="AR53" s="23" t="s">
        <v>155</v>
      </c>
      <c r="AS53" s="14" t="s">
        <v>137</v>
      </c>
      <c r="AT53" s="14" t="s">
        <v>759</v>
      </c>
      <c r="AU53" s="24" t="s">
        <v>157</v>
      </c>
      <c r="AV53" s="24" t="s">
        <v>760</v>
      </c>
      <c r="AW53" s="25" t="s">
        <v>761</v>
      </c>
      <c r="AX53" s="24" t="s">
        <v>122</v>
      </c>
      <c r="AY53" s="24" t="s">
        <v>543</v>
      </c>
      <c r="AZ53" s="17"/>
      <c r="BA53" s="17" t="s">
        <v>762</v>
      </c>
      <c r="BB53" s="26" t="str">
        <f>IFERROR(VLOOKUP($AY53,[1]프로젝트현황!Y:Z,2,0),"기타")</f>
        <v>서남권</v>
      </c>
      <c r="BC53" s="23" t="str">
        <f>(IF(AX53="","",AX53&amp;" "))&amp;(IF(AY53="","",AY53&amp;" "))&amp;(IF(AZ53="","",AZ53&amp;" "))&amp;AZE33</f>
        <v xml:space="preserve">서울시 양천구 </v>
      </c>
    </row>
    <row r="54" spans="1:55" ht="15" customHeight="1" x14ac:dyDescent="0.3">
      <c r="A54" s="10">
        <f t="shared" si="0"/>
        <v>52</v>
      </c>
      <c r="B54" s="11">
        <v>230105</v>
      </c>
      <c r="C54" s="11" t="s">
        <v>763</v>
      </c>
      <c r="D54" s="12">
        <v>44951</v>
      </c>
      <c r="E54" s="12">
        <v>44951</v>
      </c>
      <c r="F54" s="12"/>
      <c r="G54" s="13"/>
      <c r="H54" s="14" t="s">
        <v>764</v>
      </c>
      <c r="I54" s="11" t="s">
        <v>765</v>
      </c>
      <c r="J54" s="15" t="str">
        <f t="shared" si="1"/>
        <v>900607</v>
      </c>
      <c r="K54" s="15" t="str">
        <f t="shared" si="9"/>
        <v>06</v>
      </c>
      <c r="L54" s="15" t="str">
        <f t="shared" si="2"/>
        <v>남자</v>
      </c>
      <c r="M54" s="15">
        <f t="shared" ca="1" si="3"/>
        <v>37</v>
      </c>
      <c r="N54" s="15" t="s">
        <v>111</v>
      </c>
      <c r="O54" s="15" t="s">
        <v>112</v>
      </c>
      <c r="P54" s="11" t="s">
        <v>766</v>
      </c>
      <c r="Q54" s="11"/>
      <c r="R54" s="11" t="s">
        <v>167</v>
      </c>
      <c r="S54" s="16"/>
      <c r="T54" s="15" t="s">
        <v>114</v>
      </c>
      <c r="U54" s="11"/>
      <c r="V54" s="15" t="str">
        <f t="shared" ca="1" si="7"/>
        <v>10년8개월</v>
      </c>
      <c r="W54" s="15" t="s">
        <v>767</v>
      </c>
      <c r="X54" s="18" t="str">
        <f t="shared" ca="1" si="4"/>
        <v>3년0개월</v>
      </c>
      <c r="Y54" s="17" t="s">
        <v>768</v>
      </c>
      <c r="Z54" s="17" t="s">
        <v>593</v>
      </c>
      <c r="AA54" s="14" t="s">
        <v>171</v>
      </c>
      <c r="AB54" s="16">
        <v>42045</v>
      </c>
      <c r="AC54" s="18">
        <f t="shared" ca="1" si="5"/>
        <v>10</v>
      </c>
      <c r="AD54" s="15" t="b">
        <f>IF($ZE34="학사",IF($AC54&lt;=5,"초급",IF($AC54&lt;9,"중급",IF($AC54&lt;12,"고급",IF($AC54&gt;=12,"특급")))))</f>
        <v>0</v>
      </c>
      <c r="AE54" s="15" t="str">
        <f t="shared" si="6"/>
        <v>미해당</v>
      </c>
      <c r="AF54" s="11"/>
      <c r="AG54" s="16"/>
      <c r="AH54" s="11" t="s">
        <v>87</v>
      </c>
      <c r="AI54" s="16">
        <v>42423</v>
      </c>
      <c r="AJ54" s="11"/>
      <c r="AK54" s="11"/>
      <c r="AL54" s="19"/>
      <c r="AM54" s="11"/>
      <c r="AN54" s="20"/>
      <c r="AO54" s="21" t="s">
        <v>527</v>
      </c>
      <c r="AP54" s="21" t="s">
        <v>769</v>
      </c>
      <c r="AQ54" s="22" t="s">
        <v>154</v>
      </c>
      <c r="AR54" s="23" t="s">
        <v>155</v>
      </c>
      <c r="AS54" s="14" t="s">
        <v>137</v>
      </c>
      <c r="AT54" s="14" t="s">
        <v>770</v>
      </c>
      <c r="AU54" s="24" t="s">
        <v>176</v>
      </c>
      <c r="AV54" s="24" t="s">
        <v>771</v>
      </c>
      <c r="AW54" s="25" t="s">
        <v>772</v>
      </c>
      <c r="AX54" s="24" t="s">
        <v>141</v>
      </c>
      <c r="AY54" s="24" t="s">
        <v>773</v>
      </c>
      <c r="AZ54" s="17" t="s">
        <v>774</v>
      </c>
      <c r="BA54" s="17" t="s">
        <v>775</v>
      </c>
      <c r="BB54" s="26" t="str">
        <f>IFERROR(VLOOKUP($AY54,[1]프로젝트현황!Y:Z,2,0),"기타")</f>
        <v>동남권</v>
      </c>
      <c r="BC54" s="23" t="str">
        <f>(IF(AX54="","",AX54&amp;" "))&amp;(IF(AY54="","",AY54&amp;" "))&amp;(IF(AZ54="","",AZ54&amp;" "))&amp;AZE34</f>
        <v xml:space="preserve">경기도 용인시 수지구 </v>
      </c>
    </row>
    <row r="55" spans="1:55" ht="15" customHeight="1" x14ac:dyDescent="0.3">
      <c r="A55" s="10">
        <f t="shared" si="0"/>
        <v>53</v>
      </c>
      <c r="B55" s="11">
        <v>230201</v>
      </c>
      <c r="C55" s="11" t="s">
        <v>776</v>
      </c>
      <c r="D55" s="12">
        <v>44958</v>
      </c>
      <c r="E55" s="12">
        <v>44958</v>
      </c>
      <c r="F55" s="12"/>
      <c r="G55" s="13"/>
      <c r="H55" s="14" t="s">
        <v>777</v>
      </c>
      <c r="I55" s="11" t="s">
        <v>778</v>
      </c>
      <c r="J55" s="15" t="str">
        <f t="shared" si="1"/>
        <v>041221</v>
      </c>
      <c r="K55" s="15" t="str">
        <f t="shared" si="9"/>
        <v>12</v>
      </c>
      <c r="L55" s="15" t="str">
        <f t="shared" si="2"/>
        <v>여자</v>
      </c>
      <c r="M55" s="15">
        <f t="shared" ca="1" si="3"/>
        <v>23</v>
      </c>
      <c r="N55" s="15" t="s">
        <v>111</v>
      </c>
      <c r="O55" s="15" t="s">
        <v>112</v>
      </c>
      <c r="P55" s="11" t="s">
        <v>779</v>
      </c>
      <c r="Q55" s="11"/>
      <c r="R55" s="11"/>
      <c r="S55" s="16"/>
      <c r="T55" s="15" t="s">
        <v>114</v>
      </c>
      <c r="U55" s="11"/>
      <c r="V55" s="15" t="str">
        <f t="shared" ca="1" si="7"/>
        <v>3년0개월</v>
      </c>
      <c r="W55" s="15" t="s">
        <v>428</v>
      </c>
      <c r="X55" s="18" t="str">
        <f t="shared" ca="1" si="4"/>
        <v>3년0개월</v>
      </c>
      <c r="Y55" s="17" t="s">
        <v>780</v>
      </c>
      <c r="Z55" s="17" t="s">
        <v>781</v>
      </c>
      <c r="AA55" s="14" t="s">
        <v>258</v>
      </c>
      <c r="AB55" s="16">
        <v>44936</v>
      </c>
      <c r="AC55" s="18">
        <f t="shared" ca="1" si="5"/>
        <v>3</v>
      </c>
      <c r="AD55" s="15" t="b">
        <f>IF($ZE35="고졸",IF($AC55&lt;=11,"초급",IF($AC55&lt;=14,"중급",IF($AC55&lt;=17,"고급",IF($AC55&gt;=18,"특급")))))</f>
        <v>0</v>
      </c>
      <c r="AE55" s="15" t="str">
        <f t="shared" si="6"/>
        <v>미해당</v>
      </c>
      <c r="AF55" s="11"/>
      <c r="AG55" s="16"/>
      <c r="AH55" s="11"/>
      <c r="AI55" s="16"/>
      <c r="AJ55" s="11"/>
      <c r="AK55" s="11"/>
      <c r="AL55" s="19"/>
      <c r="AM55" s="11"/>
      <c r="AN55" s="20"/>
      <c r="AO55" s="21"/>
      <c r="AP55" s="21"/>
      <c r="AQ55" s="22" t="s">
        <v>154</v>
      </c>
      <c r="AR55" s="23" t="s">
        <v>155</v>
      </c>
      <c r="AS55" s="14" t="s">
        <v>137</v>
      </c>
      <c r="AT55" s="14" t="s">
        <v>782</v>
      </c>
      <c r="AU55" s="24" t="s">
        <v>157</v>
      </c>
      <c r="AV55" s="24" t="s">
        <v>783</v>
      </c>
      <c r="AW55" s="25" t="s">
        <v>784</v>
      </c>
      <c r="AX55" s="24" t="s">
        <v>122</v>
      </c>
      <c r="AY55" s="24" t="s">
        <v>785</v>
      </c>
      <c r="AZ55" s="17"/>
      <c r="BA55" s="17" t="s">
        <v>786</v>
      </c>
      <c r="BB55" s="26" t="str">
        <f>IFERROR(VLOOKUP($AY55,[1]프로젝트현황!Y:Z,2,0),"기타")</f>
        <v>서남권</v>
      </c>
      <c r="BC55" s="23" t="str">
        <f>(IF(AX55="","",AX55&amp;" "))&amp;(IF(AY55="","",AY55&amp;" "))&amp;(IF(AZ55="","",AZ55&amp;" "))&amp;AZE35</f>
        <v xml:space="preserve">서울시 동작구 </v>
      </c>
    </row>
    <row r="56" spans="1:55" ht="15" customHeight="1" x14ac:dyDescent="0.3">
      <c r="A56" s="10">
        <f t="shared" si="0"/>
        <v>54</v>
      </c>
      <c r="B56" s="11">
        <v>230204</v>
      </c>
      <c r="C56" s="11" t="s">
        <v>787</v>
      </c>
      <c r="D56" s="12">
        <v>44958</v>
      </c>
      <c r="E56" s="12">
        <v>44958</v>
      </c>
      <c r="F56" s="12"/>
      <c r="G56" s="13"/>
      <c r="H56" s="14" t="s">
        <v>788</v>
      </c>
      <c r="I56" s="11" t="s">
        <v>789</v>
      </c>
      <c r="J56" s="15" t="str">
        <f t="shared" si="1"/>
        <v>011016</v>
      </c>
      <c r="K56" s="15" t="str">
        <f t="shared" si="9"/>
        <v>10</v>
      </c>
      <c r="L56" s="15" t="str">
        <f t="shared" si="2"/>
        <v>여자</v>
      </c>
      <c r="M56" s="15">
        <f t="shared" ca="1" si="3"/>
        <v>26</v>
      </c>
      <c r="N56" s="15" t="s">
        <v>111</v>
      </c>
      <c r="O56" s="15" t="s">
        <v>112</v>
      </c>
      <c r="P56" s="11" t="s">
        <v>790</v>
      </c>
      <c r="Q56" s="11"/>
      <c r="R56" s="11"/>
      <c r="S56" s="16"/>
      <c r="T56" s="15" t="s">
        <v>114</v>
      </c>
      <c r="U56" s="11"/>
      <c r="V56" s="15" t="str">
        <f t="shared" ca="1" si="7"/>
        <v>3년0개월</v>
      </c>
      <c r="W56" s="15" t="s">
        <v>428</v>
      </c>
      <c r="X56" s="18" t="str">
        <f t="shared" ca="1" si="4"/>
        <v>3년0개월</v>
      </c>
      <c r="Y56" s="17" t="s">
        <v>791</v>
      </c>
      <c r="Z56" s="17" t="s">
        <v>792</v>
      </c>
      <c r="AA56" s="14" t="s">
        <v>171</v>
      </c>
      <c r="AB56" s="16">
        <v>45338</v>
      </c>
      <c r="AC56" s="18">
        <f t="shared" ca="1" si="5"/>
        <v>3</v>
      </c>
      <c r="AD56" s="15" t="e">
        <f>IF(#REF!="학사",IF($AC56&lt;=5,"초급",IF($AC56&lt;9,"중급",IF($AC56&lt;12,"고급",IF($AC56&gt;=12,"특급")))))</f>
        <v>#REF!</v>
      </c>
      <c r="AE56" s="15" t="str">
        <f t="shared" si="6"/>
        <v>미해당</v>
      </c>
      <c r="AF56" s="11"/>
      <c r="AG56" s="16"/>
      <c r="AH56" s="11"/>
      <c r="AI56" s="16"/>
      <c r="AJ56" s="11"/>
      <c r="AK56" s="11"/>
      <c r="AL56" s="19"/>
      <c r="AM56" s="11"/>
      <c r="AN56" s="20"/>
      <c r="AO56" s="21"/>
      <c r="AP56" s="21"/>
      <c r="AQ56" s="22" t="s">
        <v>154</v>
      </c>
      <c r="AR56" s="23" t="s">
        <v>155</v>
      </c>
      <c r="AS56" s="14" t="s">
        <v>137</v>
      </c>
      <c r="AT56" s="14" t="s">
        <v>793</v>
      </c>
      <c r="AU56" s="24" t="s">
        <v>157</v>
      </c>
      <c r="AV56" s="24" t="s">
        <v>794</v>
      </c>
      <c r="AW56" s="25" t="s">
        <v>795</v>
      </c>
      <c r="AX56" s="24" t="s">
        <v>461</v>
      </c>
      <c r="AY56" s="24" t="s">
        <v>796</v>
      </c>
      <c r="AZ56" s="17"/>
      <c r="BA56" s="17" t="s">
        <v>797</v>
      </c>
      <c r="BB56" s="26" t="str">
        <f>IFERROR(VLOOKUP($AY56,[1]프로젝트현황!Y:Z,2,0),"기타")</f>
        <v>서남권</v>
      </c>
      <c r="BC56" s="23" t="e">
        <f>(IF(AX56="","",AX56&amp;" "))&amp;(IF(AY56="","",AY56&amp;" "))&amp;(IF(AZ56="","",AZ56&amp;" "))&amp;#REF!</f>
        <v>#REF!</v>
      </c>
    </row>
    <row r="57" spans="1:55" ht="15" customHeight="1" x14ac:dyDescent="0.3">
      <c r="A57" s="10">
        <f t="shared" si="0"/>
        <v>55</v>
      </c>
      <c r="B57" s="11">
        <v>230205</v>
      </c>
      <c r="C57" s="11" t="s">
        <v>798</v>
      </c>
      <c r="D57" s="12">
        <v>44958</v>
      </c>
      <c r="E57" s="12">
        <v>44958</v>
      </c>
      <c r="F57" s="12"/>
      <c r="G57" s="13"/>
      <c r="H57" s="14" t="s">
        <v>799</v>
      </c>
      <c r="I57" s="11" t="s">
        <v>800</v>
      </c>
      <c r="J57" s="15" t="str">
        <f t="shared" si="1"/>
        <v>960903</v>
      </c>
      <c r="K57" s="15" t="str">
        <f t="shared" si="9"/>
        <v>09</v>
      </c>
      <c r="L57" s="15" t="str">
        <f t="shared" si="2"/>
        <v>여자</v>
      </c>
      <c r="M57" s="15">
        <f t="shared" ca="1" si="3"/>
        <v>31</v>
      </c>
      <c r="N57" s="15" t="s">
        <v>111</v>
      </c>
      <c r="O57" s="15" t="s">
        <v>112</v>
      </c>
      <c r="P57" s="11" t="s">
        <v>801</v>
      </c>
      <c r="Q57" s="11"/>
      <c r="R57" s="11"/>
      <c r="S57" s="16"/>
      <c r="T57" s="15" t="s">
        <v>114</v>
      </c>
      <c r="U57" s="11"/>
      <c r="V57" s="15" t="str">
        <f t="shared" ca="1" si="7"/>
        <v>3년0개월</v>
      </c>
      <c r="W57" s="15" t="s">
        <v>428</v>
      </c>
      <c r="X57" s="18" t="str">
        <f t="shared" ca="1" si="4"/>
        <v>3년0개월</v>
      </c>
      <c r="Y57" s="17" t="s">
        <v>802</v>
      </c>
      <c r="Z57" s="17" t="s">
        <v>803</v>
      </c>
      <c r="AA57" s="14" t="s">
        <v>171</v>
      </c>
      <c r="AB57" s="16">
        <v>43511</v>
      </c>
      <c r="AC57" s="18">
        <f t="shared" ca="1" si="5"/>
        <v>3</v>
      </c>
      <c r="AD57" s="15" t="b">
        <f>IF($ZE37="학사",IF($AC57&lt;=5,"초급",IF($AC57&lt;9,"중급",IF($AC57&lt;12,"고급",IF($AC57&gt;=12,"특급")))))</f>
        <v>0</v>
      </c>
      <c r="AE57" s="15" t="str">
        <f t="shared" ca="1" si="6"/>
        <v>초급</v>
      </c>
      <c r="AF57" s="11" t="s">
        <v>85</v>
      </c>
      <c r="AG57" s="16">
        <v>44730</v>
      </c>
      <c r="AH57" s="11" t="s">
        <v>87</v>
      </c>
      <c r="AI57" s="16">
        <v>45533</v>
      </c>
      <c r="AJ57" s="11" t="s">
        <v>89</v>
      </c>
      <c r="AK57" s="11">
        <v>44806</v>
      </c>
      <c r="AL57" s="19"/>
      <c r="AM57" s="11"/>
      <c r="AN57" s="20" t="s">
        <v>804</v>
      </c>
      <c r="AO57" s="21"/>
      <c r="AP57" s="21"/>
      <c r="AQ57" s="22" t="s">
        <v>154</v>
      </c>
      <c r="AR57" s="23" t="s">
        <v>155</v>
      </c>
      <c r="AS57" s="14" t="s">
        <v>137</v>
      </c>
      <c r="AT57" s="14" t="s">
        <v>805</v>
      </c>
      <c r="AU57" s="24" t="s">
        <v>157</v>
      </c>
      <c r="AV57" s="24" t="s">
        <v>806</v>
      </c>
      <c r="AW57" s="25" t="s">
        <v>807</v>
      </c>
      <c r="AX57" s="24" t="s">
        <v>122</v>
      </c>
      <c r="AY57" s="24" t="s">
        <v>808</v>
      </c>
      <c r="AZ57" s="17"/>
      <c r="BA57" s="17" t="s">
        <v>809</v>
      </c>
      <c r="BB57" s="26" t="str">
        <f>IFERROR(VLOOKUP($AY57,[1]프로젝트현황!Y:Z,2,0),"기타")</f>
        <v>동북권</v>
      </c>
      <c r="BC57" s="23" t="str">
        <f>(IF(AX57="","",AX57&amp;" "))&amp;(IF(AY57="","",AY57&amp;" "))&amp;(IF(AZ57="","",AZ57&amp;" "))&amp;AZE37</f>
        <v xml:space="preserve">서울시 성북구 </v>
      </c>
    </row>
    <row r="58" spans="1:55" ht="15" customHeight="1" x14ac:dyDescent="0.3">
      <c r="A58" s="10">
        <f t="shared" si="0"/>
        <v>56</v>
      </c>
      <c r="B58" s="11">
        <v>230206</v>
      </c>
      <c r="C58" s="11" t="s">
        <v>810</v>
      </c>
      <c r="D58" s="12">
        <v>44958</v>
      </c>
      <c r="E58" s="12">
        <v>44958</v>
      </c>
      <c r="F58" s="12"/>
      <c r="G58" s="13"/>
      <c r="H58" s="14" t="s">
        <v>811</v>
      </c>
      <c r="I58" s="11" t="s">
        <v>812</v>
      </c>
      <c r="J58" s="15" t="str">
        <f t="shared" si="1"/>
        <v>950629</v>
      </c>
      <c r="K58" s="15" t="str">
        <f t="shared" si="9"/>
        <v>06</v>
      </c>
      <c r="L58" s="15" t="str">
        <f t="shared" si="2"/>
        <v>남자</v>
      </c>
      <c r="M58" s="15">
        <f t="shared" ca="1" si="3"/>
        <v>32</v>
      </c>
      <c r="N58" s="15" t="s">
        <v>111</v>
      </c>
      <c r="O58" s="15" t="s">
        <v>112</v>
      </c>
      <c r="P58" s="11" t="s">
        <v>813</v>
      </c>
      <c r="Q58" s="11"/>
      <c r="R58" s="11"/>
      <c r="S58" s="16"/>
      <c r="T58" s="15" t="s">
        <v>114</v>
      </c>
      <c r="U58" s="11"/>
      <c r="V58" s="15" t="str">
        <f t="shared" ca="1" si="7"/>
        <v>3년0개월</v>
      </c>
      <c r="W58" s="15" t="s">
        <v>428</v>
      </c>
      <c r="X58" s="18" t="str">
        <f t="shared" ca="1" si="4"/>
        <v>3년0개월</v>
      </c>
      <c r="Y58" s="17" t="s">
        <v>814</v>
      </c>
      <c r="Z58" s="17" t="s">
        <v>815</v>
      </c>
      <c r="AA58" s="14" t="s">
        <v>116</v>
      </c>
      <c r="AB58" s="16">
        <v>42424</v>
      </c>
      <c r="AC58" s="18">
        <f t="shared" ca="1" si="5"/>
        <v>3</v>
      </c>
      <c r="AD58" s="15" t="b">
        <f>IF($ZE38="전문학사",IF($AC58&lt;=8,"초급",IF($AC58&lt;12,"중급",IF($AC58&lt;15,"고급",IF($AC58&gt;=15,"특급")))))</f>
        <v>0</v>
      </c>
      <c r="AE58" s="15" t="str">
        <f t="shared" si="6"/>
        <v>미해당</v>
      </c>
      <c r="AF58" s="11"/>
      <c r="AG58" s="16"/>
      <c r="AH58" s="11"/>
      <c r="AI58" s="16"/>
      <c r="AJ58" s="11"/>
      <c r="AK58" s="11"/>
      <c r="AL58" s="19"/>
      <c r="AM58" s="11"/>
      <c r="AN58" s="20"/>
      <c r="AO58" s="21"/>
      <c r="AP58" s="21"/>
      <c r="AQ58" s="22" t="s">
        <v>154</v>
      </c>
      <c r="AR58" s="23" t="s">
        <v>155</v>
      </c>
      <c r="AS58" s="14" t="s">
        <v>137</v>
      </c>
      <c r="AT58" s="14" t="s">
        <v>816</v>
      </c>
      <c r="AU58" s="24" t="s">
        <v>176</v>
      </c>
      <c r="AV58" s="24" t="s">
        <v>817</v>
      </c>
      <c r="AW58" s="25" t="s">
        <v>818</v>
      </c>
      <c r="AX58" s="24" t="s">
        <v>141</v>
      </c>
      <c r="AY58" s="24" t="s">
        <v>819</v>
      </c>
      <c r="AZ58" s="17"/>
      <c r="BA58" s="17" t="s">
        <v>820</v>
      </c>
      <c r="BB58" s="26" t="str">
        <f>IFERROR(VLOOKUP($AY58,[1]프로젝트현황!Y:Z,2,0),"기타")</f>
        <v>서남권</v>
      </c>
      <c r="BC58" s="23" t="str">
        <f>(IF(AX58="","",AX58&amp;" "))&amp;(IF(AY58="","",AY58&amp;" "))&amp;(IF(AZ58="","",AZ58&amp;" "))&amp;AZE38</f>
        <v xml:space="preserve">경기도 군포시 </v>
      </c>
    </row>
    <row r="59" spans="1:55" ht="15" customHeight="1" x14ac:dyDescent="0.3">
      <c r="A59" s="10">
        <f t="shared" si="0"/>
        <v>57</v>
      </c>
      <c r="B59" s="11">
        <v>230207</v>
      </c>
      <c r="C59" s="11" t="s">
        <v>821</v>
      </c>
      <c r="D59" s="12">
        <v>44958</v>
      </c>
      <c r="E59" s="12">
        <v>44958</v>
      </c>
      <c r="F59" s="12"/>
      <c r="G59" s="13"/>
      <c r="H59" s="14" t="s">
        <v>822</v>
      </c>
      <c r="I59" s="11" t="s">
        <v>823</v>
      </c>
      <c r="J59" s="15" t="str">
        <f t="shared" si="1"/>
        <v>980312</v>
      </c>
      <c r="K59" s="15" t="str">
        <f t="shared" si="9"/>
        <v>03</v>
      </c>
      <c r="L59" s="15" t="str">
        <f t="shared" si="2"/>
        <v>여자</v>
      </c>
      <c r="M59" s="15">
        <f t="shared" ca="1" si="3"/>
        <v>29</v>
      </c>
      <c r="N59" s="15" t="s">
        <v>111</v>
      </c>
      <c r="O59" s="15" t="s">
        <v>112</v>
      </c>
      <c r="P59" s="11" t="s">
        <v>824</v>
      </c>
      <c r="Q59" s="11"/>
      <c r="R59" s="11"/>
      <c r="S59" s="16"/>
      <c r="T59" s="15" t="s">
        <v>114</v>
      </c>
      <c r="U59" s="11"/>
      <c r="V59" s="15" t="str">
        <f t="shared" ca="1" si="7"/>
        <v>3년0개월</v>
      </c>
      <c r="W59" s="15" t="s">
        <v>428</v>
      </c>
      <c r="X59" s="18" t="str">
        <f t="shared" ca="1" si="4"/>
        <v>3년0개월</v>
      </c>
      <c r="Y59" s="17" t="s">
        <v>791</v>
      </c>
      <c r="Z59" s="17" t="s">
        <v>825</v>
      </c>
      <c r="AA59" s="14" t="s">
        <v>116</v>
      </c>
      <c r="AB59" s="16">
        <v>44974</v>
      </c>
      <c r="AC59" s="18">
        <f t="shared" ca="1" si="5"/>
        <v>3</v>
      </c>
      <c r="AD59" s="15" t="b">
        <f>IF($ZE39="전문학사",IF($AC59&lt;=8,"초급",IF($AC59&lt;12,"중급",IF($AC59&lt;15,"고급",IF($AC59&gt;=15,"특급")))))</f>
        <v>0</v>
      </c>
      <c r="AE59" s="15" t="str">
        <f t="shared" si="6"/>
        <v>미해당</v>
      </c>
      <c r="AF59" s="11" t="s">
        <v>85</v>
      </c>
      <c r="AG59" s="16">
        <v>2023.03</v>
      </c>
      <c r="AH59" s="11"/>
      <c r="AI59" s="16"/>
      <c r="AJ59" s="11"/>
      <c r="AK59" s="11"/>
      <c r="AL59" s="19"/>
      <c r="AM59" s="11"/>
      <c r="AN59" s="20"/>
      <c r="AO59" s="21"/>
      <c r="AP59" s="21"/>
      <c r="AQ59" s="22" t="s">
        <v>154</v>
      </c>
      <c r="AR59" s="23" t="s">
        <v>155</v>
      </c>
      <c r="AS59" s="14" t="s">
        <v>137</v>
      </c>
      <c r="AT59" s="14" t="s">
        <v>826</v>
      </c>
      <c r="AU59" s="24" t="s">
        <v>157</v>
      </c>
      <c r="AV59" s="24" t="s">
        <v>827</v>
      </c>
      <c r="AW59" s="25" t="s">
        <v>828</v>
      </c>
      <c r="AX59" s="24" t="s">
        <v>141</v>
      </c>
      <c r="AY59" s="24" t="s">
        <v>773</v>
      </c>
      <c r="AZ59" s="17" t="s">
        <v>829</v>
      </c>
      <c r="BA59" s="17" t="s">
        <v>830</v>
      </c>
      <c r="BB59" s="26" t="str">
        <f>IFERROR(VLOOKUP($AY59,[1]프로젝트현황!Y:Z,2,0),"기타")</f>
        <v>동남권</v>
      </c>
      <c r="BC59" s="23" t="str">
        <f>(IF(AX59="","",AX59&amp;" "))&amp;(IF(AY59="","",AY59&amp;" "))&amp;(IF(AZ59="","",AZ59&amp;" "))&amp;AZE39</f>
        <v xml:space="preserve">경기도 용인시 기흥구 </v>
      </c>
    </row>
    <row r="60" spans="1:55" ht="15" customHeight="1" x14ac:dyDescent="0.3">
      <c r="A60" s="10">
        <f t="shared" si="0"/>
        <v>58</v>
      </c>
      <c r="B60" s="11">
        <v>230208</v>
      </c>
      <c r="C60" s="11" t="s">
        <v>831</v>
      </c>
      <c r="D60" s="12">
        <v>44959</v>
      </c>
      <c r="E60" s="12">
        <v>44959</v>
      </c>
      <c r="F60" s="12"/>
      <c r="G60" s="13"/>
      <c r="H60" s="14" t="s">
        <v>832</v>
      </c>
      <c r="I60" s="28" t="s">
        <v>833</v>
      </c>
      <c r="J60" s="15" t="str">
        <f t="shared" si="1"/>
        <v>770716</v>
      </c>
      <c r="K60" s="15" t="str">
        <f t="shared" si="9"/>
        <v>07</v>
      </c>
      <c r="L60" s="15" t="str">
        <f t="shared" si="2"/>
        <v>남자</v>
      </c>
      <c r="M60" s="15">
        <f t="shared" ca="1" si="3"/>
        <v>50</v>
      </c>
      <c r="N60" s="15" t="s">
        <v>111</v>
      </c>
      <c r="O60" s="15" t="s">
        <v>112</v>
      </c>
      <c r="P60" s="11" t="s">
        <v>834</v>
      </c>
      <c r="Q60" s="11"/>
      <c r="R60" s="11" t="s">
        <v>129</v>
      </c>
      <c r="S60" s="16">
        <v>45270</v>
      </c>
      <c r="T60" s="15" t="s">
        <v>114</v>
      </c>
      <c r="U60" s="11"/>
      <c r="V60" s="15" t="str">
        <f t="shared" ca="1" si="7"/>
        <v>23년5개월</v>
      </c>
      <c r="W60" s="15" t="s">
        <v>835</v>
      </c>
      <c r="X60" s="18" t="str">
        <f t="shared" ca="1" si="4"/>
        <v>3년0개월</v>
      </c>
      <c r="Y60" s="17" t="s">
        <v>836</v>
      </c>
      <c r="Z60" s="17" t="s">
        <v>837</v>
      </c>
      <c r="AA60" s="14" t="s">
        <v>116</v>
      </c>
      <c r="AB60" s="16">
        <v>35853</v>
      </c>
      <c r="AC60" s="18">
        <f t="shared" ca="1" si="5"/>
        <v>23</v>
      </c>
      <c r="AD60" s="15" t="str">
        <f ca="1">IF($AA60="전문학사",IF($AC60&lt;=8,"초급",IF($AC60&lt;12,"중급",IF($AC60&lt;15,"고급",IF($AC60&gt;=15,"특급")))))</f>
        <v>특급</v>
      </c>
      <c r="AE60" s="15" t="str">
        <f t="shared" si="6"/>
        <v>미해당</v>
      </c>
      <c r="AF60" s="11"/>
      <c r="AG60" s="16"/>
      <c r="AH60" s="11"/>
      <c r="AI60" s="16"/>
      <c r="AJ60" s="11"/>
      <c r="AK60" s="11"/>
      <c r="AL60" s="19"/>
      <c r="AM60" s="11"/>
      <c r="AN60" s="20" t="s">
        <v>838</v>
      </c>
      <c r="AO60" s="21"/>
      <c r="AP60" s="21"/>
      <c r="AQ60" s="22" t="s">
        <v>154</v>
      </c>
      <c r="AR60" s="23" t="s">
        <v>155</v>
      </c>
      <c r="AS60" s="14" t="s">
        <v>137</v>
      </c>
      <c r="AT60" s="14" t="s">
        <v>839</v>
      </c>
      <c r="AU60" s="24" t="s">
        <v>119</v>
      </c>
      <c r="AV60" s="24" t="s">
        <v>840</v>
      </c>
      <c r="AW60" s="25" t="s">
        <v>841</v>
      </c>
      <c r="AX60" s="24" t="s">
        <v>122</v>
      </c>
      <c r="AY60" s="24" t="s">
        <v>236</v>
      </c>
      <c r="AZ60" s="17"/>
      <c r="BA60" s="17" t="s">
        <v>842</v>
      </c>
      <c r="BB60" s="26" t="str">
        <f>IFERROR(VLOOKUP($AY60,[1]프로젝트현황!Y:Z,2,0),"기타")</f>
        <v>서남권</v>
      </c>
      <c r="BC60" s="23" t="str">
        <f t="shared" ref="BC60:BC79" si="11">(IF(AX60="","",AX60&amp;" "))&amp;(IF(AY60="","",AY60&amp;" "))&amp;(IF(AZ60="","",AZ60&amp;" "))&amp;BA60</f>
        <v>서울시 구로구 신도림로 87, 105동 401호(신도림동, 신도림1차동아아파트)</v>
      </c>
    </row>
    <row r="61" spans="1:55" ht="15" customHeight="1" x14ac:dyDescent="0.3">
      <c r="A61" s="10">
        <f t="shared" si="0"/>
        <v>59</v>
      </c>
      <c r="B61" s="11">
        <v>230302</v>
      </c>
      <c r="C61" s="11" t="s">
        <v>843</v>
      </c>
      <c r="D61" s="12">
        <v>44991</v>
      </c>
      <c r="E61" s="12">
        <v>44991</v>
      </c>
      <c r="F61" s="12"/>
      <c r="G61" s="13"/>
      <c r="H61" s="14" t="s">
        <v>844</v>
      </c>
      <c r="I61" s="11" t="s">
        <v>845</v>
      </c>
      <c r="J61" s="15" t="str">
        <f t="shared" si="1"/>
        <v>010104</v>
      </c>
      <c r="K61" s="15" t="str">
        <f t="shared" si="9"/>
        <v>01</v>
      </c>
      <c r="L61" s="15" t="str">
        <f t="shared" si="2"/>
        <v>여자</v>
      </c>
      <c r="M61" s="15">
        <f t="shared" ca="1" si="3"/>
        <v>26</v>
      </c>
      <c r="N61" s="15" t="s">
        <v>111</v>
      </c>
      <c r="O61" s="15" t="s">
        <v>112</v>
      </c>
      <c r="P61" s="11" t="s">
        <v>846</v>
      </c>
      <c r="Q61" s="11"/>
      <c r="R61" s="11"/>
      <c r="S61" s="16"/>
      <c r="T61" s="15" t="s">
        <v>114</v>
      </c>
      <c r="U61" s="11"/>
      <c r="V61" s="15" t="str">
        <f t="shared" ca="1" si="7"/>
        <v>2년11개월</v>
      </c>
      <c r="W61" s="15" t="s">
        <v>428</v>
      </c>
      <c r="X61" s="18" t="str">
        <f t="shared" ca="1" si="4"/>
        <v>2년11개월</v>
      </c>
      <c r="Y61" s="17" t="s">
        <v>791</v>
      </c>
      <c r="Z61" s="17" t="s">
        <v>825</v>
      </c>
      <c r="AA61" s="14" t="s">
        <v>171</v>
      </c>
      <c r="AB61" s="16">
        <v>45338</v>
      </c>
      <c r="AC61" s="18">
        <f t="shared" ca="1" si="5"/>
        <v>2</v>
      </c>
      <c r="AD61" s="15" t="str">
        <f ca="1">IF($AA61="학사",IF($AC61&lt;=5,"초급",IF($AC61&lt;9,"중급",IF($AC61&lt;12,"고급",IF($AC61&gt;=12,"특급")))))</f>
        <v>초급</v>
      </c>
      <c r="AE61" s="15" t="str">
        <f t="shared" si="6"/>
        <v>미해당</v>
      </c>
      <c r="AF61" s="11"/>
      <c r="AG61" s="16"/>
      <c r="AH61" s="11"/>
      <c r="AI61" s="16"/>
      <c r="AJ61" s="11"/>
      <c r="AK61" s="11"/>
      <c r="AL61" s="19"/>
      <c r="AM61" s="11"/>
      <c r="AN61" s="20"/>
      <c r="AO61" s="21"/>
      <c r="AP61" s="21"/>
      <c r="AQ61" s="22" t="s">
        <v>154</v>
      </c>
      <c r="AR61" s="23" t="s">
        <v>155</v>
      </c>
      <c r="AS61" s="14" t="s">
        <v>137</v>
      </c>
      <c r="AT61" s="14" t="s">
        <v>847</v>
      </c>
      <c r="AU61" s="24" t="s">
        <v>157</v>
      </c>
      <c r="AV61" s="24" t="s">
        <v>848</v>
      </c>
      <c r="AW61" s="25" t="s">
        <v>849</v>
      </c>
      <c r="AX61" s="24" t="s">
        <v>141</v>
      </c>
      <c r="AY61" s="24" t="s">
        <v>342</v>
      </c>
      <c r="AZ61" s="17"/>
      <c r="BA61" s="17" t="s">
        <v>850</v>
      </c>
      <c r="BB61" s="26" t="str">
        <f>IFERROR(VLOOKUP($AY61,[1]프로젝트현황!Y:Z,2,0),"기타")</f>
        <v>서북권</v>
      </c>
      <c r="BC61" s="23" t="str">
        <f t="shared" si="11"/>
        <v>경기도 파주시 시청로 85, 209동 1202호 (아동동, 신안실크밸리2차아파트)</v>
      </c>
    </row>
    <row r="62" spans="1:55" ht="15" customHeight="1" x14ac:dyDescent="0.3">
      <c r="A62" s="10">
        <f t="shared" si="0"/>
        <v>60</v>
      </c>
      <c r="B62" s="11">
        <v>230306</v>
      </c>
      <c r="C62" s="11" t="s">
        <v>851</v>
      </c>
      <c r="D62" s="12">
        <v>44991</v>
      </c>
      <c r="E62" s="12">
        <v>44991</v>
      </c>
      <c r="F62" s="12"/>
      <c r="G62" s="13"/>
      <c r="H62" s="14" t="s">
        <v>852</v>
      </c>
      <c r="I62" s="11" t="s">
        <v>853</v>
      </c>
      <c r="J62" s="15" t="str">
        <f t="shared" si="1"/>
        <v>960201</v>
      </c>
      <c r="K62" s="15" t="str">
        <f t="shared" si="9"/>
        <v>02</v>
      </c>
      <c r="L62" s="15" t="str">
        <f t="shared" si="2"/>
        <v>남자</v>
      </c>
      <c r="M62" s="15">
        <f t="shared" ca="1" si="3"/>
        <v>31</v>
      </c>
      <c r="N62" s="15" t="s">
        <v>111</v>
      </c>
      <c r="O62" s="15" t="s">
        <v>112</v>
      </c>
      <c r="P62" s="11" t="s">
        <v>854</v>
      </c>
      <c r="Q62" s="11"/>
      <c r="R62" s="11" t="s">
        <v>129</v>
      </c>
      <c r="S62" s="16"/>
      <c r="T62" s="15" t="s">
        <v>114</v>
      </c>
      <c r="U62" s="11"/>
      <c r="V62" s="15" t="str">
        <f t="shared" ca="1" si="7"/>
        <v>4년2개월</v>
      </c>
      <c r="W62" s="15" t="s">
        <v>695</v>
      </c>
      <c r="X62" s="18" t="str">
        <f t="shared" ca="1" si="4"/>
        <v>2년11개월</v>
      </c>
      <c r="Y62" s="17" t="s">
        <v>855</v>
      </c>
      <c r="Z62" s="17" t="s">
        <v>856</v>
      </c>
      <c r="AA62" s="14" t="s">
        <v>116</v>
      </c>
      <c r="AB62" s="16">
        <v>44246</v>
      </c>
      <c r="AC62" s="18">
        <f t="shared" ca="1" si="5"/>
        <v>4</v>
      </c>
      <c r="AD62" s="15" t="str">
        <f ca="1">IF($AA62="전문학사",IF($AC62&lt;=8,"초급",IF($AC62&lt;12,"중급",IF($AC62&lt;15,"고급",IF($AC62&gt;=15,"특급")))))</f>
        <v>초급</v>
      </c>
      <c r="AE62" s="15" t="str">
        <f t="shared" si="6"/>
        <v>미해당</v>
      </c>
      <c r="AF62" s="11"/>
      <c r="AG62" s="16"/>
      <c r="AH62" s="11" t="s">
        <v>87</v>
      </c>
      <c r="AI62" s="16">
        <v>45407</v>
      </c>
      <c r="AJ62" s="11"/>
      <c r="AK62" s="11"/>
      <c r="AL62" s="19"/>
      <c r="AM62" s="11"/>
      <c r="AN62" s="20"/>
      <c r="AO62" s="21"/>
      <c r="AP62" s="21"/>
      <c r="AQ62" s="22" t="s">
        <v>154</v>
      </c>
      <c r="AR62" s="23" t="s">
        <v>155</v>
      </c>
      <c r="AS62" s="14" t="s">
        <v>137</v>
      </c>
      <c r="AT62" s="14" t="s">
        <v>857</v>
      </c>
      <c r="AU62" s="24" t="s">
        <v>119</v>
      </c>
      <c r="AV62" s="24" t="s">
        <v>858</v>
      </c>
      <c r="AW62" s="25" t="s">
        <v>859</v>
      </c>
      <c r="AX62" s="24" t="s">
        <v>141</v>
      </c>
      <c r="AY62" s="24" t="s">
        <v>353</v>
      </c>
      <c r="AZ62" s="17"/>
      <c r="BA62" s="17" t="s">
        <v>860</v>
      </c>
      <c r="BB62" s="26" t="str">
        <f>IFERROR(VLOOKUP($AY62,[1]프로젝트현황!Y:Z,2,0),"기타")</f>
        <v>동남권</v>
      </c>
      <c r="BC62" s="23" t="str">
        <f t="shared" si="11"/>
        <v>경기도 광주시 새말길 174-3, 202호 (신현동, 신촌하우스)</v>
      </c>
    </row>
    <row r="63" spans="1:55" ht="15" customHeight="1" x14ac:dyDescent="0.3">
      <c r="A63" s="10">
        <f t="shared" si="0"/>
        <v>61</v>
      </c>
      <c r="B63" s="11">
        <v>230308</v>
      </c>
      <c r="C63" s="11" t="s">
        <v>861</v>
      </c>
      <c r="D63" s="12">
        <v>44991</v>
      </c>
      <c r="E63" s="12">
        <v>44991</v>
      </c>
      <c r="F63" s="12"/>
      <c r="G63" s="13"/>
      <c r="H63" s="14" t="s">
        <v>862</v>
      </c>
      <c r="I63" s="11" t="s">
        <v>863</v>
      </c>
      <c r="J63" s="15" t="str">
        <f t="shared" si="1"/>
        <v>941219</v>
      </c>
      <c r="K63" s="15" t="str">
        <f t="shared" si="9"/>
        <v>12</v>
      </c>
      <c r="L63" s="15" t="str">
        <f t="shared" si="2"/>
        <v>남자</v>
      </c>
      <c r="M63" s="15">
        <f t="shared" ca="1" si="3"/>
        <v>33</v>
      </c>
      <c r="N63" s="15" t="s">
        <v>111</v>
      </c>
      <c r="O63" s="15" t="s">
        <v>112</v>
      </c>
      <c r="P63" s="11" t="s">
        <v>864</v>
      </c>
      <c r="Q63" s="11"/>
      <c r="R63" s="11"/>
      <c r="S63" s="16"/>
      <c r="T63" s="15" t="s">
        <v>114</v>
      </c>
      <c r="U63" s="11"/>
      <c r="V63" s="15" t="str">
        <f t="shared" ca="1" si="7"/>
        <v>2년11개월</v>
      </c>
      <c r="W63" s="15" t="s">
        <v>428</v>
      </c>
      <c r="X63" s="18" t="str">
        <f t="shared" ca="1" si="4"/>
        <v>2년11개월</v>
      </c>
      <c r="Y63" s="17" t="s">
        <v>865</v>
      </c>
      <c r="Z63" s="17"/>
      <c r="AA63" s="14" t="s">
        <v>258</v>
      </c>
      <c r="AB63" s="16">
        <v>41311</v>
      </c>
      <c r="AC63" s="18">
        <f t="shared" ca="1" si="5"/>
        <v>2</v>
      </c>
      <c r="AD63" s="15" t="str">
        <f ca="1">IF($AA63="고졸",IF($AC63&lt;=11,"초급",IF($AC63&lt;=14,"중급",IF($AC63&lt;=17,"고급",IF($AC63&gt;=18,"특급")))))</f>
        <v>초급</v>
      </c>
      <c r="AE63" s="15" t="str">
        <f t="shared" si="6"/>
        <v>미해당</v>
      </c>
      <c r="AF63" s="11"/>
      <c r="AG63" s="16"/>
      <c r="AH63" s="11"/>
      <c r="AI63" s="16"/>
      <c r="AJ63" s="11"/>
      <c r="AK63" s="11"/>
      <c r="AL63" s="19"/>
      <c r="AM63" s="11"/>
      <c r="AN63" s="20"/>
      <c r="AO63" s="21"/>
      <c r="AP63" s="21"/>
      <c r="AQ63" s="22" t="s">
        <v>154</v>
      </c>
      <c r="AR63" s="23" t="s">
        <v>155</v>
      </c>
      <c r="AS63" s="14" t="s">
        <v>137</v>
      </c>
      <c r="AT63" s="14" t="s">
        <v>866</v>
      </c>
      <c r="AU63" s="24" t="s">
        <v>157</v>
      </c>
      <c r="AV63" s="24" t="s">
        <v>867</v>
      </c>
      <c r="AW63" s="25" t="s">
        <v>868</v>
      </c>
      <c r="AX63" s="24" t="s">
        <v>141</v>
      </c>
      <c r="AY63" s="24" t="s">
        <v>773</v>
      </c>
      <c r="AZ63" s="17" t="s">
        <v>774</v>
      </c>
      <c r="BA63" s="17" t="s">
        <v>869</v>
      </c>
      <c r="BB63" s="26" t="str">
        <f>IFERROR(VLOOKUP($AY63,[1]프로젝트현황!Y:Z,2,0),"기타")</f>
        <v>동남권</v>
      </c>
      <c r="BC63" s="23" t="str">
        <f t="shared" si="11"/>
        <v>경기도 용인시 수지구 죽전로 121, 105동 1301호(죽전동, 꽃메마을아이파크)</v>
      </c>
    </row>
    <row r="64" spans="1:55" ht="15" customHeight="1" x14ac:dyDescent="0.3">
      <c r="A64" s="10">
        <f t="shared" si="0"/>
        <v>62</v>
      </c>
      <c r="B64" s="11">
        <v>230310</v>
      </c>
      <c r="C64" s="11" t="s">
        <v>870</v>
      </c>
      <c r="D64" s="12">
        <v>44991</v>
      </c>
      <c r="E64" s="12">
        <v>44991</v>
      </c>
      <c r="F64" s="12"/>
      <c r="G64" s="13"/>
      <c r="H64" s="14" t="s">
        <v>871</v>
      </c>
      <c r="I64" s="11" t="s">
        <v>872</v>
      </c>
      <c r="J64" s="15" t="str">
        <f t="shared" si="1"/>
        <v>940127</v>
      </c>
      <c r="K64" s="15" t="str">
        <f t="shared" si="9"/>
        <v>01</v>
      </c>
      <c r="L64" s="15" t="str">
        <f t="shared" si="2"/>
        <v>여자</v>
      </c>
      <c r="M64" s="15">
        <f t="shared" ca="1" si="3"/>
        <v>33</v>
      </c>
      <c r="N64" s="15" t="s">
        <v>111</v>
      </c>
      <c r="O64" s="15" t="s">
        <v>112</v>
      </c>
      <c r="P64" s="11" t="s">
        <v>873</v>
      </c>
      <c r="Q64" s="11"/>
      <c r="R64" s="11"/>
      <c r="S64" s="16"/>
      <c r="T64" s="15" t="s">
        <v>114</v>
      </c>
      <c r="U64" s="11"/>
      <c r="V64" s="15" t="str">
        <f t="shared" ca="1" si="7"/>
        <v>2년11개월</v>
      </c>
      <c r="W64" s="15" t="s">
        <v>428</v>
      </c>
      <c r="X64" s="18" t="str">
        <f t="shared" ca="1" si="4"/>
        <v>2년11개월</v>
      </c>
      <c r="Y64" s="17" t="s">
        <v>874</v>
      </c>
      <c r="Z64" s="17"/>
      <c r="AA64" s="14" t="s">
        <v>258</v>
      </c>
      <c r="AB64" s="16">
        <v>40948</v>
      </c>
      <c r="AC64" s="18">
        <f t="shared" ca="1" si="5"/>
        <v>2</v>
      </c>
      <c r="AD64" s="15" t="str">
        <f ca="1">IF($AA64="고졸",IF($AC64&lt;=11,"초급",IF($AC64&lt;=14,"중급",IF($AC64&lt;=17,"고급",IF($AC64&gt;=18,"특급")))))</f>
        <v>초급</v>
      </c>
      <c r="AE64" s="15" t="str">
        <f t="shared" ca="1" si="6"/>
        <v>초급</v>
      </c>
      <c r="AF64" s="11"/>
      <c r="AG64" s="16"/>
      <c r="AH64" s="11"/>
      <c r="AI64" s="16"/>
      <c r="AJ64" s="11"/>
      <c r="AK64" s="11"/>
      <c r="AL64" s="19" t="s">
        <v>91</v>
      </c>
      <c r="AM64" s="11">
        <v>44918</v>
      </c>
      <c r="AN64" s="20"/>
      <c r="AO64" s="21"/>
      <c r="AP64" s="21"/>
      <c r="AQ64" s="22" t="s">
        <v>154</v>
      </c>
      <c r="AR64" s="23" t="s">
        <v>155</v>
      </c>
      <c r="AS64" s="14" t="s">
        <v>137</v>
      </c>
      <c r="AT64" s="14" t="s">
        <v>875</v>
      </c>
      <c r="AU64" s="24" t="s">
        <v>157</v>
      </c>
      <c r="AV64" s="24" t="s">
        <v>876</v>
      </c>
      <c r="AW64" s="25" t="s">
        <v>877</v>
      </c>
      <c r="AX64" s="24" t="s">
        <v>122</v>
      </c>
      <c r="AY64" s="24" t="s">
        <v>878</v>
      </c>
      <c r="AZ64" s="17"/>
      <c r="BA64" s="17" t="s">
        <v>879</v>
      </c>
      <c r="BB64" s="26" t="str">
        <f>IFERROR(VLOOKUP($AY64,[1]프로젝트현황!Y:Z,2,0),"기타")</f>
        <v>서북권</v>
      </c>
      <c r="BC64" s="23" t="str">
        <f t="shared" si="11"/>
        <v>서울시 종로구 지봉로14길 8-1, 4층(숭인동)</v>
      </c>
    </row>
    <row r="65" spans="1:55" ht="15" customHeight="1" x14ac:dyDescent="0.3">
      <c r="A65" s="10">
        <f t="shared" si="0"/>
        <v>63</v>
      </c>
      <c r="B65" s="11">
        <v>230312</v>
      </c>
      <c r="C65" s="11" t="s">
        <v>880</v>
      </c>
      <c r="D65" s="12">
        <v>44991</v>
      </c>
      <c r="E65" s="12">
        <v>44991</v>
      </c>
      <c r="F65" s="12"/>
      <c r="G65" s="13"/>
      <c r="H65" s="14" t="s">
        <v>881</v>
      </c>
      <c r="I65" s="11" t="s">
        <v>882</v>
      </c>
      <c r="J65" s="15" t="str">
        <f t="shared" si="1"/>
        <v>820530</v>
      </c>
      <c r="K65" s="15" t="str">
        <f t="shared" si="9"/>
        <v>05</v>
      </c>
      <c r="L65" s="15" t="str">
        <f t="shared" si="2"/>
        <v>여자</v>
      </c>
      <c r="M65" s="15">
        <f t="shared" ca="1" si="3"/>
        <v>45</v>
      </c>
      <c r="N65" s="15" t="s">
        <v>111</v>
      </c>
      <c r="O65" s="15" t="s">
        <v>112</v>
      </c>
      <c r="P65" s="11" t="s">
        <v>883</v>
      </c>
      <c r="Q65" s="11"/>
      <c r="R65" s="11" t="s">
        <v>129</v>
      </c>
      <c r="S65" s="16"/>
      <c r="T65" s="15" t="s">
        <v>114</v>
      </c>
      <c r="U65" s="11"/>
      <c r="V65" s="15" t="str">
        <f t="shared" ca="1" si="7"/>
        <v>2년11개월</v>
      </c>
      <c r="W65" s="15" t="s">
        <v>428</v>
      </c>
      <c r="X65" s="18" t="str">
        <f t="shared" ca="1" si="4"/>
        <v>2년11개월</v>
      </c>
      <c r="Y65" s="17" t="s">
        <v>696</v>
      </c>
      <c r="Z65" s="17" t="s">
        <v>884</v>
      </c>
      <c r="AA65" s="14" t="s">
        <v>171</v>
      </c>
      <c r="AB65" s="16">
        <v>39315</v>
      </c>
      <c r="AC65" s="18">
        <f t="shared" ca="1" si="5"/>
        <v>2</v>
      </c>
      <c r="AD65" s="15" t="str">
        <f ca="1">IF($AA65="학사",IF($AC65&lt;=5,"초급",IF($AC65&lt;9,"중급",IF($AC65&lt;12,"고급",IF($AC65&gt;=12,"특급")))))</f>
        <v>초급</v>
      </c>
      <c r="AE65" s="15" t="str">
        <f t="shared" ca="1" si="6"/>
        <v>초급</v>
      </c>
      <c r="AF65" s="11"/>
      <c r="AG65" s="16"/>
      <c r="AH65" s="11"/>
      <c r="AI65" s="16"/>
      <c r="AJ65" s="11" t="s">
        <v>89</v>
      </c>
      <c r="AK65" s="11">
        <v>37963</v>
      </c>
      <c r="AL65" s="19"/>
      <c r="AM65" s="11"/>
      <c r="AN65" s="20" t="s">
        <v>885</v>
      </c>
      <c r="AO65" s="21"/>
      <c r="AP65" s="21"/>
      <c r="AQ65" s="22" t="s">
        <v>154</v>
      </c>
      <c r="AR65" s="23" t="s">
        <v>155</v>
      </c>
      <c r="AS65" s="14" t="s">
        <v>137</v>
      </c>
      <c r="AT65" s="14" t="s">
        <v>886</v>
      </c>
      <c r="AU65" s="24" t="s">
        <v>393</v>
      </c>
      <c r="AV65" s="24" t="s">
        <v>887</v>
      </c>
      <c r="AW65" s="25" t="s">
        <v>888</v>
      </c>
      <c r="AX65" s="24" t="s">
        <v>122</v>
      </c>
      <c r="AY65" s="24" t="s">
        <v>608</v>
      </c>
      <c r="AZ65" s="17"/>
      <c r="BA65" s="17" t="s">
        <v>889</v>
      </c>
      <c r="BB65" s="26" t="str">
        <f>IFERROR(VLOOKUP($AY65,[1]프로젝트현황!Y:Z,2,0),"기타")</f>
        <v>동북권</v>
      </c>
      <c r="BC65" s="23" t="str">
        <f t="shared" si="11"/>
        <v>서울시 중랑구 사가정로72길 26, 107동 303호 (면목동, 한양수자인사가정파트)</v>
      </c>
    </row>
    <row r="66" spans="1:55" ht="15" customHeight="1" x14ac:dyDescent="0.3">
      <c r="A66" s="10">
        <f t="shared" si="0"/>
        <v>64</v>
      </c>
      <c r="B66" s="11">
        <v>230314</v>
      </c>
      <c r="C66" s="11" t="s">
        <v>890</v>
      </c>
      <c r="D66" s="12">
        <v>44991</v>
      </c>
      <c r="E66" s="12">
        <v>44991</v>
      </c>
      <c r="F66" s="12"/>
      <c r="G66" s="13"/>
      <c r="H66" s="14" t="s">
        <v>891</v>
      </c>
      <c r="I66" s="11" t="s">
        <v>892</v>
      </c>
      <c r="J66" s="15" t="str">
        <f t="shared" si="1"/>
        <v>951225</v>
      </c>
      <c r="K66" s="15" t="str">
        <f t="shared" si="9"/>
        <v>12</v>
      </c>
      <c r="L66" s="15" t="str">
        <f t="shared" si="2"/>
        <v>여자</v>
      </c>
      <c r="M66" s="15">
        <f t="shared" ca="1" si="3"/>
        <v>32</v>
      </c>
      <c r="N66" s="15" t="s">
        <v>111</v>
      </c>
      <c r="O66" s="15" t="s">
        <v>112</v>
      </c>
      <c r="P66" s="11" t="s">
        <v>893</v>
      </c>
      <c r="Q66" s="11"/>
      <c r="R66" s="11"/>
      <c r="S66" s="16"/>
      <c r="T66" s="15" t="s">
        <v>114</v>
      </c>
      <c r="U66" s="11"/>
      <c r="V66" s="15" t="str">
        <f t="shared" ca="1" si="7"/>
        <v>2년11개월</v>
      </c>
      <c r="W66" s="15" t="s">
        <v>428</v>
      </c>
      <c r="X66" s="18" t="str">
        <f t="shared" ca="1" si="4"/>
        <v>2년11개월</v>
      </c>
      <c r="Y66" s="17" t="s">
        <v>757</v>
      </c>
      <c r="Z66" s="17" t="s">
        <v>894</v>
      </c>
      <c r="AA66" s="14" t="s">
        <v>171</v>
      </c>
      <c r="AB66" s="16">
        <v>43861</v>
      </c>
      <c r="AC66" s="18">
        <f t="shared" ca="1" si="5"/>
        <v>2</v>
      </c>
      <c r="AD66" s="15" t="str">
        <f ca="1">IF($AA66="학사",IF($AC66&lt;=5,"초급",IF($AC66&lt;9,"중급",IF($AC66&lt;12,"고급",IF($AC66&gt;=12,"특급")))))</f>
        <v>초급</v>
      </c>
      <c r="AE66" s="15" t="str">
        <f t="shared" ca="1" si="6"/>
        <v>초급</v>
      </c>
      <c r="AF66" s="11"/>
      <c r="AG66" s="16"/>
      <c r="AH66" s="11" t="s">
        <v>87</v>
      </c>
      <c r="AI66" s="16" t="s">
        <v>895</v>
      </c>
      <c r="AJ66" s="11"/>
      <c r="AK66" s="11"/>
      <c r="AL66" s="19" t="s">
        <v>91</v>
      </c>
      <c r="AM66" s="11">
        <v>44147</v>
      </c>
      <c r="AN66" s="20"/>
      <c r="AO66" s="21"/>
      <c r="AP66" s="21"/>
      <c r="AQ66" s="22" t="s">
        <v>154</v>
      </c>
      <c r="AR66" s="23" t="s">
        <v>155</v>
      </c>
      <c r="AS66" s="14" t="s">
        <v>137</v>
      </c>
      <c r="AT66" s="14" t="s">
        <v>896</v>
      </c>
      <c r="AU66" s="24" t="s">
        <v>157</v>
      </c>
      <c r="AV66" s="24" t="s">
        <v>897</v>
      </c>
      <c r="AW66" s="25" t="s">
        <v>898</v>
      </c>
      <c r="AX66" s="24" t="s">
        <v>141</v>
      </c>
      <c r="AY66" s="24" t="s">
        <v>477</v>
      </c>
      <c r="AZ66" s="17"/>
      <c r="BA66" s="17" t="s">
        <v>899</v>
      </c>
      <c r="BB66" s="26" t="str">
        <f>IFERROR(VLOOKUP($AY66,[1]프로젝트현황!Y:Z,2,0),"기타")</f>
        <v>서남권</v>
      </c>
      <c r="BC66" s="23" t="str">
        <f t="shared" si="11"/>
        <v>경기도 화성시 병점노을1로 14, 화정병점주택 104동 603호</v>
      </c>
    </row>
    <row r="67" spans="1:55" ht="15" customHeight="1" x14ac:dyDescent="0.3">
      <c r="A67" s="10">
        <f t="shared" ref="A67:A130" si="12">ROW()-2</f>
        <v>65</v>
      </c>
      <c r="B67" s="11">
        <v>230316</v>
      </c>
      <c r="C67" s="11" t="s">
        <v>900</v>
      </c>
      <c r="D67" s="12">
        <v>45012</v>
      </c>
      <c r="E67" s="12">
        <v>45012</v>
      </c>
      <c r="F67" s="12"/>
      <c r="G67" s="13"/>
      <c r="H67" s="14" t="s">
        <v>901</v>
      </c>
      <c r="I67" s="11" t="s">
        <v>902</v>
      </c>
      <c r="J67" s="15" t="str">
        <f t="shared" ref="J67:J130" si="13">LEFT(I67,6)</f>
        <v>820919</v>
      </c>
      <c r="K67" s="15" t="str">
        <f t="shared" si="9"/>
        <v>09</v>
      </c>
      <c r="L67" s="15" t="str">
        <f t="shared" ref="L67:L130" si="14">IF(OR(MID($I67,8,1)="1",MID($I67,8,1)="3"),"남자",IF(OR(MID($I67,8,1)="2",MID($I67,8,1)="4"),"여자",""))</f>
        <v>남자</v>
      </c>
      <c r="M67" s="15">
        <f t="shared" ref="M67:M130" ca="1" si="15">YEAR(TODAY())-IF(OR(MID($I67,8,1)="1",MID($I67,8,1)="2"),19&amp;LEFT($I67,2),IF(OR(MID($I67,8,1)="3",MID($I67,8,1)="4"),20&amp;LEFT($I67,2),""))+1</f>
        <v>45</v>
      </c>
      <c r="N67" s="15" t="s">
        <v>111</v>
      </c>
      <c r="O67" s="15" t="s">
        <v>112</v>
      </c>
      <c r="P67" s="11" t="s">
        <v>903</v>
      </c>
      <c r="Q67" s="11"/>
      <c r="R67" s="11"/>
      <c r="S67" s="16"/>
      <c r="T67" s="15" t="s">
        <v>114</v>
      </c>
      <c r="U67" s="11"/>
      <c r="V67" s="15" t="str">
        <f t="shared" ca="1" si="7"/>
        <v>17년8개월</v>
      </c>
      <c r="W67" s="15" t="s">
        <v>904</v>
      </c>
      <c r="X67" s="18" t="str">
        <f t="shared" ref="X67:X116" ca="1" si="16">DATEDIF($D67,TODAY(),"y")&amp;"년"&amp;DATEDIF($D67,TODAY(),"ym")&amp;"개월"</f>
        <v>2년10개월</v>
      </c>
      <c r="Y67" s="17" t="s">
        <v>905</v>
      </c>
      <c r="Z67" s="17" t="s">
        <v>906</v>
      </c>
      <c r="AA67" s="14" t="s">
        <v>258</v>
      </c>
      <c r="AB67" s="16">
        <v>36935</v>
      </c>
      <c r="AC67" s="18">
        <f t="shared" ref="AC67:AC130" ca="1" si="17">VALUE(LEFT($V67,FIND("년",$V67)-1))</f>
        <v>17</v>
      </c>
      <c r="AD67" s="15" t="str">
        <f ca="1">IF($AA67="고졸",IF($AC67&lt;=11,"초급",IF($AC67&lt;=14,"중급",IF($AC67&lt;=17,"고급",IF($AC67&gt;=18,"특급")))))</f>
        <v>고급</v>
      </c>
      <c r="AE67" s="15" t="str">
        <f t="shared" ref="AE67:AE116" si="18">IF(ISNUMBER(SEARCH("산업기사",$AL67)),IF($AC67&gt;=13,"특급",IF($AC67&gt;=10,"고급",IF($AC67&gt;=7,"중급","초급"))),IF(ISNUMBER(SEARCH("기사",$AJ67)),IF($AC67&gt;=10,"특급",IF($AC67&gt;=7,"고급",IF($AC67&gt;=4,"중급","초급"))),"미해당"))</f>
        <v>미해당</v>
      </c>
      <c r="AF67" s="11"/>
      <c r="AG67" s="16"/>
      <c r="AH67" s="11"/>
      <c r="AI67" s="16"/>
      <c r="AJ67" s="11"/>
      <c r="AK67" s="11"/>
      <c r="AL67" s="19"/>
      <c r="AM67" s="11"/>
      <c r="AN67" s="20"/>
      <c r="AO67" s="21"/>
      <c r="AP67" s="21"/>
      <c r="AQ67" s="22" t="s">
        <v>154</v>
      </c>
      <c r="AR67" s="23" t="s">
        <v>155</v>
      </c>
      <c r="AS67" s="14" t="s">
        <v>137</v>
      </c>
      <c r="AT67" s="14" t="s">
        <v>907</v>
      </c>
      <c r="AU67" s="24" t="s">
        <v>157</v>
      </c>
      <c r="AV67" s="24" t="s">
        <v>908</v>
      </c>
      <c r="AW67" s="25" t="s">
        <v>909</v>
      </c>
      <c r="AX67" s="24" t="s">
        <v>122</v>
      </c>
      <c r="AY67" s="24" t="s">
        <v>264</v>
      </c>
      <c r="AZ67" s="17"/>
      <c r="BA67" s="17" t="s">
        <v>910</v>
      </c>
      <c r="BB67" s="26" t="str">
        <f>IFERROR(VLOOKUP($AY67,[1]프로젝트현황!Y:Z,2,0),"기타")</f>
        <v>서남권</v>
      </c>
      <c r="BC67" s="23" t="str">
        <f t="shared" si="11"/>
        <v>서울시 관악구 관악로37길 20, 201동 508호(봉천동, 봉천동아아파트)</v>
      </c>
    </row>
    <row r="68" spans="1:55" ht="15" customHeight="1" x14ac:dyDescent="0.3">
      <c r="A68" s="10">
        <f t="shared" si="12"/>
        <v>66</v>
      </c>
      <c r="B68" s="11">
        <v>230401</v>
      </c>
      <c r="C68" s="11" t="s">
        <v>911</v>
      </c>
      <c r="D68" s="12">
        <v>45019</v>
      </c>
      <c r="E68" s="12">
        <v>45019</v>
      </c>
      <c r="F68" s="12"/>
      <c r="G68" s="13"/>
      <c r="H68" s="14" t="s">
        <v>912</v>
      </c>
      <c r="I68" s="11" t="s">
        <v>913</v>
      </c>
      <c r="J68" s="15" t="str">
        <f t="shared" si="13"/>
        <v>930212</v>
      </c>
      <c r="K68" s="15" t="str">
        <f t="shared" si="9"/>
        <v>02</v>
      </c>
      <c r="L68" s="15" t="str">
        <f t="shared" si="14"/>
        <v>남자</v>
      </c>
      <c r="M68" s="15">
        <f t="shared" ca="1" si="15"/>
        <v>34</v>
      </c>
      <c r="N68" s="15" t="s">
        <v>111</v>
      </c>
      <c r="O68" s="15" t="s">
        <v>112</v>
      </c>
      <c r="P68" s="11" t="s">
        <v>914</v>
      </c>
      <c r="Q68" s="11"/>
      <c r="R68" s="11"/>
      <c r="S68" s="16"/>
      <c r="T68" s="15" t="s">
        <v>114</v>
      </c>
      <c r="U68" s="11"/>
      <c r="V68" s="15" t="str">
        <f t="shared" ref="V68:V131" ca="1" si="19">QUOTIENT(SUMPRODUCT(LEFT($W68:$X68,FIND("년",$W68:$X68)-1)*12+MID($W68:$X68,FIND("년",$W68:$X68)+1,FIND("개월",$W68:$X68)-FIND("년",$W68:$X68)-1)),12)&amp;"년"&amp;MOD(SUMPRODUCT(LEFT($W68:$X68,FIND("년",$W68:$X68)-1)*12+MID($W68:$X68,FIND("년",$W68:$X68)+1,FIND("개월",$W68:$X68)-FIND("년",$W68:$X68)-1)),12)&amp;"개월"</f>
        <v>5년0개월</v>
      </c>
      <c r="W68" s="15" t="s">
        <v>915</v>
      </c>
      <c r="X68" s="18" t="str">
        <f t="shared" ca="1" si="16"/>
        <v>2년10개월</v>
      </c>
      <c r="Y68" s="17" t="s">
        <v>500</v>
      </c>
      <c r="Z68" s="17" t="s">
        <v>217</v>
      </c>
      <c r="AA68" s="14" t="s">
        <v>116</v>
      </c>
      <c r="AB68" s="16">
        <v>43139</v>
      </c>
      <c r="AC68" s="18">
        <f t="shared" ca="1" si="17"/>
        <v>5</v>
      </c>
      <c r="AD68" s="15" t="str">
        <f ca="1">IF($AA68="전문학사",IF($AC68&lt;=8,"초급",IF($AC68&lt;12,"중급",IF($AC68&lt;15,"고급",IF($AC68&gt;=15,"특급")))))</f>
        <v>초급</v>
      </c>
      <c r="AE68" s="15" t="str">
        <f t="shared" si="18"/>
        <v>미해당</v>
      </c>
      <c r="AF68" s="11"/>
      <c r="AG68" s="16"/>
      <c r="AH68" s="11"/>
      <c r="AI68" s="16"/>
      <c r="AJ68" s="11"/>
      <c r="AK68" s="11"/>
      <c r="AL68" s="19"/>
      <c r="AM68" s="11"/>
      <c r="AN68" s="20"/>
      <c r="AO68" s="21"/>
      <c r="AP68" s="21"/>
      <c r="AQ68" s="22" t="s">
        <v>154</v>
      </c>
      <c r="AR68" s="23" t="s">
        <v>155</v>
      </c>
      <c r="AS68" s="14" t="s">
        <v>137</v>
      </c>
      <c r="AT68" s="14" t="s">
        <v>916</v>
      </c>
      <c r="AU68" s="24" t="s">
        <v>157</v>
      </c>
      <c r="AV68" s="24" t="s">
        <v>917</v>
      </c>
      <c r="AW68" s="25" t="s">
        <v>918</v>
      </c>
      <c r="AX68" s="24" t="s">
        <v>122</v>
      </c>
      <c r="AY68" s="24" t="s">
        <v>608</v>
      </c>
      <c r="AZ68" s="17"/>
      <c r="BA68" s="17" t="s">
        <v>919</v>
      </c>
      <c r="BB68" s="26" t="str">
        <f>IFERROR(VLOOKUP($AY68,[1]프로젝트현황!Y:Z,2,0),"기타")</f>
        <v>동북권</v>
      </c>
      <c r="BC68" s="23" t="str">
        <f t="shared" si="11"/>
        <v>서울시 중랑구 상봉로1길 31-6(면목동)</v>
      </c>
    </row>
    <row r="69" spans="1:55" ht="15" customHeight="1" x14ac:dyDescent="0.3">
      <c r="A69" s="10">
        <f t="shared" si="12"/>
        <v>67</v>
      </c>
      <c r="B69" s="11">
        <v>230404</v>
      </c>
      <c r="C69" s="11" t="s">
        <v>920</v>
      </c>
      <c r="D69" s="12">
        <v>45019</v>
      </c>
      <c r="E69" s="12">
        <v>45019</v>
      </c>
      <c r="F69" s="12"/>
      <c r="G69" s="13"/>
      <c r="H69" s="14" t="s">
        <v>921</v>
      </c>
      <c r="I69" s="11" t="s">
        <v>922</v>
      </c>
      <c r="J69" s="15" t="str">
        <f t="shared" si="13"/>
        <v>990904</v>
      </c>
      <c r="K69" s="15" t="str">
        <f t="shared" si="9"/>
        <v>09</v>
      </c>
      <c r="L69" s="15" t="str">
        <f t="shared" si="14"/>
        <v>여자</v>
      </c>
      <c r="M69" s="15">
        <f t="shared" ca="1" si="15"/>
        <v>28</v>
      </c>
      <c r="N69" s="15" t="s">
        <v>111</v>
      </c>
      <c r="O69" s="15" t="s">
        <v>112</v>
      </c>
      <c r="P69" s="11" t="s">
        <v>923</v>
      </c>
      <c r="Q69" s="11"/>
      <c r="R69" s="11"/>
      <c r="S69" s="16"/>
      <c r="T69" s="15" t="s">
        <v>114</v>
      </c>
      <c r="U69" s="11"/>
      <c r="V69" s="15" t="str">
        <f t="shared" ca="1" si="19"/>
        <v>3년6개월</v>
      </c>
      <c r="W69" s="15" t="s">
        <v>924</v>
      </c>
      <c r="X69" s="18" t="str">
        <f t="shared" ca="1" si="16"/>
        <v>2년10개월</v>
      </c>
      <c r="Y69" s="17" t="s">
        <v>925</v>
      </c>
      <c r="Z69" s="17" t="s">
        <v>926</v>
      </c>
      <c r="AA69" s="14" t="s">
        <v>171</v>
      </c>
      <c r="AB69" s="16">
        <v>44979</v>
      </c>
      <c r="AC69" s="18">
        <f t="shared" ca="1" si="17"/>
        <v>3</v>
      </c>
      <c r="AD69" s="15" t="str">
        <f ca="1">IF($AA69="학사",IF($AC69&lt;=5,"초급",IF($AC69&lt;9,"중급",IF($AC69&lt;12,"고급",IF($AC69&gt;=12,"특급")))))</f>
        <v>초급</v>
      </c>
      <c r="AE69" s="15" t="str">
        <f t="shared" si="18"/>
        <v>미해당</v>
      </c>
      <c r="AF69" s="11"/>
      <c r="AG69" s="16"/>
      <c r="AH69" s="11"/>
      <c r="AI69" s="16"/>
      <c r="AJ69" s="11"/>
      <c r="AK69" s="11"/>
      <c r="AL69" s="19"/>
      <c r="AM69" s="11"/>
      <c r="AN69" s="20"/>
      <c r="AO69" s="21"/>
      <c r="AP69" s="21"/>
      <c r="AQ69" s="22" t="s">
        <v>154</v>
      </c>
      <c r="AR69" s="23" t="s">
        <v>155</v>
      </c>
      <c r="AS69" s="14" t="s">
        <v>137</v>
      </c>
      <c r="AT69" s="14" t="s">
        <v>927</v>
      </c>
      <c r="AU69" s="24" t="s">
        <v>157</v>
      </c>
      <c r="AV69" s="24" t="s">
        <v>928</v>
      </c>
      <c r="AW69" s="25" t="s">
        <v>929</v>
      </c>
      <c r="AX69" s="24" t="s">
        <v>122</v>
      </c>
      <c r="AY69" s="24" t="s">
        <v>785</v>
      </c>
      <c r="AZ69" s="17"/>
      <c r="BA69" s="17" t="s">
        <v>930</v>
      </c>
      <c r="BB69" s="26" t="str">
        <f>IFERROR(VLOOKUP($AY69,[1]프로젝트현황!Y:Z,2,0),"기타")</f>
        <v>서남권</v>
      </c>
      <c r="BC69" s="23" t="str">
        <f t="shared" si="11"/>
        <v>서울시 동작구 동작대로9다길 24(사당동)</v>
      </c>
    </row>
    <row r="70" spans="1:55" ht="15" customHeight="1" x14ac:dyDescent="0.3">
      <c r="A70" s="10">
        <f t="shared" si="12"/>
        <v>68</v>
      </c>
      <c r="B70" s="11">
        <v>230502</v>
      </c>
      <c r="C70" s="11" t="s">
        <v>931</v>
      </c>
      <c r="D70" s="12">
        <v>45064</v>
      </c>
      <c r="E70" s="12">
        <v>45064</v>
      </c>
      <c r="F70" s="12"/>
      <c r="G70" s="13"/>
      <c r="H70" s="14" t="s">
        <v>932</v>
      </c>
      <c r="I70" s="11" t="s">
        <v>933</v>
      </c>
      <c r="J70" s="15" t="str">
        <f t="shared" si="13"/>
        <v>770123</v>
      </c>
      <c r="K70" s="15" t="str">
        <f t="shared" si="9"/>
        <v>01</v>
      </c>
      <c r="L70" s="15" t="str">
        <f t="shared" si="14"/>
        <v>여자</v>
      </c>
      <c r="M70" s="15">
        <f t="shared" ca="1" si="15"/>
        <v>50</v>
      </c>
      <c r="N70" s="15" t="s">
        <v>111</v>
      </c>
      <c r="O70" s="15" t="s">
        <v>112</v>
      </c>
      <c r="P70" s="11" t="s">
        <v>934</v>
      </c>
      <c r="Q70" s="11"/>
      <c r="R70" s="11"/>
      <c r="S70" s="16"/>
      <c r="T70" s="15" t="s">
        <v>114</v>
      </c>
      <c r="U70" s="11"/>
      <c r="V70" s="15" t="str">
        <f t="shared" ca="1" si="19"/>
        <v>14년2개월</v>
      </c>
      <c r="W70" s="15" t="s">
        <v>935</v>
      </c>
      <c r="X70" s="18" t="str">
        <f t="shared" ca="1" si="16"/>
        <v>2년8개월</v>
      </c>
      <c r="Y70" s="17" t="s">
        <v>936</v>
      </c>
      <c r="Z70" s="17" t="s">
        <v>937</v>
      </c>
      <c r="AA70" s="14" t="s">
        <v>171</v>
      </c>
      <c r="AB70" s="16">
        <v>36581</v>
      </c>
      <c r="AC70" s="18">
        <f t="shared" ca="1" si="17"/>
        <v>14</v>
      </c>
      <c r="AD70" s="15" t="str">
        <f ca="1">IF($AA70="학사",IF($AC70&lt;=5,"초급",IF($AC70&lt;9,"중급",IF($AC70&lt;12,"고급",IF($AC70&gt;=12,"특급")))))</f>
        <v>특급</v>
      </c>
      <c r="AE70" s="15" t="str">
        <f t="shared" si="18"/>
        <v>미해당</v>
      </c>
      <c r="AF70" s="11"/>
      <c r="AG70" s="16"/>
      <c r="AH70" s="11" t="s">
        <v>87</v>
      </c>
      <c r="AI70" s="16">
        <v>45029</v>
      </c>
      <c r="AJ70" s="11"/>
      <c r="AK70" s="11"/>
      <c r="AL70" s="19"/>
      <c r="AM70" s="11"/>
      <c r="AN70" s="20"/>
      <c r="AO70" s="21"/>
      <c r="AP70" s="21"/>
      <c r="AQ70" s="22" t="s">
        <v>154</v>
      </c>
      <c r="AR70" s="23" t="s">
        <v>155</v>
      </c>
      <c r="AS70" s="14" t="s">
        <v>137</v>
      </c>
      <c r="AT70" s="14" t="s">
        <v>938</v>
      </c>
      <c r="AU70" s="24" t="s">
        <v>393</v>
      </c>
      <c r="AV70" s="24" t="s">
        <v>939</v>
      </c>
      <c r="AW70" s="25" t="s">
        <v>940</v>
      </c>
      <c r="AX70" s="24" t="s">
        <v>141</v>
      </c>
      <c r="AY70" s="24" t="s">
        <v>773</v>
      </c>
      <c r="AZ70" s="17" t="s">
        <v>774</v>
      </c>
      <c r="BA70" s="17" t="s">
        <v>941</v>
      </c>
      <c r="BB70" s="26" t="str">
        <f>IFERROR(VLOOKUP($AY70,[1]프로젝트현황!Y:Z,2,0),"기타")</f>
        <v>동남권</v>
      </c>
      <c r="BC70" s="23" t="str">
        <f t="shared" si="11"/>
        <v>경기도 용인시 수지구 진산로 24, 119동 803호 (상현동, 진산마을성원상떼빌아파트)</v>
      </c>
    </row>
    <row r="71" spans="1:55" ht="15" customHeight="1" x14ac:dyDescent="0.3">
      <c r="A71" s="10">
        <f t="shared" si="12"/>
        <v>69</v>
      </c>
      <c r="B71" s="11">
        <v>230503</v>
      </c>
      <c r="C71" s="11" t="s">
        <v>942</v>
      </c>
      <c r="D71" s="12">
        <v>45076</v>
      </c>
      <c r="E71" s="12">
        <v>45076</v>
      </c>
      <c r="F71" s="12"/>
      <c r="G71" s="13"/>
      <c r="H71" s="14" t="s">
        <v>943</v>
      </c>
      <c r="I71" s="11" t="s">
        <v>944</v>
      </c>
      <c r="J71" s="15" t="str">
        <f t="shared" si="13"/>
        <v>790206</v>
      </c>
      <c r="K71" s="15" t="str">
        <f t="shared" ref="K71:K134" si="20">MID($I71,3,2)</f>
        <v>02</v>
      </c>
      <c r="L71" s="15" t="str">
        <f t="shared" si="14"/>
        <v>여자</v>
      </c>
      <c r="M71" s="15">
        <f t="shared" ca="1" si="15"/>
        <v>48</v>
      </c>
      <c r="N71" s="15" t="s">
        <v>111</v>
      </c>
      <c r="O71" s="15" t="s">
        <v>112</v>
      </c>
      <c r="P71" s="11" t="s">
        <v>945</v>
      </c>
      <c r="Q71" s="11"/>
      <c r="R71" s="11"/>
      <c r="S71" s="16"/>
      <c r="T71" s="15" t="s">
        <v>114</v>
      </c>
      <c r="U71" s="11"/>
      <c r="V71" s="15" t="str">
        <f t="shared" ca="1" si="19"/>
        <v>2년8개월</v>
      </c>
      <c r="W71" s="15" t="s">
        <v>428</v>
      </c>
      <c r="X71" s="18" t="str">
        <f t="shared" ca="1" si="16"/>
        <v>2년8개월</v>
      </c>
      <c r="Y71" s="17" t="s">
        <v>757</v>
      </c>
      <c r="Z71" s="17" t="s">
        <v>946</v>
      </c>
      <c r="AA71" s="14" t="s">
        <v>116</v>
      </c>
      <c r="AB71" s="16">
        <v>36203</v>
      </c>
      <c r="AC71" s="18">
        <f t="shared" ca="1" si="17"/>
        <v>2</v>
      </c>
      <c r="AD71" s="15" t="str">
        <f ca="1">IF($AA71="전문학사",IF($AC71&lt;=8,"초급",IF($AC71&lt;12,"중급",IF($AC71&lt;15,"고급",IF($AC71&gt;=15,"특급")))))</f>
        <v>초급</v>
      </c>
      <c r="AE71" s="15" t="str">
        <f t="shared" si="18"/>
        <v>미해당</v>
      </c>
      <c r="AF71" s="11" t="s">
        <v>85</v>
      </c>
      <c r="AG71" s="16">
        <v>45157</v>
      </c>
      <c r="AH71" s="11"/>
      <c r="AI71" s="16"/>
      <c r="AJ71" s="11"/>
      <c r="AK71" s="11"/>
      <c r="AL71" s="19"/>
      <c r="AM71" s="11"/>
      <c r="AN71" s="20"/>
      <c r="AO71" s="21"/>
      <c r="AP71" s="21"/>
      <c r="AQ71" s="22" t="s">
        <v>154</v>
      </c>
      <c r="AR71" s="23" t="s">
        <v>155</v>
      </c>
      <c r="AS71" s="14" t="s">
        <v>137</v>
      </c>
      <c r="AT71" s="14" t="s">
        <v>947</v>
      </c>
      <c r="AU71" s="24" t="s">
        <v>393</v>
      </c>
      <c r="AV71" s="24" t="s">
        <v>948</v>
      </c>
      <c r="AW71" s="25" t="s">
        <v>949</v>
      </c>
      <c r="AX71" s="24" t="s">
        <v>141</v>
      </c>
      <c r="AY71" s="24" t="s">
        <v>564</v>
      </c>
      <c r="AZ71" s="17"/>
      <c r="BA71" s="17" t="s">
        <v>950</v>
      </c>
      <c r="BB71" s="26" t="str">
        <f>IFERROR(VLOOKUP($AY71,[1]프로젝트현황!Y:Z,2,0),"기타")</f>
        <v>서남권</v>
      </c>
      <c r="BC71" s="23" t="str">
        <f t="shared" si="11"/>
        <v>경기도 김포시 태장로845,135동 1302호(장기동, 한강센트럴자이)</v>
      </c>
    </row>
    <row r="72" spans="1:55" ht="15" customHeight="1" x14ac:dyDescent="0.3">
      <c r="A72" s="10">
        <f t="shared" si="12"/>
        <v>70</v>
      </c>
      <c r="B72" s="11">
        <v>230504</v>
      </c>
      <c r="C72" s="11" t="s">
        <v>951</v>
      </c>
      <c r="D72" s="12">
        <v>45076</v>
      </c>
      <c r="E72" s="12">
        <v>45076</v>
      </c>
      <c r="F72" s="12"/>
      <c r="G72" s="13"/>
      <c r="H72" s="14" t="s">
        <v>952</v>
      </c>
      <c r="I72" s="11" t="s">
        <v>953</v>
      </c>
      <c r="J72" s="15" t="str">
        <f t="shared" si="13"/>
        <v>910809</v>
      </c>
      <c r="K72" s="15" t="str">
        <f t="shared" si="20"/>
        <v>08</v>
      </c>
      <c r="L72" s="15" t="str">
        <f t="shared" si="14"/>
        <v>남자</v>
      </c>
      <c r="M72" s="15">
        <f t="shared" ca="1" si="15"/>
        <v>36</v>
      </c>
      <c r="N72" s="15" t="s">
        <v>111</v>
      </c>
      <c r="O72" s="15" t="s">
        <v>112</v>
      </c>
      <c r="P72" s="11" t="s">
        <v>954</v>
      </c>
      <c r="Q72" s="11"/>
      <c r="R72" s="11"/>
      <c r="S72" s="16"/>
      <c r="T72" s="15" t="s">
        <v>114</v>
      </c>
      <c r="U72" s="11"/>
      <c r="V72" s="15" t="str">
        <f t="shared" ca="1" si="19"/>
        <v>7년1개월</v>
      </c>
      <c r="W72" s="15" t="s">
        <v>453</v>
      </c>
      <c r="X72" s="18" t="str">
        <f t="shared" ca="1" si="16"/>
        <v>2년8개월</v>
      </c>
      <c r="Y72" s="17" t="s">
        <v>582</v>
      </c>
      <c r="Z72" s="17" t="s">
        <v>955</v>
      </c>
      <c r="AA72" s="14" t="s">
        <v>171</v>
      </c>
      <c r="AB72" s="16">
        <v>42788</v>
      </c>
      <c r="AC72" s="18">
        <f t="shared" ca="1" si="17"/>
        <v>7</v>
      </c>
      <c r="AD72" s="15" t="str">
        <f ca="1">IF($AA72="학사",IF($AC72&lt;=5,"초급",IF($AC72&lt;9,"중급",IF($AC72&lt;12,"고급",IF($AC72&gt;=12,"특급")))))</f>
        <v>중급</v>
      </c>
      <c r="AE72" s="15" t="str">
        <f t="shared" si="18"/>
        <v>미해당</v>
      </c>
      <c r="AF72" s="11"/>
      <c r="AG72" s="16"/>
      <c r="AH72" s="11" t="s">
        <v>87</v>
      </c>
      <c r="AI72" s="16">
        <v>45267</v>
      </c>
      <c r="AJ72" s="11"/>
      <c r="AK72" s="11"/>
      <c r="AL72" s="19"/>
      <c r="AM72" s="11"/>
      <c r="AN72" s="20"/>
      <c r="AO72" s="21"/>
      <c r="AP72" s="21"/>
      <c r="AQ72" s="22" t="s">
        <v>154</v>
      </c>
      <c r="AR72" s="23" t="s">
        <v>155</v>
      </c>
      <c r="AS72" s="14" t="s">
        <v>137</v>
      </c>
      <c r="AT72" s="14" t="s">
        <v>956</v>
      </c>
      <c r="AU72" s="24" t="s">
        <v>157</v>
      </c>
      <c r="AV72" s="24" t="s">
        <v>957</v>
      </c>
      <c r="AW72" s="25" t="s">
        <v>958</v>
      </c>
      <c r="AX72" s="24" t="s">
        <v>141</v>
      </c>
      <c r="AY72" s="24" t="s">
        <v>751</v>
      </c>
      <c r="AZ72" s="17"/>
      <c r="BA72" s="17" t="s">
        <v>959</v>
      </c>
      <c r="BB72" s="26" t="str">
        <f>IFERROR(VLOOKUP($AY72,[1]프로젝트현황!Y:Z,2,0),"기타")</f>
        <v>동북권</v>
      </c>
      <c r="BC72" s="23" t="str">
        <f t="shared" si="11"/>
        <v>경기도 남양주시 경춘로1015번길 26-5, 103동 108호 (금곡동, 한림주택)</v>
      </c>
    </row>
    <row r="73" spans="1:55" ht="15" customHeight="1" x14ac:dyDescent="0.3">
      <c r="A73" s="10">
        <f t="shared" si="12"/>
        <v>71</v>
      </c>
      <c r="B73" s="11">
        <v>230604</v>
      </c>
      <c r="C73" s="11" t="s">
        <v>960</v>
      </c>
      <c r="D73" s="12">
        <v>45084</v>
      </c>
      <c r="E73" s="12">
        <v>45084</v>
      </c>
      <c r="F73" s="12"/>
      <c r="G73" s="13"/>
      <c r="H73" s="14" t="s">
        <v>961</v>
      </c>
      <c r="I73" s="11" t="s">
        <v>962</v>
      </c>
      <c r="J73" s="15" t="str">
        <f t="shared" si="13"/>
        <v>960124</v>
      </c>
      <c r="K73" s="15" t="str">
        <f t="shared" si="20"/>
        <v>01</v>
      </c>
      <c r="L73" s="15" t="str">
        <f t="shared" si="14"/>
        <v>여자</v>
      </c>
      <c r="M73" s="15">
        <f t="shared" ca="1" si="15"/>
        <v>31</v>
      </c>
      <c r="N73" s="15" t="s">
        <v>111</v>
      </c>
      <c r="O73" s="15" t="s">
        <v>112</v>
      </c>
      <c r="P73" s="11" t="s">
        <v>963</v>
      </c>
      <c r="Q73" s="11"/>
      <c r="R73" s="11"/>
      <c r="S73" s="16"/>
      <c r="T73" s="15" t="s">
        <v>114</v>
      </c>
      <c r="U73" s="11"/>
      <c r="V73" s="15" t="str">
        <f t="shared" ca="1" si="19"/>
        <v>3년7개월</v>
      </c>
      <c r="W73" s="15" t="s">
        <v>964</v>
      </c>
      <c r="X73" s="18" t="str">
        <f t="shared" ca="1" si="16"/>
        <v>2년8개월</v>
      </c>
      <c r="Y73" s="17" t="s">
        <v>965</v>
      </c>
      <c r="Z73" s="17" t="s">
        <v>217</v>
      </c>
      <c r="AA73" s="14" t="s">
        <v>116</v>
      </c>
      <c r="AB73" s="16">
        <v>43144</v>
      </c>
      <c r="AC73" s="18">
        <f t="shared" ca="1" si="17"/>
        <v>3</v>
      </c>
      <c r="AD73" s="15" t="str">
        <f ca="1">IF($AA73="전문학사",IF($AC73&lt;=8,"초급",IF($AC73&lt;12,"중급",IF($AC73&lt;15,"고급",IF($AC73&gt;=15,"특급")))))</f>
        <v>초급</v>
      </c>
      <c r="AE73" s="15" t="str">
        <f t="shared" si="18"/>
        <v>미해당</v>
      </c>
      <c r="AF73" s="11"/>
      <c r="AG73" s="16"/>
      <c r="AH73" s="11"/>
      <c r="AI73" s="16"/>
      <c r="AJ73" s="11"/>
      <c r="AK73" s="11"/>
      <c r="AL73" s="19"/>
      <c r="AM73" s="11"/>
      <c r="AN73" s="20"/>
      <c r="AO73" s="21"/>
      <c r="AP73" s="21"/>
      <c r="AQ73" s="22" t="s">
        <v>154</v>
      </c>
      <c r="AR73" s="23" t="s">
        <v>155</v>
      </c>
      <c r="AS73" s="14" t="s">
        <v>137</v>
      </c>
      <c r="AT73" s="14" t="s">
        <v>966</v>
      </c>
      <c r="AU73" s="24" t="s">
        <v>157</v>
      </c>
      <c r="AV73" s="24" t="s">
        <v>967</v>
      </c>
      <c r="AW73" s="25" t="s">
        <v>968</v>
      </c>
      <c r="AX73" s="24" t="s">
        <v>461</v>
      </c>
      <c r="AY73" s="24" t="s">
        <v>653</v>
      </c>
      <c r="AZ73" s="17"/>
      <c r="BA73" s="17" t="s">
        <v>969</v>
      </c>
      <c r="BB73" s="26" t="str">
        <f>IFERROR(VLOOKUP($AY73,[1]프로젝트현황!Y:Z,2,0),"기타")</f>
        <v>서남권</v>
      </c>
      <c r="BC73" s="23" t="str">
        <f t="shared" si="11"/>
        <v>인천시 서구 청라한울로 95, 310동 2402호(청라동, 청라제일풍경채)</v>
      </c>
    </row>
    <row r="74" spans="1:55" ht="15" customHeight="1" x14ac:dyDescent="0.3">
      <c r="A74" s="10">
        <f t="shared" si="12"/>
        <v>72</v>
      </c>
      <c r="B74" s="11">
        <v>230605</v>
      </c>
      <c r="C74" s="11" t="s">
        <v>970</v>
      </c>
      <c r="D74" s="12">
        <v>45089</v>
      </c>
      <c r="E74" s="12">
        <v>45089</v>
      </c>
      <c r="F74" s="12"/>
      <c r="G74" s="13"/>
      <c r="H74" s="14" t="s">
        <v>971</v>
      </c>
      <c r="I74" s="11" t="s">
        <v>972</v>
      </c>
      <c r="J74" s="15" t="str">
        <f t="shared" si="13"/>
        <v>951015</v>
      </c>
      <c r="K74" s="15" t="str">
        <f t="shared" si="20"/>
        <v>10</v>
      </c>
      <c r="L74" s="15" t="str">
        <f t="shared" si="14"/>
        <v>남자</v>
      </c>
      <c r="M74" s="15">
        <f t="shared" ca="1" si="15"/>
        <v>32</v>
      </c>
      <c r="N74" s="15" t="s">
        <v>111</v>
      </c>
      <c r="O74" s="15" t="s">
        <v>112</v>
      </c>
      <c r="P74" s="11" t="s">
        <v>973</v>
      </c>
      <c r="Q74" s="11"/>
      <c r="R74" s="11"/>
      <c r="S74" s="16"/>
      <c r="T74" s="15" t="s">
        <v>114</v>
      </c>
      <c r="U74" s="11"/>
      <c r="V74" s="15" t="str">
        <f t="shared" ca="1" si="19"/>
        <v>2년7개월</v>
      </c>
      <c r="W74" s="15" t="s">
        <v>428</v>
      </c>
      <c r="X74" s="18" t="str">
        <f t="shared" ca="1" si="16"/>
        <v>2년7개월</v>
      </c>
      <c r="Y74" s="17" t="s">
        <v>974</v>
      </c>
      <c r="Z74" s="17"/>
      <c r="AA74" s="14" t="s">
        <v>258</v>
      </c>
      <c r="AB74" s="16">
        <v>41681</v>
      </c>
      <c r="AC74" s="18">
        <f t="shared" ca="1" si="17"/>
        <v>2</v>
      </c>
      <c r="AD74" s="15" t="str">
        <f ca="1">IF($AA74="고졸",IF($AC74&lt;=11,"초급",IF($AC74&lt;=14,"중급",IF($AC74&lt;=17,"고급",IF($AC74&gt;=18,"특급")))))</f>
        <v>초급</v>
      </c>
      <c r="AE74" s="15" t="str">
        <f t="shared" si="18"/>
        <v>미해당</v>
      </c>
      <c r="AF74" s="11" t="s">
        <v>85</v>
      </c>
      <c r="AG74" s="16">
        <v>45248</v>
      </c>
      <c r="AH74" s="11"/>
      <c r="AI74" s="16"/>
      <c r="AJ74" s="11"/>
      <c r="AK74" s="11"/>
      <c r="AL74" s="19"/>
      <c r="AM74" s="11"/>
      <c r="AN74" s="20"/>
      <c r="AO74" s="21"/>
      <c r="AP74" s="21"/>
      <c r="AQ74" s="22" t="s">
        <v>154</v>
      </c>
      <c r="AR74" s="23" t="s">
        <v>155</v>
      </c>
      <c r="AS74" s="14" t="s">
        <v>137</v>
      </c>
      <c r="AT74" s="14" t="s">
        <v>975</v>
      </c>
      <c r="AU74" s="24" t="s">
        <v>157</v>
      </c>
      <c r="AV74" s="24" t="s">
        <v>976</v>
      </c>
      <c r="AW74" s="25" t="s">
        <v>977</v>
      </c>
      <c r="AX74" s="24" t="s">
        <v>141</v>
      </c>
      <c r="AY74" s="24" t="s">
        <v>978</v>
      </c>
      <c r="AZ74" s="17"/>
      <c r="BA74" s="17" t="s">
        <v>979</v>
      </c>
      <c r="BB74" s="26" t="str">
        <f>IFERROR(VLOOKUP($AY74,[1]프로젝트현황!Y:Z,2,0),"기타")</f>
        <v>동북권</v>
      </c>
      <c r="BC74" s="23" t="str">
        <f t="shared" si="11"/>
        <v>경기도 의정부시 장곡로226번길 83, 101동 401호(장암동,장암더샵포레스트)</v>
      </c>
    </row>
    <row r="75" spans="1:55" ht="15" customHeight="1" x14ac:dyDescent="0.3">
      <c r="A75" s="10">
        <f t="shared" si="12"/>
        <v>73</v>
      </c>
      <c r="B75" s="11">
        <v>230606</v>
      </c>
      <c r="C75" s="11" t="s">
        <v>980</v>
      </c>
      <c r="D75" s="12">
        <v>45089</v>
      </c>
      <c r="E75" s="12">
        <v>45089</v>
      </c>
      <c r="F75" s="12"/>
      <c r="G75" s="13"/>
      <c r="H75" s="14" t="s">
        <v>981</v>
      </c>
      <c r="I75" s="11" t="s">
        <v>982</v>
      </c>
      <c r="J75" s="15" t="str">
        <f t="shared" si="13"/>
        <v>970319</v>
      </c>
      <c r="K75" s="15" t="str">
        <f t="shared" si="20"/>
        <v>03</v>
      </c>
      <c r="L75" s="15" t="str">
        <f t="shared" si="14"/>
        <v>여자</v>
      </c>
      <c r="M75" s="15">
        <f t="shared" ca="1" si="15"/>
        <v>30</v>
      </c>
      <c r="N75" s="15" t="s">
        <v>111</v>
      </c>
      <c r="O75" s="15" t="s">
        <v>112</v>
      </c>
      <c r="P75" s="11" t="s">
        <v>983</v>
      </c>
      <c r="Q75" s="11"/>
      <c r="R75" s="11"/>
      <c r="S75" s="16"/>
      <c r="T75" s="15" t="s">
        <v>114</v>
      </c>
      <c r="U75" s="11"/>
      <c r="V75" s="15" t="str">
        <f t="shared" ca="1" si="19"/>
        <v>2년7개월</v>
      </c>
      <c r="W75" s="15" t="s">
        <v>428</v>
      </c>
      <c r="X75" s="18" t="str">
        <f t="shared" ca="1" si="16"/>
        <v>2년7개월</v>
      </c>
      <c r="Y75" s="17" t="s">
        <v>984</v>
      </c>
      <c r="Z75" s="17"/>
      <c r="AA75" s="14" t="s">
        <v>258</v>
      </c>
      <c r="AB75" s="16">
        <v>42405</v>
      </c>
      <c r="AC75" s="18">
        <f t="shared" ca="1" si="17"/>
        <v>2</v>
      </c>
      <c r="AD75" s="15" t="str">
        <f ca="1">IF($AA75="고졸",IF($AC75&lt;=11,"초급",IF($AC75&lt;=14,"중급",IF($AC75&lt;=17,"고급",IF($AC75&gt;=18,"특급")))))</f>
        <v>초급</v>
      </c>
      <c r="AE75" s="15" t="str">
        <f t="shared" si="18"/>
        <v>미해당</v>
      </c>
      <c r="AF75" s="11"/>
      <c r="AG75" s="16"/>
      <c r="AH75" s="11"/>
      <c r="AI75" s="16"/>
      <c r="AJ75" s="11"/>
      <c r="AK75" s="11"/>
      <c r="AL75" s="19"/>
      <c r="AM75" s="11"/>
      <c r="AN75" s="20"/>
      <c r="AO75" s="21"/>
      <c r="AP75" s="21"/>
      <c r="AQ75" s="22" t="s">
        <v>154</v>
      </c>
      <c r="AR75" s="23" t="s">
        <v>155</v>
      </c>
      <c r="AS75" s="14" t="s">
        <v>137</v>
      </c>
      <c r="AT75" s="14" t="s">
        <v>985</v>
      </c>
      <c r="AU75" s="24" t="s">
        <v>176</v>
      </c>
      <c r="AV75" s="24" t="s">
        <v>986</v>
      </c>
      <c r="AW75" s="25" t="s">
        <v>987</v>
      </c>
      <c r="AX75" s="24" t="s">
        <v>122</v>
      </c>
      <c r="AY75" s="24" t="s">
        <v>264</v>
      </c>
      <c r="AZ75" s="17"/>
      <c r="BA75" s="17" t="s">
        <v>988</v>
      </c>
      <c r="BB75" s="26" t="str">
        <f>IFERROR(VLOOKUP($AY75,[1]프로젝트현황!Y:Z,2,0),"기타")</f>
        <v>서남권</v>
      </c>
      <c r="BC75" s="23" t="str">
        <f t="shared" si="11"/>
        <v>서울시 관악구 신림로58길 47 한아름마을 402호</v>
      </c>
    </row>
    <row r="76" spans="1:55" ht="15" customHeight="1" x14ac:dyDescent="0.3">
      <c r="A76" s="10">
        <f t="shared" si="12"/>
        <v>74</v>
      </c>
      <c r="B76" s="11">
        <v>230610</v>
      </c>
      <c r="C76" s="11" t="s">
        <v>989</v>
      </c>
      <c r="D76" s="12">
        <v>45096</v>
      </c>
      <c r="E76" s="12">
        <v>45096</v>
      </c>
      <c r="F76" s="12"/>
      <c r="G76" s="13"/>
      <c r="H76" s="14" t="s">
        <v>990</v>
      </c>
      <c r="I76" s="11" t="s">
        <v>991</v>
      </c>
      <c r="J76" s="15" t="str">
        <f t="shared" si="13"/>
        <v>000824</v>
      </c>
      <c r="K76" s="15" t="str">
        <f t="shared" si="20"/>
        <v>08</v>
      </c>
      <c r="L76" s="15" t="str">
        <f t="shared" si="14"/>
        <v>여자</v>
      </c>
      <c r="M76" s="15">
        <f t="shared" ca="1" si="15"/>
        <v>27</v>
      </c>
      <c r="N76" s="15" t="s">
        <v>111</v>
      </c>
      <c r="O76" s="15" t="s">
        <v>112</v>
      </c>
      <c r="P76" s="11" t="s">
        <v>992</v>
      </c>
      <c r="Q76" s="11"/>
      <c r="R76" s="11"/>
      <c r="S76" s="16"/>
      <c r="T76" s="15" t="s">
        <v>114</v>
      </c>
      <c r="U76" s="11"/>
      <c r="V76" s="15" t="str">
        <f t="shared" ca="1" si="19"/>
        <v>3년6개월</v>
      </c>
      <c r="W76" s="15" t="s">
        <v>964</v>
      </c>
      <c r="X76" s="18" t="str">
        <f t="shared" ca="1" si="16"/>
        <v>2년7개월</v>
      </c>
      <c r="Y76" s="17" t="s">
        <v>993</v>
      </c>
      <c r="Z76" s="17" t="s">
        <v>926</v>
      </c>
      <c r="AA76" s="14" t="s">
        <v>171</v>
      </c>
      <c r="AB76" s="16">
        <v>44979</v>
      </c>
      <c r="AC76" s="18">
        <f t="shared" ca="1" si="17"/>
        <v>3</v>
      </c>
      <c r="AD76" s="15" t="str">
        <f ca="1">IF($AA76="학사",IF($AC76&lt;=5,"초급",IF($AC76&lt;9,"중급",IF($AC76&lt;12,"고급",IF($AC76&gt;=12,"특급")))))</f>
        <v>초급</v>
      </c>
      <c r="AE76" s="15" t="str">
        <f t="shared" si="18"/>
        <v>미해당</v>
      </c>
      <c r="AF76" s="11"/>
      <c r="AG76" s="16"/>
      <c r="AH76" s="11"/>
      <c r="AI76" s="16"/>
      <c r="AJ76" s="11"/>
      <c r="AK76" s="11"/>
      <c r="AL76" s="19"/>
      <c r="AM76" s="11"/>
      <c r="AN76" s="20"/>
      <c r="AO76" s="21"/>
      <c r="AP76" s="21"/>
      <c r="AQ76" s="22" t="s">
        <v>154</v>
      </c>
      <c r="AR76" s="23" t="s">
        <v>155</v>
      </c>
      <c r="AS76" s="14" t="s">
        <v>137</v>
      </c>
      <c r="AT76" s="14" t="s">
        <v>994</v>
      </c>
      <c r="AU76" s="24" t="s">
        <v>995</v>
      </c>
      <c r="AV76" s="24" t="s">
        <v>996</v>
      </c>
      <c r="AW76" s="25" t="s">
        <v>997</v>
      </c>
      <c r="AX76" s="24" t="s">
        <v>122</v>
      </c>
      <c r="AY76" s="24" t="s">
        <v>785</v>
      </c>
      <c r="AZ76" s="17"/>
      <c r="BA76" s="17" t="s">
        <v>998</v>
      </c>
      <c r="BB76" s="26" t="str">
        <f>IFERROR(VLOOKUP($AY76,[1]프로젝트현황!Y:Z,2,0),"기타")</f>
        <v>서남권</v>
      </c>
      <c r="BC76" s="23" t="str">
        <f t="shared" si="11"/>
        <v>서울시 동작구 매봉로 134 본동신동아아파트 6동 605호</v>
      </c>
    </row>
    <row r="77" spans="1:55" ht="15" customHeight="1" x14ac:dyDescent="0.3">
      <c r="A77" s="10">
        <f t="shared" si="12"/>
        <v>75</v>
      </c>
      <c r="B77" s="11">
        <v>230706</v>
      </c>
      <c r="C77" s="11" t="s">
        <v>999</v>
      </c>
      <c r="D77" s="12">
        <v>45110</v>
      </c>
      <c r="E77" s="12">
        <v>45110</v>
      </c>
      <c r="F77" s="12"/>
      <c r="G77" s="13"/>
      <c r="H77" s="14" t="s">
        <v>1000</v>
      </c>
      <c r="I77" s="11" t="s">
        <v>1001</v>
      </c>
      <c r="J77" s="15" t="str">
        <f t="shared" si="13"/>
        <v>890123</v>
      </c>
      <c r="K77" s="15" t="str">
        <f t="shared" si="20"/>
        <v>01</v>
      </c>
      <c r="L77" s="15" t="str">
        <f t="shared" si="14"/>
        <v>남자</v>
      </c>
      <c r="M77" s="15">
        <f t="shared" ca="1" si="15"/>
        <v>38</v>
      </c>
      <c r="N77" s="15" t="s">
        <v>111</v>
      </c>
      <c r="O77" s="15" t="s">
        <v>112</v>
      </c>
      <c r="P77" s="11" t="s">
        <v>1002</v>
      </c>
      <c r="Q77" s="11"/>
      <c r="R77" s="11"/>
      <c r="S77" s="16"/>
      <c r="T77" s="15" t="s">
        <v>114</v>
      </c>
      <c r="U77" s="11"/>
      <c r="V77" s="15" t="str">
        <f t="shared" ca="1" si="19"/>
        <v>7년1개월</v>
      </c>
      <c r="W77" s="15" t="s">
        <v>1003</v>
      </c>
      <c r="X77" s="18" t="str">
        <f t="shared" ca="1" si="16"/>
        <v>2년7개월</v>
      </c>
      <c r="Y77" s="17" t="s">
        <v>1004</v>
      </c>
      <c r="Z77" s="17" t="s">
        <v>1005</v>
      </c>
      <c r="AA77" s="14" t="s">
        <v>116</v>
      </c>
      <c r="AB77" s="16">
        <v>41318</v>
      </c>
      <c r="AC77" s="18">
        <f t="shared" ca="1" si="17"/>
        <v>7</v>
      </c>
      <c r="AD77" s="15" t="str">
        <f ca="1">IF($AA77="전문학사",IF($AC77&lt;=8,"초급",IF($AC77&lt;12,"중급",IF($AC77&lt;15,"고급",IF($AC77&gt;=15,"특급")))))</f>
        <v>초급</v>
      </c>
      <c r="AE77" s="15" t="str">
        <f t="shared" si="18"/>
        <v>미해당</v>
      </c>
      <c r="AF77" s="11"/>
      <c r="AG77" s="16"/>
      <c r="AH77" s="11"/>
      <c r="AI77" s="16"/>
      <c r="AJ77" s="11"/>
      <c r="AK77" s="11"/>
      <c r="AL77" s="19"/>
      <c r="AM77" s="11"/>
      <c r="AN77" s="20"/>
      <c r="AO77" s="21"/>
      <c r="AP77" s="21"/>
      <c r="AQ77" s="22" t="s">
        <v>154</v>
      </c>
      <c r="AR77" s="23" t="s">
        <v>155</v>
      </c>
      <c r="AS77" s="14" t="s">
        <v>137</v>
      </c>
      <c r="AT77" s="14" t="s">
        <v>1006</v>
      </c>
      <c r="AU77" s="24" t="s">
        <v>157</v>
      </c>
      <c r="AV77" s="24" t="s">
        <v>1007</v>
      </c>
      <c r="AW77" s="25" t="s">
        <v>1008</v>
      </c>
      <c r="AX77" s="24" t="s">
        <v>141</v>
      </c>
      <c r="AY77" s="24" t="s">
        <v>249</v>
      </c>
      <c r="AZ77" s="17"/>
      <c r="BA77" s="17" t="s">
        <v>1009</v>
      </c>
      <c r="BB77" s="26" t="str">
        <f>IFERROR(VLOOKUP($AY77,[1]프로젝트현황!Y:Z,2,0),"기타")</f>
        <v>서남권</v>
      </c>
      <c r="BC77" s="23" t="str">
        <f t="shared" si="11"/>
        <v>경기도 부천시 삼작로368번길 15-7, D동 201호(원종동, 백합빌라)</v>
      </c>
    </row>
    <row r="78" spans="1:55" ht="15" customHeight="1" x14ac:dyDescent="0.3">
      <c r="A78" s="10">
        <f t="shared" si="12"/>
        <v>76</v>
      </c>
      <c r="B78" s="11">
        <v>230711</v>
      </c>
      <c r="C78" s="11" t="s">
        <v>1010</v>
      </c>
      <c r="D78" s="12">
        <v>45131</v>
      </c>
      <c r="E78" s="12">
        <v>45131</v>
      </c>
      <c r="F78" s="12"/>
      <c r="G78" s="13"/>
      <c r="H78" s="14" t="s">
        <v>1011</v>
      </c>
      <c r="I78" s="11" t="s">
        <v>1012</v>
      </c>
      <c r="J78" s="15" t="str">
        <f t="shared" si="13"/>
        <v>001117</v>
      </c>
      <c r="K78" s="15" t="str">
        <f t="shared" si="20"/>
        <v>11</v>
      </c>
      <c r="L78" s="15" t="str">
        <f t="shared" si="14"/>
        <v>여자</v>
      </c>
      <c r="M78" s="15">
        <f t="shared" ca="1" si="15"/>
        <v>27</v>
      </c>
      <c r="N78" s="15" t="s">
        <v>111</v>
      </c>
      <c r="O78" s="15" t="s">
        <v>112</v>
      </c>
      <c r="P78" s="11" t="s">
        <v>1013</v>
      </c>
      <c r="Q78" s="11"/>
      <c r="R78" s="11"/>
      <c r="S78" s="16"/>
      <c r="T78" s="15" t="s">
        <v>114</v>
      </c>
      <c r="U78" s="11"/>
      <c r="V78" s="15" t="str">
        <f t="shared" ca="1" si="19"/>
        <v>3년5개월</v>
      </c>
      <c r="W78" s="15" t="s">
        <v>964</v>
      </c>
      <c r="X78" s="18" t="str">
        <f t="shared" ca="1" si="16"/>
        <v>2년6개월</v>
      </c>
      <c r="Y78" s="17" t="s">
        <v>993</v>
      </c>
      <c r="Z78" s="17" t="s">
        <v>1014</v>
      </c>
      <c r="AA78" s="14" t="s">
        <v>171</v>
      </c>
      <c r="AB78" s="16">
        <v>44979</v>
      </c>
      <c r="AC78" s="18">
        <f t="shared" ca="1" si="17"/>
        <v>3</v>
      </c>
      <c r="AD78" s="15" t="str">
        <f ca="1">IF($AA78="학사",IF($AC78&lt;=5,"초급",IF($AC78&lt;9,"중급",IF($AC78&lt;12,"고급",IF($AC78&gt;=12,"특급")))))</f>
        <v>초급</v>
      </c>
      <c r="AE78" s="15" t="str">
        <f t="shared" si="18"/>
        <v>미해당</v>
      </c>
      <c r="AF78" s="11"/>
      <c r="AG78" s="16"/>
      <c r="AH78" s="11"/>
      <c r="AI78" s="16"/>
      <c r="AJ78" s="11"/>
      <c r="AK78" s="11"/>
      <c r="AL78" s="19"/>
      <c r="AM78" s="11"/>
      <c r="AN78" s="20" t="s">
        <v>1015</v>
      </c>
      <c r="AO78" s="21"/>
      <c r="AP78" s="21" t="s">
        <v>1016</v>
      </c>
      <c r="AQ78" s="22" t="s">
        <v>154</v>
      </c>
      <c r="AR78" s="23" t="s">
        <v>155</v>
      </c>
      <c r="AS78" s="14" t="s">
        <v>137</v>
      </c>
      <c r="AT78" s="14" t="s">
        <v>1017</v>
      </c>
      <c r="AU78" s="24" t="s">
        <v>157</v>
      </c>
      <c r="AV78" s="24" t="s">
        <v>1018</v>
      </c>
      <c r="AW78" s="25" t="s">
        <v>1019</v>
      </c>
      <c r="AX78" s="24" t="s">
        <v>122</v>
      </c>
      <c r="AY78" s="24" t="s">
        <v>264</v>
      </c>
      <c r="AZ78" s="17"/>
      <c r="BA78" s="17" t="s">
        <v>1020</v>
      </c>
      <c r="BB78" s="26" t="str">
        <f>IFERROR(VLOOKUP($AY78,[1]프로젝트현황!Y:Z,2,0),"기타")</f>
        <v>서남권</v>
      </c>
      <c r="BC78" s="23" t="str">
        <f t="shared" si="11"/>
        <v>서울시 관악구 봉천로12길 25, 904호(신림동)</v>
      </c>
    </row>
    <row r="79" spans="1:55" ht="15" customHeight="1" x14ac:dyDescent="0.3">
      <c r="A79" s="10">
        <f t="shared" si="12"/>
        <v>77</v>
      </c>
      <c r="B79" s="11">
        <v>230803</v>
      </c>
      <c r="C79" s="11" t="s">
        <v>1021</v>
      </c>
      <c r="D79" s="12">
        <v>45139</v>
      </c>
      <c r="E79" s="12">
        <v>45139</v>
      </c>
      <c r="F79" s="12"/>
      <c r="G79" s="13"/>
      <c r="H79" s="14" t="s">
        <v>1022</v>
      </c>
      <c r="I79" s="11" t="s">
        <v>1023</v>
      </c>
      <c r="J79" s="15" t="str">
        <f t="shared" si="13"/>
        <v>820410</v>
      </c>
      <c r="K79" s="15" t="str">
        <f t="shared" si="20"/>
        <v>04</v>
      </c>
      <c r="L79" s="15" t="str">
        <f t="shared" si="14"/>
        <v>남자</v>
      </c>
      <c r="M79" s="15">
        <f t="shared" ca="1" si="15"/>
        <v>45</v>
      </c>
      <c r="N79" s="15" t="s">
        <v>111</v>
      </c>
      <c r="O79" s="15" t="s">
        <v>112</v>
      </c>
      <c r="P79" s="11" t="s">
        <v>1024</v>
      </c>
      <c r="Q79" s="11"/>
      <c r="R79" s="11"/>
      <c r="S79" s="16"/>
      <c r="T79" s="15" t="s">
        <v>114</v>
      </c>
      <c r="U79" s="11"/>
      <c r="V79" s="15" t="str">
        <f t="shared" ca="1" si="19"/>
        <v>3년6개월</v>
      </c>
      <c r="W79" s="15" t="s">
        <v>1025</v>
      </c>
      <c r="X79" s="18" t="str">
        <f t="shared" ca="1" si="16"/>
        <v>2년6개월</v>
      </c>
      <c r="Y79" s="17" t="s">
        <v>1026</v>
      </c>
      <c r="Z79" s="17" t="s">
        <v>1027</v>
      </c>
      <c r="AA79" s="14" t="s">
        <v>171</v>
      </c>
      <c r="AB79" s="16">
        <v>39864</v>
      </c>
      <c r="AC79" s="18">
        <f t="shared" ca="1" si="17"/>
        <v>3</v>
      </c>
      <c r="AD79" s="15" t="str">
        <f ca="1">IF($AA79="학사",IF($AC79&lt;=5,"초급",IF($AC79&lt;9,"중급",IF($AC79&lt;12,"고급",IF($AC79&gt;=12,"특급")))))</f>
        <v>초급</v>
      </c>
      <c r="AE79" s="15" t="str">
        <f t="shared" si="18"/>
        <v>미해당</v>
      </c>
      <c r="AF79" s="11"/>
      <c r="AG79" s="16"/>
      <c r="AH79" s="11"/>
      <c r="AI79" s="16"/>
      <c r="AJ79" s="11"/>
      <c r="AK79" s="11"/>
      <c r="AL79" s="19"/>
      <c r="AM79" s="11"/>
      <c r="AN79" s="20"/>
      <c r="AO79" s="21"/>
      <c r="AP79" s="21"/>
      <c r="AQ79" s="22" t="s">
        <v>154</v>
      </c>
      <c r="AR79" s="23" t="s">
        <v>155</v>
      </c>
      <c r="AS79" s="14" t="s">
        <v>137</v>
      </c>
      <c r="AT79" s="14" t="s">
        <v>1028</v>
      </c>
      <c r="AU79" s="24" t="s">
        <v>1029</v>
      </c>
      <c r="AV79" s="24" t="s">
        <v>1030</v>
      </c>
      <c r="AW79" s="25" t="s">
        <v>1031</v>
      </c>
      <c r="AX79" s="24" t="s">
        <v>141</v>
      </c>
      <c r="AY79" s="24" t="s">
        <v>224</v>
      </c>
      <c r="AZ79" s="17" t="s">
        <v>1032</v>
      </c>
      <c r="BA79" s="17" t="s">
        <v>1033</v>
      </c>
      <c r="BB79" s="26" t="str">
        <f>IFERROR(VLOOKUP($AY79,[1]프로젝트현황!Y:Z,2,0),"기타")</f>
        <v>동남권</v>
      </c>
      <c r="BC79" s="23" t="str">
        <f t="shared" si="11"/>
        <v>경기도 성남시 분당구 분당로201번길 17, 114동 702호(서현동, 효자촌)</v>
      </c>
    </row>
    <row r="80" spans="1:55" ht="15" customHeight="1" x14ac:dyDescent="0.3">
      <c r="A80" s="10">
        <f t="shared" si="12"/>
        <v>78</v>
      </c>
      <c r="B80" s="11">
        <v>230804</v>
      </c>
      <c r="C80" s="11" t="s">
        <v>1034</v>
      </c>
      <c r="D80" s="12">
        <v>45139</v>
      </c>
      <c r="E80" s="12">
        <v>45170</v>
      </c>
      <c r="F80" s="12"/>
      <c r="G80" s="13"/>
      <c r="H80" s="14" t="s">
        <v>1035</v>
      </c>
      <c r="I80" s="11" t="s">
        <v>1036</v>
      </c>
      <c r="J80" s="15" t="str">
        <f t="shared" si="13"/>
        <v>800909</v>
      </c>
      <c r="K80" s="15" t="str">
        <f t="shared" si="20"/>
        <v>09</v>
      </c>
      <c r="L80" s="15" t="str">
        <f t="shared" si="14"/>
        <v>남자</v>
      </c>
      <c r="M80" s="15">
        <f t="shared" ca="1" si="15"/>
        <v>47</v>
      </c>
      <c r="N80" s="15" t="s">
        <v>111</v>
      </c>
      <c r="O80" s="15" t="s">
        <v>112</v>
      </c>
      <c r="P80" s="11" t="s">
        <v>1037</v>
      </c>
      <c r="Q80" s="11"/>
      <c r="R80" s="11"/>
      <c r="S80" s="16"/>
      <c r="T80" s="15" t="s">
        <v>114</v>
      </c>
      <c r="U80" s="11"/>
      <c r="V80" s="15" t="str">
        <f t="shared" ca="1" si="19"/>
        <v>19년1개월</v>
      </c>
      <c r="W80" s="15" t="s">
        <v>1038</v>
      </c>
      <c r="X80" s="18" t="str">
        <f t="shared" ca="1" si="16"/>
        <v>2년6개월</v>
      </c>
      <c r="Y80" s="17" t="s">
        <v>1039</v>
      </c>
      <c r="Z80" s="17" t="s">
        <v>1040</v>
      </c>
      <c r="AA80" s="14" t="s">
        <v>171</v>
      </c>
      <c r="AB80" s="16">
        <v>38749</v>
      </c>
      <c r="AC80" s="18">
        <f t="shared" ca="1" si="17"/>
        <v>19</v>
      </c>
      <c r="AD80" s="15" t="str">
        <f ca="1">IF($AA80="학사",IF($AC80&lt;=5,"초급",IF($AC80&lt;9,"중급",IF($AC80&lt;12,"고급",IF($AC80&gt;=12,"특급")))))</f>
        <v>특급</v>
      </c>
      <c r="AE80" s="15" t="str">
        <f t="shared" si="18"/>
        <v>미해당</v>
      </c>
      <c r="AF80" s="11"/>
      <c r="AG80" s="16"/>
      <c r="AH80" s="11"/>
      <c r="AI80" s="16"/>
      <c r="AJ80" s="11"/>
      <c r="AK80" s="11"/>
      <c r="AL80" s="19"/>
      <c r="AM80" s="11"/>
      <c r="AN80" s="20"/>
      <c r="AO80" s="21"/>
      <c r="AP80" s="21"/>
      <c r="AQ80" s="22" t="s">
        <v>1041</v>
      </c>
      <c r="AR80" s="23" t="s">
        <v>1041</v>
      </c>
      <c r="AS80" s="14" t="s">
        <v>1042</v>
      </c>
      <c r="AT80" s="14" t="s">
        <v>1043</v>
      </c>
      <c r="AU80" s="24" t="s">
        <v>393</v>
      </c>
      <c r="AV80" s="24" t="s">
        <v>1044</v>
      </c>
      <c r="AW80" s="25" t="s">
        <v>1045</v>
      </c>
      <c r="AX80" s="24" t="s">
        <v>141</v>
      </c>
      <c r="AY80" s="24" t="s">
        <v>554</v>
      </c>
      <c r="AZ80" s="17"/>
      <c r="BA80" s="17" t="s">
        <v>1046</v>
      </c>
      <c r="BB80" s="26" t="str">
        <f>IFERROR(VLOOKUP($AY80,[1]프로젝트현황!Y:Z,2,0),"기타")</f>
        <v>서남권</v>
      </c>
      <c r="BC80" s="23" t="s">
        <v>1047</v>
      </c>
    </row>
    <row r="81" spans="1:55" ht="15" customHeight="1" x14ac:dyDescent="0.3">
      <c r="A81" s="10">
        <f t="shared" si="12"/>
        <v>79</v>
      </c>
      <c r="B81" s="11">
        <v>230809</v>
      </c>
      <c r="C81" s="11" t="s">
        <v>1048</v>
      </c>
      <c r="D81" s="12">
        <v>45145</v>
      </c>
      <c r="E81" s="12">
        <v>45145</v>
      </c>
      <c r="F81" s="12"/>
      <c r="G81" s="13"/>
      <c r="H81" s="14" t="s">
        <v>1049</v>
      </c>
      <c r="I81" s="11" t="s">
        <v>1050</v>
      </c>
      <c r="J81" s="15" t="str">
        <f t="shared" si="13"/>
        <v>941121</v>
      </c>
      <c r="K81" s="15" t="str">
        <f t="shared" si="20"/>
        <v>11</v>
      </c>
      <c r="L81" s="15" t="str">
        <f t="shared" si="14"/>
        <v>여자</v>
      </c>
      <c r="M81" s="15">
        <f t="shared" ca="1" si="15"/>
        <v>33</v>
      </c>
      <c r="N81" s="15" t="s">
        <v>111</v>
      </c>
      <c r="O81" s="15" t="s">
        <v>112</v>
      </c>
      <c r="P81" s="11" t="s">
        <v>1051</v>
      </c>
      <c r="Q81" s="11"/>
      <c r="R81" s="11"/>
      <c r="S81" s="16"/>
      <c r="T81" s="15" t="s">
        <v>114</v>
      </c>
      <c r="U81" s="11"/>
      <c r="V81" s="15" t="str">
        <f t="shared" ca="1" si="19"/>
        <v>3년1개월</v>
      </c>
      <c r="W81" s="15" t="s">
        <v>1052</v>
      </c>
      <c r="X81" s="18" t="str">
        <f t="shared" ca="1" si="16"/>
        <v>2년6개월</v>
      </c>
      <c r="Y81" s="17" t="s">
        <v>1053</v>
      </c>
      <c r="Z81" s="17" t="s">
        <v>1054</v>
      </c>
      <c r="AA81" s="14" t="s">
        <v>116</v>
      </c>
      <c r="AB81" s="16">
        <v>42048</v>
      </c>
      <c r="AC81" s="18">
        <f t="shared" ca="1" si="17"/>
        <v>3</v>
      </c>
      <c r="AD81" s="15" t="str">
        <f ca="1">IF($AA81="전문학사",IF($AC81&lt;=8,"초급",IF($AC81&lt;12,"중급",IF($AC81&lt;15,"고급",IF($AC81&gt;=15,"특급")))))</f>
        <v>초급</v>
      </c>
      <c r="AE81" s="15" t="str">
        <f t="shared" si="18"/>
        <v>미해당</v>
      </c>
      <c r="AF81" s="11"/>
      <c r="AG81" s="16"/>
      <c r="AH81" s="11"/>
      <c r="AI81" s="16"/>
      <c r="AJ81" s="11"/>
      <c r="AK81" s="11"/>
      <c r="AL81" s="19"/>
      <c r="AM81" s="11"/>
      <c r="AN81" s="20"/>
      <c r="AO81" s="21"/>
      <c r="AP81" s="21"/>
      <c r="AQ81" s="22" t="s">
        <v>154</v>
      </c>
      <c r="AR81" s="23" t="s">
        <v>155</v>
      </c>
      <c r="AS81" s="14" t="s">
        <v>137</v>
      </c>
      <c r="AT81" s="14" t="s">
        <v>1055</v>
      </c>
      <c r="AU81" s="24" t="s">
        <v>157</v>
      </c>
      <c r="AV81" s="24" t="s">
        <v>1056</v>
      </c>
      <c r="AW81" s="25" t="s">
        <v>1057</v>
      </c>
      <c r="AX81" s="24" t="s">
        <v>141</v>
      </c>
      <c r="AY81" s="24" t="s">
        <v>353</v>
      </c>
      <c r="AZ81" s="17"/>
      <c r="BA81" s="17" t="s">
        <v>1058</v>
      </c>
      <c r="BB81" s="26" t="str">
        <f>IFERROR(VLOOKUP($AY81,[1]프로젝트현황!Y:Z,2,0),"기타")</f>
        <v>동남권</v>
      </c>
      <c r="BC81" s="23" t="str">
        <f t="shared" ref="BC81:BC144" si="21">(IF(AX81="","",AX81&amp;" "))&amp;(IF(AY81="","",AY81&amp;" "))&amp;(IF(AZ81="","",AZ81&amp;" "))&amp;BA81</f>
        <v>경기도 광주시 광주역8로 14, 202동 604호(역동, 경기광주역행복주택)</v>
      </c>
    </row>
    <row r="82" spans="1:55" ht="15" customHeight="1" x14ac:dyDescent="0.3">
      <c r="A82" s="10">
        <f t="shared" si="12"/>
        <v>80</v>
      </c>
      <c r="B82" s="11">
        <v>230810</v>
      </c>
      <c r="C82" s="11" t="s">
        <v>1059</v>
      </c>
      <c r="D82" s="12">
        <v>45145</v>
      </c>
      <c r="E82" s="12">
        <v>45145</v>
      </c>
      <c r="F82" s="12"/>
      <c r="G82" s="13"/>
      <c r="H82" s="14" t="s">
        <v>1060</v>
      </c>
      <c r="I82" s="11" t="s">
        <v>1061</v>
      </c>
      <c r="J82" s="15" t="str">
        <f t="shared" si="13"/>
        <v>961231</v>
      </c>
      <c r="K82" s="15" t="str">
        <f t="shared" si="20"/>
        <v>12</v>
      </c>
      <c r="L82" s="15" t="str">
        <f t="shared" si="14"/>
        <v>여자</v>
      </c>
      <c r="M82" s="15">
        <f t="shared" ca="1" si="15"/>
        <v>31</v>
      </c>
      <c r="N82" s="15" t="s">
        <v>111</v>
      </c>
      <c r="O82" s="15" t="s">
        <v>112</v>
      </c>
      <c r="P82" s="11" t="s">
        <v>1062</v>
      </c>
      <c r="Q82" s="11"/>
      <c r="R82" s="11"/>
      <c r="S82" s="16"/>
      <c r="T82" s="15" t="s">
        <v>114</v>
      </c>
      <c r="U82" s="11"/>
      <c r="V82" s="15" t="str">
        <f t="shared" ca="1" si="19"/>
        <v>7년11개월</v>
      </c>
      <c r="W82" s="15" t="s">
        <v>1063</v>
      </c>
      <c r="X82" s="18" t="str">
        <f t="shared" ca="1" si="16"/>
        <v>2년6개월</v>
      </c>
      <c r="Y82" s="17" t="s">
        <v>1064</v>
      </c>
      <c r="Z82" s="17" t="s">
        <v>593</v>
      </c>
      <c r="AA82" s="14" t="s">
        <v>171</v>
      </c>
      <c r="AB82" s="16">
        <v>44617</v>
      </c>
      <c r="AC82" s="18">
        <f t="shared" ca="1" si="17"/>
        <v>7</v>
      </c>
      <c r="AD82" s="15" t="str">
        <f ca="1">IF($AA82="학사",IF($AC82&lt;=5,"초급",IF($AC82&lt;9,"중급",IF($AC82&lt;12,"고급",IF($AC82&gt;=12,"특급")))))</f>
        <v>중급</v>
      </c>
      <c r="AE82" s="15" t="str">
        <f t="shared" si="18"/>
        <v>미해당</v>
      </c>
      <c r="AF82" s="11"/>
      <c r="AG82" s="16"/>
      <c r="AH82" s="11"/>
      <c r="AI82" s="16"/>
      <c r="AJ82" s="11"/>
      <c r="AK82" s="11"/>
      <c r="AL82" s="19"/>
      <c r="AM82" s="11"/>
      <c r="AN82" s="20"/>
      <c r="AO82" s="21"/>
      <c r="AP82" s="21"/>
      <c r="AQ82" s="22" t="s">
        <v>154</v>
      </c>
      <c r="AR82" s="23" t="s">
        <v>155</v>
      </c>
      <c r="AS82" s="14" t="s">
        <v>137</v>
      </c>
      <c r="AT82" s="14" t="s">
        <v>1065</v>
      </c>
      <c r="AU82" s="24" t="s">
        <v>157</v>
      </c>
      <c r="AV82" s="24" t="s">
        <v>1066</v>
      </c>
      <c r="AW82" s="25" t="s">
        <v>1067</v>
      </c>
      <c r="AX82" s="24" t="s">
        <v>122</v>
      </c>
      <c r="AY82" s="24" t="s">
        <v>421</v>
      </c>
      <c r="AZ82" s="17"/>
      <c r="BA82" s="17" t="s">
        <v>1068</v>
      </c>
      <c r="BB82" s="26" t="str">
        <f>IFERROR(VLOOKUP($AY82,[1]프로젝트현황!Y:Z,2,0),"기타")</f>
        <v>서남권</v>
      </c>
      <c r="BC82" s="23" t="str">
        <f t="shared" si="21"/>
        <v>서울시 영등포구 신길로40길 19(신길동)</v>
      </c>
    </row>
    <row r="83" spans="1:55" ht="15" customHeight="1" x14ac:dyDescent="0.3">
      <c r="A83" s="10">
        <f t="shared" si="12"/>
        <v>81</v>
      </c>
      <c r="B83" s="11">
        <v>230812</v>
      </c>
      <c r="C83" s="11" t="s">
        <v>1069</v>
      </c>
      <c r="D83" s="12">
        <v>45166</v>
      </c>
      <c r="E83" s="12">
        <v>45166</v>
      </c>
      <c r="F83" s="12"/>
      <c r="G83" s="13"/>
      <c r="H83" s="14" t="s">
        <v>1070</v>
      </c>
      <c r="I83" s="11" t="s">
        <v>1071</v>
      </c>
      <c r="J83" s="15" t="str">
        <f t="shared" si="13"/>
        <v>820723</v>
      </c>
      <c r="K83" s="15" t="str">
        <f t="shared" si="20"/>
        <v>07</v>
      </c>
      <c r="L83" s="15" t="str">
        <f t="shared" si="14"/>
        <v>여자</v>
      </c>
      <c r="M83" s="15">
        <f t="shared" ca="1" si="15"/>
        <v>45</v>
      </c>
      <c r="N83" s="15" t="s">
        <v>111</v>
      </c>
      <c r="O83" s="15" t="s">
        <v>112</v>
      </c>
      <c r="P83" s="11" t="s">
        <v>1072</v>
      </c>
      <c r="Q83" s="11"/>
      <c r="R83" s="11"/>
      <c r="S83" s="16"/>
      <c r="T83" s="15" t="s">
        <v>114</v>
      </c>
      <c r="U83" s="11"/>
      <c r="V83" s="15" t="str">
        <f t="shared" ca="1" si="19"/>
        <v>2년5개월</v>
      </c>
      <c r="W83" s="15" t="s">
        <v>428</v>
      </c>
      <c r="X83" s="18" t="str">
        <f t="shared" ca="1" si="16"/>
        <v>2년5개월</v>
      </c>
      <c r="Y83" s="17" t="s">
        <v>757</v>
      </c>
      <c r="Z83" s="17" t="s">
        <v>1073</v>
      </c>
      <c r="AA83" s="14" t="s">
        <v>116</v>
      </c>
      <c r="AB83" s="16">
        <v>37667</v>
      </c>
      <c r="AC83" s="18">
        <f t="shared" ca="1" si="17"/>
        <v>2</v>
      </c>
      <c r="AD83" s="15" t="str">
        <f ca="1">IF($AA83="전문학사",IF($AC83&lt;=8,"초급",IF($AC83&lt;12,"중급",IF($AC83&lt;15,"고급",IF($AC83&gt;=15,"특급")))))</f>
        <v>초급</v>
      </c>
      <c r="AE83" s="15" t="str">
        <f t="shared" si="18"/>
        <v>미해당</v>
      </c>
      <c r="AF83" s="11" t="s">
        <v>85</v>
      </c>
      <c r="AG83" s="16">
        <v>45094</v>
      </c>
      <c r="AH83" s="11"/>
      <c r="AI83" s="16"/>
      <c r="AJ83" s="11"/>
      <c r="AK83" s="11"/>
      <c r="AL83" s="19"/>
      <c r="AM83" s="11"/>
      <c r="AN83" s="20" t="s">
        <v>885</v>
      </c>
      <c r="AO83" s="21" t="s">
        <v>627</v>
      </c>
      <c r="AP83" s="21">
        <v>44988</v>
      </c>
      <c r="AQ83" s="22" t="s">
        <v>154</v>
      </c>
      <c r="AR83" s="23" t="s">
        <v>155</v>
      </c>
      <c r="AS83" s="14" t="s">
        <v>137</v>
      </c>
      <c r="AT83" s="14" t="s">
        <v>1074</v>
      </c>
      <c r="AU83" s="24" t="s">
        <v>393</v>
      </c>
      <c r="AV83" s="24" t="s">
        <v>1075</v>
      </c>
      <c r="AW83" s="25" t="s">
        <v>1076</v>
      </c>
      <c r="AX83" s="24" t="s">
        <v>122</v>
      </c>
      <c r="AY83" s="24" t="s">
        <v>1077</v>
      </c>
      <c r="AZ83" s="17"/>
      <c r="BA83" s="17" t="s">
        <v>1078</v>
      </c>
      <c r="BB83" s="26" t="str">
        <f>IFERROR(VLOOKUP($AY83,[1]프로젝트현황!Y:Z,2,0),"기타")</f>
        <v>동북권</v>
      </c>
      <c r="BC83" s="23" t="str">
        <f t="shared" si="21"/>
        <v>서울시 노원구 중계로 230, 508동 1001호(중계동, 주공아파트)</v>
      </c>
    </row>
    <row r="84" spans="1:55" ht="15" customHeight="1" x14ac:dyDescent="0.3">
      <c r="A84" s="10">
        <f t="shared" si="12"/>
        <v>82</v>
      </c>
      <c r="B84" s="11">
        <v>230901</v>
      </c>
      <c r="C84" s="11" t="s">
        <v>1079</v>
      </c>
      <c r="D84" s="12">
        <v>45173</v>
      </c>
      <c r="E84" s="12">
        <v>45173</v>
      </c>
      <c r="F84" s="12"/>
      <c r="G84" s="13"/>
      <c r="H84" s="14" t="s">
        <v>1080</v>
      </c>
      <c r="I84" s="11" t="s">
        <v>1081</v>
      </c>
      <c r="J84" s="15" t="str">
        <f t="shared" si="13"/>
        <v>941015</v>
      </c>
      <c r="K84" s="15" t="str">
        <f t="shared" si="20"/>
        <v>10</v>
      </c>
      <c r="L84" s="15" t="str">
        <f t="shared" si="14"/>
        <v>여자</v>
      </c>
      <c r="M84" s="15">
        <f t="shared" ca="1" si="15"/>
        <v>33</v>
      </c>
      <c r="N84" s="15" t="s">
        <v>111</v>
      </c>
      <c r="O84" s="15" t="s">
        <v>112</v>
      </c>
      <c r="P84" s="11" t="s">
        <v>1082</v>
      </c>
      <c r="Q84" s="11"/>
      <c r="R84" s="11"/>
      <c r="S84" s="16"/>
      <c r="T84" s="15" t="s">
        <v>114</v>
      </c>
      <c r="U84" s="11"/>
      <c r="V84" s="15" t="str">
        <f t="shared" ca="1" si="19"/>
        <v>2년5개월</v>
      </c>
      <c r="W84" s="15" t="s">
        <v>428</v>
      </c>
      <c r="X84" s="18" t="str">
        <f t="shared" ca="1" si="16"/>
        <v>2년5개월</v>
      </c>
      <c r="Y84" s="17" t="s">
        <v>1083</v>
      </c>
      <c r="Z84" s="17" t="s">
        <v>1084</v>
      </c>
      <c r="AA84" s="14" t="s">
        <v>171</v>
      </c>
      <c r="AB84" s="16">
        <v>43335</v>
      </c>
      <c r="AC84" s="18">
        <f t="shared" ca="1" si="17"/>
        <v>2</v>
      </c>
      <c r="AD84" s="15" t="str">
        <f ca="1">IF($AA84="학사",IF($AC84&lt;=5,"초급",IF($AC84&lt;9,"중급",IF($AC84&lt;12,"고급",IF($AC84&gt;=12,"특급")))))</f>
        <v>초급</v>
      </c>
      <c r="AE84" s="15" t="str">
        <f t="shared" si="18"/>
        <v>미해당</v>
      </c>
      <c r="AF84" s="11"/>
      <c r="AG84" s="16"/>
      <c r="AH84" s="11" t="s">
        <v>87</v>
      </c>
      <c r="AI84" s="16">
        <v>45407</v>
      </c>
      <c r="AJ84" s="11"/>
      <c r="AK84" s="11"/>
      <c r="AL84" s="19"/>
      <c r="AM84" s="11"/>
      <c r="AN84" s="20"/>
      <c r="AO84" s="21"/>
      <c r="AP84" s="21"/>
      <c r="AQ84" s="22" t="s">
        <v>154</v>
      </c>
      <c r="AR84" s="23" t="s">
        <v>155</v>
      </c>
      <c r="AS84" s="14" t="s">
        <v>137</v>
      </c>
      <c r="AT84" s="14" t="s">
        <v>1085</v>
      </c>
      <c r="AU84" s="24" t="s">
        <v>157</v>
      </c>
      <c r="AV84" s="24" t="s">
        <v>1086</v>
      </c>
      <c r="AW84" s="25" t="s">
        <v>1087</v>
      </c>
      <c r="AX84" s="24" t="s">
        <v>141</v>
      </c>
      <c r="AY84" s="24" t="s">
        <v>554</v>
      </c>
      <c r="AZ84" s="17"/>
      <c r="BA84" s="17" t="s">
        <v>1088</v>
      </c>
      <c r="BB84" s="26" t="str">
        <f>IFERROR(VLOOKUP($AY84,[1]프로젝트현황!Y:Z,2,0),"기타")</f>
        <v>서남권</v>
      </c>
      <c r="BC84" s="23" t="str">
        <f t="shared" si="21"/>
        <v>경기도 광명시 목감로 188, 301호(광명동, 신우빌라)</v>
      </c>
    </row>
    <row r="85" spans="1:55" ht="15" customHeight="1" x14ac:dyDescent="0.3">
      <c r="A85" s="10">
        <f t="shared" si="12"/>
        <v>83</v>
      </c>
      <c r="B85" s="11">
        <v>230906</v>
      </c>
      <c r="C85" s="11" t="s">
        <v>1089</v>
      </c>
      <c r="D85" s="12">
        <v>45188</v>
      </c>
      <c r="E85" s="12">
        <v>45188</v>
      </c>
      <c r="F85" s="12"/>
      <c r="G85" s="13"/>
      <c r="H85" s="14" t="s">
        <v>1090</v>
      </c>
      <c r="I85" s="11" t="s">
        <v>1091</v>
      </c>
      <c r="J85" s="15" t="str">
        <f t="shared" si="13"/>
        <v>001115</v>
      </c>
      <c r="K85" s="15" t="str">
        <f t="shared" si="20"/>
        <v>11</v>
      </c>
      <c r="L85" s="15" t="str">
        <f t="shared" si="14"/>
        <v>여자</v>
      </c>
      <c r="M85" s="15">
        <f t="shared" ca="1" si="15"/>
        <v>27</v>
      </c>
      <c r="N85" s="15" t="s">
        <v>111</v>
      </c>
      <c r="O85" s="15" t="s">
        <v>112</v>
      </c>
      <c r="P85" s="11" t="s">
        <v>996</v>
      </c>
      <c r="Q85" s="11"/>
      <c r="R85" s="11"/>
      <c r="S85" s="16"/>
      <c r="T85" s="15" t="s">
        <v>114</v>
      </c>
      <c r="U85" s="11"/>
      <c r="V85" s="15" t="str">
        <f t="shared" ca="1" si="19"/>
        <v>3년0개월</v>
      </c>
      <c r="W85" s="15" t="s">
        <v>924</v>
      </c>
      <c r="X85" s="18" t="str">
        <f t="shared" ca="1" si="16"/>
        <v>2년4개월</v>
      </c>
      <c r="Y85" s="17" t="s">
        <v>993</v>
      </c>
      <c r="Z85" s="17" t="s">
        <v>550</v>
      </c>
      <c r="AA85" s="14" t="s">
        <v>171</v>
      </c>
      <c r="AB85" s="16">
        <v>44979</v>
      </c>
      <c r="AC85" s="18">
        <f t="shared" ca="1" si="17"/>
        <v>3</v>
      </c>
      <c r="AD85" s="15" t="str">
        <f ca="1">IF($AA85="학사",IF($AC85&lt;=5,"초급",IF($AC85&lt;9,"중급",IF($AC85&lt;12,"고급",IF($AC85&gt;=12,"특급")))))</f>
        <v>초급</v>
      </c>
      <c r="AE85" s="15" t="str">
        <f t="shared" si="18"/>
        <v>미해당</v>
      </c>
      <c r="AF85" s="11"/>
      <c r="AG85" s="16"/>
      <c r="AH85" s="11"/>
      <c r="AI85" s="16"/>
      <c r="AJ85" s="11"/>
      <c r="AK85" s="11"/>
      <c r="AL85" s="19"/>
      <c r="AM85" s="11"/>
      <c r="AN85" s="20"/>
      <c r="AO85" s="21"/>
      <c r="AP85" s="21"/>
      <c r="AQ85" s="22" t="s">
        <v>154</v>
      </c>
      <c r="AR85" s="23" t="s">
        <v>155</v>
      </c>
      <c r="AS85" s="14" t="s">
        <v>137</v>
      </c>
      <c r="AT85" s="14" t="s">
        <v>1092</v>
      </c>
      <c r="AU85" s="24" t="s">
        <v>157</v>
      </c>
      <c r="AV85" s="24" t="s">
        <v>1093</v>
      </c>
      <c r="AW85" s="25" t="s">
        <v>1094</v>
      </c>
      <c r="AX85" s="24" t="s">
        <v>122</v>
      </c>
      <c r="AY85" s="24" t="s">
        <v>785</v>
      </c>
      <c r="AZ85" s="17"/>
      <c r="BA85" s="17" t="s">
        <v>1095</v>
      </c>
      <c r="BB85" s="26" t="str">
        <f>IFERROR(VLOOKUP($AY85,[1]프로젝트현황!Y:Z,2,0),"기타")</f>
        <v>서남권</v>
      </c>
      <c r="BC85" s="23" t="str">
        <f t="shared" si="21"/>
        <v>서울시 동작구 매봉로 134 신동아아파트 6동 605호</v>
      </c>
    </row>
    <row r="86" spans="1:55" ht="15" customHeight="1" x14ac:dyDescent="0.3">
      <c r="A86" s="10">
        <f t="shared" si="12"/>
        <v>84</v>
      </c>
      <c r="B86" s="11">
        <v>230911</v>
      </c>
      <c r="C86" s="11" t="s">
        <v>1096</v>
      </c>
      <c r="D86" s="12">
        <v>45188</v>
      </c>
      <c r="E86" s="12">
        <v>45188</v>
      </c>
      <c r="F86" s="12"/>
      <c r="G86" s="13"/>
      <c r="H86" s="14" t="s">
        <v>1097</v>
      </c>
      <c r="I86" s="11" t="s">
        <v>1098</v>
      </c>
      <c r="J86" s="15" t="str">
        <f t="shared" si="13"/>
        <v>980511</v>
      </c>
      <c r="K86" s="15" t="str">
        <f t="shared" si="20"/>
        <v>05</v>
      </c>
      <c r="L86" s="15" t="str">
        <f t="shared" si="14"/>
        <v>여자</v>
      </c>
      <c r="M86" s="15">
        <f t="shared" ca="1" si="15"/>
        <v>29</v>
      </c>
      <c r="N86" s="15" t="s">
        <v>111</v>
      </c>
      <c r="O86" s="15" t="s">
        <v>112</v>
      </c>
      <c r="P86" s="11" t="s">
        <v>1099</v>
      </c>
      <c r="Q86" s="11"/>
      <c r="R86" s="11"/>
      <c r="S86" s="16"/>
      <c r="T86" s="15" t="s">
        <v>114</v>
      </c>
      <c r="U86" s="11"/>
      <c r="V86" s="15" t="str">
        <f t="shared" ca="1" si="19"/>
        <v>6년4개월</v>
      </c>
      <c r="W86" s="15" t="s">
        <v>1100</v>
      </c>
      <c r="X86" s="18" t="str">
        <f t="shared" ca="1" si="16"/>
        <v>2년4개월</v>
      </c>
      <c r="Y86" s="17" t="s">
        <v>1101</v>
      </c>
      <c r="Z86" s="17" t="s">
        <v>1102</v>
      </c>
      <c r="AA86" s="14" t="s">
        <v>116</v>
      </c>
      <c r="AB86" s="16">
        <v>43511</v>
      </c>
      <c r="AC86" s="18">
        <f t="shared" ca="1" si="17"/>
        <v>6</v>
      </c>
      <c r="AD86" s="15" t="str">
        <f ca="1">IF($AA86="전문학사",IF($AC86&lt;=8,"초급",IF($AC86&lt;12,"중급",IF($AC86&lt;15,"고급",IF($AC86&gt;=15,"특급")))))</f>
        <v>초급</v>
      </c>
      <c r="AE86" s="15" t="str">
        <f t="shared" si="18"/>
        <v>미해당</v>
      </c>
      <c r="AF86" s="11"/>
      <c r="AG86" s="16"/>
      <c r="AH86" s="11"/>
      <c r="AI86" s="16"/>
      <c r="AJ86" s="11"/>
      <c r="AK86" s="11"/>
      <c r="AL86" s="19"/>
      <c r="AM86" s="11"/>
      <c r="AN86" s="20" t="s">
        <v>527</v>
      </c>
      <c r="AO86" s="21"/>
      <c r="AP86" s="21"/>
      <c r="AQ86" s="22" t="s">
        <v>154</v>
      </c>
      <c r="AR86" s="23" t="s">
        <v>155</v>
      </c>
      <c r="AS86" s="14" t="s">
        <v>137</v>
      </c>
      <c r="AT86" s="14" t="s">
        <v>1103</v>
      </c>
      <c r="AU86" s="24" t="s">
        <v>157</v>
      </c>
      <c r="AV86" s="24" t="s">
        <v>1104</v>
      </c>
      <c r="AW86" s="25" t="s">
        <v>1105</v>
      </c>
      <c r="AX86" s="24" t="s">
        <v>122</v>
      </c>
      <c r="AY86" s="24" t="s">
        <v>264</v>
      </c>
      <c r="AZ86" s="17"/>
      <c r="BA86" s="17" t="s">
        <v>1106</v>
      </c>
      <c r="BB86" s="26" t="str">
        <f>IFERROR(VLOOKUP($AY86,[1]프로젝트현황!Y:Z,2,0),"기타")</f>
        <v>서남권</v>
      </c>
      <c r="BC86" s="23" t="str">
        <f t="shared" si="21"/>
        <v>서울시 관악구 법원단지길 158-8, B01호(신림동, 청림빌라)</v>
      </c>
    </row>
    <row r="87" spans="1:55" ht="15" customHeight="1" x14ac:dyDescent="0.3">
      <c r="A87" s="10">
        <f t="shared" si="12"/>
        <v>85</v>
      </c>
      <c r="B87" s="11">
        <v>231005</v>
      </c>
      <c r="C87" s="11" t="s">
        <v>1107</v>
      </c>
      <c r="D87" s="12">
        <v>45215</v>
      </c>
      <c r="E87" s="12">
        <v>45215</v>
      </c>
      <c r="F87" s="12"/>
      <c r="G87" s="13"/>
      <c r="H87" s="14" t="s">
        <v>1108</v>
      </c>
      <c r="I87" s="11" t="s">
        <v>1109</v>
      </c>
      <c r="J87" s="15" t="str">
        <f t="shared" si="13"/>
        <v>880901</v>
      </c>
      <c r="K87" s="15" t="str">
        <f t="shared" si="20"/>
        <v>09</v>
      </c>
      <c r="L87" s="15" t="str">
        <f t="shared" si="14"/>
        <v>여자</v>
      </c>
      <c r="M87" s="15">
        <f t="shared" ca="1" si="15"/>
        <v>39</v>
      </c>
      <c r="N87" s="15" t="s">
        <v>111</v>
      </c>
      <c r="O87" s="15" t="s">
        <v>112</v>
      </c>
      <c r="P87" s="11" t="s">
        <v>1110</v>
      </c>
      <c r="Q87" s="11"/>
      <c r="R87" s="11"/>
      <c r="S87" s="16"/>
      <c r="T87" s="15" t="s">
        <v>114</v>
      </c>
      <c r="U87" s="11"/>
      <c r="V87" s="15" t="str">
        <f t="shared" ca="1" si="19"/>
        <v>6년1개월</v>
      </c>
      <c r="W87" s="15" t="s">
        <v>402</v>
      </c>
      <c r="X87" s="18" t="str">
        <f t="shared" ca="1" si="16"/>
        <v>2년3개월</v>
      </c>
      <c r="Y87" s="17" t="s">
        <v>993</v>
      </c>
      <c r="Z87" s="17" t="s">
        <v>1111</v>
      </c>
      <c r="AA87" s="14" t="s">
        <v>171</v>
      </c>
      <c r="AB87" s="16">
        <v>42237</v>
      </c>
      <c r="AC87" s="18">
        <f t="shared" ca="1" si="17"/>
        <v>6</v>
      </c>
      <c r="AD87" s="15" t="str">
        <f ca="1">IF($AA87="학사",IF($AC87&lt;=5,"초급",IF($AC87&lt;9,"중급",IF($AC87&lt;12,"고급",IF($AC87&gt;=12,"특급")))))</f>
        <v>중급</v>
      </c>
      <c r="AE87" s="15" t="str">
        <f t="shared" si="18"/>
        <v>미해당</v>
      </c>
      <c r="AF87" s="11" t="s">
        <v>85</v>
      </c>
      <c r="AG87" s="16">
        <v>45157</v>
      </c>
      <c r="AH87" s="11"/>
      <c r="AI87" s="16"/>
      <c r="AJ87" s="11"/>
      <c r="AK87" s="11"/>
      <c r="AL87" s="19"/>
      <c r="AM87" s="11"/>
      <c r="AN87" s="20"/>
      <c r="AO87" s="21"/>
      <c r="AP87" s="21"/>
      <c r="AQ87" s="22" t="s">
        <v>154</v>
      </c>
      <c r="AR87" s="23" t="s">
        <v>155</v>
      </c>
      <c r="AS87" s="14" t="s">
        <v>137</v>
      </c>
      <c r="AT87" s="14" t="s">
        <v>1112</v>
      </c>
      <c r="AU87" s="24" t="s">
        <v>176</v>
      </c>
      <c r="AV87" s="24" t="s">
        <v>1113</v>
      </c>
      <c r="AW87" s="25" t="s">
        <v>1114</v>
      </c>
      <c r="AX87" s="24" t="s">
        <v>122</v>
      </c>
      <c r="AY87" s="24" t="s">
        <v>1115</v>
      </c>
      <c r="AZ87" s="17"/>
      <c r="BA87" s="17" t="s">
        <v>1116</v>
      </c>
      <c r="BB87" s="26" t="str">
        <f>IFERROR(VLOOKUP($AY87,[1]프로젝트현황!Y:Z,2,0),"기타")</f>
        <v>동남권</v>
      </c>
      <c r="BC87" s="23" t="str">
        <f t="shared" si="21"/>
        <v>서울시 송파구 양재대로68길 3, 301호(가락동,동방빌라)</v>
      </c>
    </row>
    <row r="88" spans="1:55" ht="15" customHeight="1" x14ac:dyDescent="0.3">
      <c r="A88" s="10">
        <f t="shared" si="12"/>
        <v>86</v>
      </c>
      <c r="B88" s="11">
        <v>231006</v>
      </c>
      <c r="C88" s="11" t="s">
        <v>1117</v>
      </c>
      <c r="D88" s="12">
        <v>45215</v>
      </c>
      <c r="E88" s="12">
        <v>45215</v>
      </c>
      <c r="F88" s="12"/>
      <c r="G88" s="13"/>
      <c r="H88" s="14" t="s">
        <v>1118</v>
      </c>
      <c r="I88" s="11" t="s">
        <v>1119</v>
      </c>
      <c r="J88" s="15" t="str">
        <f t="shared" si="13"/>
        <v>970203</v>
      </c>
      <c r="K88" s="15" t="str">
        <f t="shared" si="20"/>
        <v>02</v>
      </c>
      <c r="L88" s="15" t="str">
        <f t="shared" si="14"/>
        <v>여자</v>
      </c>
      <c r="M88" s="15">
        <f t="shared" ca="1" si="15"/>
        <v>30</v>
      </c>
      <c r="N88" s="15" t="s">
        <v>111</v>
      </c>
      <c r="O88" s="15" t="s">
        <v>112</v>
      </c>
      <c r="P88" s="11" t="s">
        <v>1120</v>
      </c>
      <c r="Q88" s="11"/>
      <c r="R88" s="11"/>
      <c r="S88" s="16"/>
      <c r="T88" s="15" t="s">
        <v>114</v>
      </c>
      <c r="U88" s="11"/>
      <c r="V88" s="15" t="str">
        <f t="shared" ca="1" si="19"/>
        <v>3년7개월</v>
      </c>
      <c r="W88" s="15" t="s">
        <v>469</v>
      </c>
      <c r="X88" s="18" t="str">
        <f t="shared" ca="1" si="16"/>
        <v>2년3개월</v>
      </c>
      <c r="Y88" s="17" t="s">
        <v>1101</v>
      </c>
      <c r="Z88" s="17" t="s">
        <v>1121</v>
      </c>
      <c r="AA88" s="14" t="s">
        <v>116</v>
      </c>
      <c r="AB88" s="16">
        <v>42783</v>
      </c>
      <c r="AC88" s="18">
        <f t="shared" ca="1" si="17"/>
        <v>3</v>
      </c>
      <c r="AD88" s="15" t="str">
        <f ca="1">IF($AA88="전문학사",IF($AC88&lt;=8,"초급",IF($AC88&lt;12,"중급",IF($AC88&lt;15,"고급",IF($AC88&gt;=15,"특급")))))</f>
        <v>초급</v>
      </c>
      <c r="AE88" s="15" t="str">
        <f t="shared" si="18"/>
        <v>미해당</v>
      </c>
      <c r="AF88" s="11"/>
      <c r="AG88" s="16"/>
      <c r="AH88" s="11"/>
      <c r="AI88" s="16"/>
      <c r="AJ88" s="11"/>
      <c r="AK88" s="11"/>
      <c r="AL88" s="19"/>
      <c r="AM88" s="11"/>
      <c r="AN88" s="20"/>
      <c r="AO88" s="21"/>
      <c r="AP88" s="21"/>
      <c r="AQ88" s="22" t="s">
        <v>154</v>
      </c>
      <c r="AR88" s="23" t="s">
        <v>155</v>
      </c>
      <c r="AS88" s="14" t="s">
        <v>137</v>
      </c>
      <c r="AT88" s="14" t="s">
        <v>1122</v>
      </c>
      <c r="AU88" s="24" t="s">
        <v>176</v>
      </c>
      <c r="AV88" s="24" t="s">
        <v>1123</v>
      </c>
      <c r="AW88" s="25" t="s">
        <v>1124</v>
      </c>
      <c r="AX88" s="24" t="s">
        <v>141</v>
      </c>
      <c r="AY88" s="24" t="s">
        <v>224</v>
      </c>
      <c r="AZ88" s="17" t="s">
        <v>1032</v>
      </c>
      <c r="BA88" s="17" t="s">
        <v>1125</v>
      </c>
      <c r="BB88" s="26" t="str">
        <f>IFERROR(VLOOKUP($AY88,[1]프로젝트현황!Y:Z,2,0),"기타")</f>
        <v>동남권</v>
      </c>
      <c r="BC88" s="23" t="str">
        <f t="shared" si="21"/>
        <v>경기도 성남시 분당구 서현로 181, 208동 401호</v>
      </c>
    </row>
    <row r="89" spans="1:55" ht="15" customHeight="1" x14ac:dyDescent="0.3">
      <c r="A89" s="10">
        <f t="shared" si="12"/>
        <v>87</v>
      </c>
      <c r="B89" s="11">
        <v>231009</v>
      </c>
      <c r="C89" s="11" t="s">
        <v>1126</v>
      </c>
      <c r="D89" s="12">
        <v>45223</v>
      </c>
      <c r="E89" s="12">
        <v>45223</v>
      </c>
      <c r="F89" s="12"/>
      <c r="G89" s="13"/>
      <c r="H89" s="14" t="s">
        <v>1127</v>
      </c>
      <c r="I89" s="11" t="s">
        <v>1128</v>
      </c>
      <c r="J89" s="15" t="str">
        <f t="shared" si="13"/>
        <v>940131</v>
      </c>
      <c r="K89" s="15" t="str">
        <f t="shared" si="20"/>
        <v>01</v>
      </c>
      <c r="L89" s="15" t="str">
        <f t="shared" si="14"/>
        <v>남자</v>
      </c>
      <c r="M89" s="15">
        <f t="shared" ca="1" si="15"/>
        <v>33</v>
      </c>
      <c r="N89" s="15" t="s">
        <v>111</v>
      </c>
      <c r="O89" s="15" t="s">
        <v>112</v>
      </c>
      <c r="P89" s="11" t="s">
        <v>1129</v>
      </c>
      <c r="Q89" s="11"/>
      <c r="R89" s="11"/>
      <c r="S89" s="16"/>
      <c r="T89" s="15" t="s">
        <v>114</v>
      </c>
      <c r="U89" s="11"/>
      <c r="V89" s="15" t="str">
        <f t="shared" ca="1" si="19"/>
        <v>2년3개월</v>
      </c>
      <c r="W89" s="15" t="s">
        <v>428</v>
      </c>
      <c r="X89" s="18" t="str">
        <f t="shared" ca="1" si="16"/>
        <v>2년3개월</v>
      </c>
      <c r="Y89" s="17" t="s">
        <v>1130</v>
      </c>
      <c r="Z89" s="17" t="s">
        <v>1131</v>
      </c>
      <c r="AA89" s="14" t="s">
        <v>116</v>
      </c>
      <c r="AB89" s="16">
        <v>43320</v>
      </c>
      <c r="AC89" s="18">
        <f t="shared" ca="1" si="17"/>
        <v>2</v>
      </c>
      <c r="AD89" s="15" t="str">
        <f ca="1">IF($AA89="전문학사",IF($AC89&lt;=8,"초급",IF($AC89&lt;12,"중급",IF($AC89&lt;15,"고급",IF($AC89&gt;=15,"특급")))))</f>
        <v>초급</v>
      </c>
      <c r="AE89" s="15" t="str">
        <f t="shared" si="18"/>
        <v>미해당</v>
      </c>
      <c r="AF89" s="11"/>
      <c r="AG89" s="16"/>
      <c r="AH89" s="11"/>
      <c r="AI89" s="16"/>
      <c r="AJ89" s="11"/>
      <c r="AK89" s="11"/>
      <c r="AL89" s="19"/>
      <c r="AM89" s="11"/>
      <c r="AN89" s="20"/>
      <c r="AO89" s="21"/>
      <c r="AP89" s="21"/>
      <c r="AQ89" s="22" t="s">
        <v>154</v>
      </c>
      <c r="AR89" s="23" t="s">
        <v>155</v>
      </c>
      <c r="AS89" s="14" t="s">
        <v>137</v>
      </c>
      <c r="AT89" s="14" t="s">
        <v>1132</v>
      </c>
      <c r="AU89" s="24" t="s">
        <v>176</v>
      </c>
      <c r="AV89" s="24" t="s">
        <v>1133</v>
      </c>
      <c r="AW89" s="25" t="s">
        <v>1134</v>
      </c>
      <c r="AX89" s="24" t="s">
        <v>122</v>
      </c>
      <c r="AY89" s="24" t="s">
        <v>160</v>
      </c>
      <c r="AZ89" s="17"/>
      <c r="BA89" s="17" t="s">
        <v>1135</v>
      </c>
      <c r="BB89" s="26" t="str">
        <f>IFERROR(VLOOKUP($AY89,[1]프로젝트현황!Y:Z,2,0),"기타")</f>
        <v>서남권</v>
      </c>
      <c r="BC89" s="23" t="str">
        <f t="shared" si="21"/>
        <v>서울시 금천구 시흥대로153길 17</v>
      </c>
    </row>
    <row r="90" spans="1:55" ht="15" customHeight="1" x14ac:dyDescent="0.3">
      <c r="A90" s="10">
        <f t="shared" si="12"/>
        <v>88</v>
      </c>
      <c r="B90" s="11">
        <v>231101</v>
      </c>
      <c r="C90" s="11" t="s">
        <v>1136</v>
      </c>
      <c r="D90" s="12">
        <v>45231</v>
      </c>
      <c r="E90" s="12">
        <v>45231</v>
      </c>
      <c r="F90" s="12"/>
      <c r="G90" s="13"/>
      <c r="H90" s="14" t="s">
        <v>1137</v>
      </c>
      <c r="I90" s="11" t="s">
        <v>1138</v>
      </c>
      <c r="J90" s="15" t="str">
        <f t="shared" si="13"/>
        <v>930118</v>
      </c>
      <c r="K90" s="15" t="str">
        <f t="shared" si="20"/>
        <v>01</v>
      </c>
      <c r="L90" s="15" t="str">
        <f t="shared" si="14"/>
        <v>여자</v>
      </c>
      <c r="M90" s="15">
        <f t="shared" ca="1" si="15"/>
        <v>34</v>
      </c>
      <c r="N90" s="15" t="s">
        <v>111</v>
      </c>
      <c r="O90" s="15" t="s">
        <v>112</v>
      </c>
      <c r="P90" s="11" t="s">
        <v>1139</v>
      </c>
      <c r="Q90" s="11"/>
      <c r="R90" s="11"/>
      <c r="S90" s="16"/>
      <c r="T90" s="15" t="s">
        <v>114</v>
      </c>
      <c r="U90" s="11"/>
      <c r="V90" s="15" t="str">
        <f t="shared" ca="1" si="19"/>
        <v>12년9개월</v>
      </c>
      <c r="W90" s="15" t="s">
        <v>1140</v>
      </c>
      <c r="X90" s="18" t="str">
        <f t="shared" ca="1" si="16"/>
        <v>2년3개월</v>
      </c>
      <c r="Y90" s="17" t="s">
        <v>1141</v>
      </c>
      <c r="Z90" s="17" t="s">
        <v>1142</v>
      </c>
      <c r="AA90" s="14" t="s">
        <v>116</v>
      </c>
      <c r="AB90" s="16">
        <v>41319</v>
      </c>
      <c r="AC90" s="18">
        <f t="shared" ca="1" si="17"/>
        <v>12</v>
      </c>
      <c r="AD90" s="15" t="str">
        <f ca="1">IF($AA90="전문학사",IF($AC90&lt;=8,"초급",IF($AC90&lt;12,"중급",IF($AC90&lt;15,"고급",IF($AC90&gt;=15,"특급")))))</f>
        <v>고급</v>
      </c>
      <c r="AE90" s="15" t="str">
        <f t="shared" si="18"/>
        <v>미해당</v>
      </c>
      <c r="AF90" s="11"/>
      <c r="AG90" s="16"/>
      <c r="AH90" s="11"/>
      <c r="AI90" s="16"/>
      <c r="AJ90" s="11"/>
      <c r="AK90" s="11"/>
      <c r="AL90" s="19"/>
      <c r="AM90" s="11"/>
      <c r="AN90" s="20"/>
      <c r="AO90" s="21"/>
      <c r="AP90" s="21"/>
      <c r="AQ90" s="22" t="s">
        <v>154</v>
      </c>
      <c r="AR90" s="23" t="s">
        <v>155</v>
      </c>
      <c r="AS90" s="14" t="s">
        <v>137</v>
      </c>
      <c r="AT90" s="14" t="s">
        <v>1143</v>
      </c>
      <c r="AU90" s="24" t="s">
        <v>157</v>
      </c>
      <c r="AV90" s="24" t="s">
        <v>1144</v>
      </c>
      <c r="AW90" s="25" t="s">
        <v>1145</v>
      </c>
      <c r="AX90" s="24" t="s">
        <v>141</v>
      </c>
      <c r="AY90" s="24" t="s">
        <v>224</v>
      </c>
      <c r="AZ90" s="17" t="s">
        <v>1146</v>
      </c>
      <c r="BA90" s="17" t="s">
        <v>1147</v>
      </c>
      <c r="BB90" s="26" t="str">
        <f>IFERROR(VLOOKUP($AY90,[1]프로젝트현황!Y:Z,2,0),"기타")</f>
        <v>동남권</v>
      </c>
      <c r="BC90" s="23" t="str">
        <f t="shared" si="21"/>
        <v>경기도 성남시 중원구 광명로335번길 24-20, B01호(금광동, 다세대주택)</v>
      </c>
    </row>
    <row r="91" spans="1:55" ht="15" customHeight="1" x14ac:dyDescent="0.3">
      <c r="A91" s="10">
        <f t="shared" si="12"/>
        <v>89</v>
      </c>
      <c r="B91" s="11">
        <v>231102</v>
      </c>
      <c r="C91" s="11" t="s">
        <v>1148</v>
      </c>
      <c r="D91" s="12">
        <v>45231</v>
      </c>
      <c r="E91" s="12">
        <v>45231</v>
      </c>
      <c r="F91" s="12"/>
      <c r="G91" s="13"/>
      <c r="H91" s="14" t="s">
        <v>1149</v>
      </c>
      <c r="I91" s="11" t="s">
        <v>1150</v>
      </c>
      <c r="J91" s="15" t="str">
        <f t="shared" si="13"/>
        <v>900517</v>
      </c>
      <c r="K91" s="15" t="str">
        <f t="shared" si="20"/>
        <v>05</v>
      </c>
      <c r="L91" s="15" t="str">
        <f t="shared" si="14"/>
        <v>남자</v>
      </c>
      <c r="M91" s="15">
        <f t="shared" ca="1" si="15"/>
        <v>37</v>
      </c>
      <c r="N91" s="15" t="s">
        <v>111</v>
      </c>
      <c r="O91" s="15" t="s">
        <v>112</v>
      </c>
      <c r="P91" s="11" t="s">
        <v>1151</v>
      </c>
      <c r="Q91" s="11"/>
      <c r="R91" s="11"/>
      <c r="S91" s="16"/>
      <c r="T91" s="15" t="s">
        <v>114</v>
      </c>
      <c r="U91" s="11"/>
      <c r="V91" s="15" t="str">
        <f t="shared" ca="1" si="19"/>
        <v>8년8개월</v>
      </c>
      <c r="W91" s="15" t="s">
        <v>255</v>
      </c>
      <c r="X91" s="18" t="str">
        <f t="shared" ca="1" si="16"/>
        <v>2년3개월</v>
      </c>
      <c r="Y91" s="17" t="s">
        <v>1152</v>
      </c>
      <c r="Z91" s="17" t="s">
        <v>170</v>
      </c>
      <c r="AA91" s="14" t="s">
        <v>171</v>
      </c>
      <c r="AB91" s="16">
        <v>42780</v>
      </c>
      <c r="AC91" s="18">
        <f t="shared" ca="1" si="17"/>
        <v>8</v>
      </c>
      <c r="AD91" s="15" t="str">
        <f t="shared" ref="AD91:AD97" ca="1" si="22">IF($AA91="학사",IF($AC91&lt;=5,"초급",IF($AC91&lt;9,"중급",IF($AC91&lt;12,"고급",IF($AC91&gt;=12,"특급")))))</f>
        <v>중급</v>
      </c>
      <c r="AE91" s="15" t="str">
        <f t="shared" si="18"/>
        <v>미해당</v>
      </c>
      <c r="AF91" s="11"/>
      <c r="AG91" s="16"/>
      <c r="AH91" s="11" t="s">
        <v>87</v>
      </c>
      <c r="AI91" s="16">
        <v>44278</v>
      </c>
      <c r="AJ91" s="11"/>
      <c r="AK91" s="11"/>
      <c r="AL91" s="19"/>
      <c r="AM91" s="11"/>
      <c r="AN91" s="20"/>
      <c r="AO91" s="21"/>
      <c r="AP91" s="21"/>
      <c r="AQ91" s="22" t="s">
        <v>154</v>
      </c>
      <c r="AR91" s="23" t="s">
        <v>155</v>
      </c>
      <c r="AS91" s="14" t="s">
        <v>137</v>
      </c>
      <c r="AT91" s="14" t="s">
        <v>1153</v>
      </c>
      <c r="AU91" s="24"/>
      <c r="AV91" s="24"/>
      <c r="AW91" s="25" t="s">
        <v>1154</v>
      </c>
      <c r="AX91" s="24" t="s">
        <v>122</v>
      </c>
      <c r="AY91" s="24" t="s">
        <v>264</v>
      </c>
      <c r="AZ91" s="17"/>
      <c r="BA91" s="17" t="s">
        <v>1155</v>
      </c>
      <c r="BB91" s="26" t="str">
        <f>IFERROR(VLOOKUP($AY91,[1]프로젝트현황!Y:Z,2,0),"기타")</f>
        <v>서남권</v>
      </c>
      <c r="BC91" s="23" t="str">
        <f t="shared" si="21"/>
        <v>서울시 관악구 난곡로35길 28-7, 다동 1001호(신림동, 건영아파트)</v>
      </c>
    </row>
    <row r="92" spans="1:55" ht="15" customHeight="1" x14ac:dyDescent="0.3">
      <c r="A92" s="10">
        <f t="shared" si="12"/>
        <v>90</v>
      </c>
      <c r="B92" s="11">
        <v>231104</v>
      </c>
      <c r="C92" s="11" t="s">
        <v>1156</v>
      </c>
      <c r="D92" s="12">
        <v>45243</v>
      </c>
      <c r="E92" s="12">
        <v>45243</v>
      </c>
      <c r="F92" s="12"/>
      <c r="G92" s="13"/>
      <c r="H92" s="14" t="s">
        <v>1157</v>
      </c>
      <c r="I92" s="11" t="s">
        <v>1158</v>
      </c>
      <c r="J92" s="15" t="str">
        <f t="shared" si="13"/>
        <v>771222</v>
      </c>
      <c r="K92" s="15" t="str">
        <f t="shared" si="20"/>
        <v>12</v>
      </c>
      <c r="L92" s="15" t="str">
        <f t="shared" si="14"/>
        <v>여자</v>
      </c>
      <c r="M92" s="15">
        <f t="shared" ca="1" si="15"/>
        <v>50</v>
      </c>
      <c r="N92" s="15" t="s">
        <v>111</v>
      </c>
      <c r="O92" s="15" t="s">
        <v>112</v>
      </c>
      <c r="P92" s="11" t="s">
        <v>1159</v>
      </c>
      <c r="Q92" s="11"/>
      <c r="R92" s="11"/>
      <c r="S92" s="16"/>
      <c r="T92" s="15" t="s">
        <v>114</v>
      </c>
      <c r="U92" s="11"/>
      <c r="V92" s="15" t="str">
        <f t="shared" ca="1" si="19"/>
        <v>17년8개월</v>
      </c>
      <c r="W92" s="15" t="s">
        <v>1160</v>
      </c>
      <c r="X92" s="18" t="str">
        <f t="shared" ca="1" si="16"/>
        <v>2년2개월</v>
      </c>
      <c r="Y92" s="17" t="s">
        <v>582</v>
      </c>
      <c r="Z92" s="17" t="s">
        <v>593</v>
      </c>
      <c r="AA92" s="14" t="s">
        <v>171</v>
      </c>
      <c r="AB92" s="16">
        <v>36578</v>
      </c>
      <c r="AC92" s="18">
        <f t="shared" ca="1" si="17"/>
        <v>17</v>
      </c>
      <c r="AD92" s="15" t="str">
        <f t="shared" ca="1" si="22"/>
        <v>특급</v>
      </c>
      <c r="AE92" s="15" t="str">
        <f t="shared" ca="1" si="18"/>
        <v>특급</v>
      </c>
      <c r="AF92" s="11"/>
      <c r="AG92" s="16"/>
      <c r="AH92" s="11" t="s">
        <v>87</v>
      </c>
      <c r="AI92" s="16">
        <v>45184</v>
      </c>
      <c r="AJ92" s="11" t="s">
        <v>89</v>
      </c>
      <c r="AK92" s="11">
        <v>36521</v>
      </c>
      <c r="AL92" s="19"/>
      <c r="AM92" s="11"/>
      <c r="AN92" s="20" t="s">
        <v>1161</v>
      </c>
      <c r="AO92" s="21" t="s">
        <v>1162</v>
      </c>
      <c r="AP92" s="21" t="s">
        <v>1163</v>
      </c>
      <c r="AQ92" s="22" t="s">
        <v>154</v>
      </c>
      <c r="AR92" s="23" t="s">
        <v>155</v>
      </c>
      <c r="AS92" s="14" t="s">
        <v>137</v>
      </c>
      <c r="AT92" s="14" t="s">
        <v>1164</v>
      </c>
      <c r="AU92" s="24" t="s">
        <v>393</v>
      </c>
      <c r="AV92" s="24" t="s">
        <v>1165</v>
      </c>
      <c r="AW92" s="25" t="s">
        <v>1166</v>
      </c>
      <c r="AX92" s="24" t="s">
        <v>141</v>
      </c>
      <c r="AY92" s="24" t="s">
        <v>194</v>
      </c>
      <c r="AZ92" s="17" t="s">
        <v>1167</v>
      </c>
      <c r="BA92" s="17" t="s">
        <v>1168</v>
      </c>
      <c r="BB92" s="26" t="str">
        <f>IFERROR(VLOOKUP($AY92,[1]프로젝트현황!Y:Z,2,0),"기타")</f>
        <v>동남권</v>
      </c>
      <c r="BC92" s="23" t="str">
        <f t="shared" si="21"/>
        <v>경기도 수원시 영통구 도청로 65, 5405동 301호(이의동, 자연&amp;힐스테이트아파트)</v>
      </c>
    </row>
    <row r="93" spans="1:55" ht="15" customHeight="1" x14ac:dyDescent="0.3">
      <c r="A93" s="10">
        <f t="shared" si="12"/>
        <v>91</v>
      </c>
      <c r="B93" s="11">
        <v>231201</v>
      </c>
      <c r="C93" s="11" t="s">
        <v>1169</v>
      </c>
      <c r="D93" s="12">
        <v>45261</v>
      </c>
      <c r="E93" s="12">
        <v>45261</v>
      </c>
      <c r="F93" s="12"/>
      <c r="G93" s="13"/>
      <c r="H93" s="14" t="s">
        <v>1170</v>
      </c>
      <c r="I93" s="11" t="s">
        <v>1171</v>
      </c>
      <c r="J93" s="15" t="str">
        <f t="shared" si="13"/>
        <v>790518</v>
      </c>
      <c r="K93" s="15" t="str">
        <f t="shared" si="20"/>
        <v>05</v>
      </c>
      <c r="L93" s="15" t="str">
        <f t="shared" si="14"/>
        <v>남자</v>
      </c>
      <c r="M93" s="15">
        <f t="shared" ca="1" si="15"/>
        <v>48</v>
      </c>
      <c r="N93" s="15" t="s">
        <v>111</v>
      </c>
      <c r="O93" s="15" t="s">
        <v>112</v>
      </c>
      <c r="P93" s="11" t="s">
        <v>1172</v>
      </c>
      <c r="Q93" s="11"/>
      <c r="R93" s="11" t="s">
        <v>129</v>
      </c>
      <c r="S93" s="16"/>
      <c r="T93" s="15" t="s">
        <v>114</v>
      </c>
      <c r="U93" s="11"/>
      <c r="V93" s="15" t="str">
        <f t="shared" ca="1" si="19"/>
        <v>15년4개월</v>
      </c>
      <c r="W93" s="15" t="s">
        <v>1173</v>
      </c>
      <c r="X93" s="18" t="str">
        <f t="shared" ca="1" si="16"/>
        <v>2년2개월</v>
      </c>
      <c r="Y93" s="17" t="s">
        <v>1174</v>
      </c>
      <c r="Z93" s="17" t="s">
        <v>1175</v>
      </c>
      <c r="AA93" s="14" t="s">
        <v>171</v>
      </c>
      <c r="AB93" s="16">
        <v>39493</v>
      </c>
      <c r="AC93" s="18">
        <f t="shared" ca="1" si="17"/>
        <v>15</v>
      </c>
      <c r="AD93" s="15" t="str">
        <f t="shared" ca="1" si="22"/>
        <v>특급</v>
      </c>
      <c r="AE93" s="15" t="str">
        <f t="shared" si="18"/>
        <v>미해당</v>
      </c>
      <c r="AF93" s="11" t="s">
        <v>85</v>
      </c>
      <c r="AG93" s="16">
        <v>40731</v>
      </c>
      <c r="AH93" s="11"/>
      <c r="AI93" s="16"/>
      <c r="AJ93" s="11"/>
      <c r="AK93" s="11"/>
      <c r="AL93" s="19"/>
      <c r="AM93" s="11"/>
      <c r="AN93" s="20" t="s">
        <v>1176</v>
      </c>
      <c r="AO93" s="21" t="s">
        <v>1177</v>
      </c>
      <c r="AP93" s="21" t="s">
        <v>1178</v>
      </c>
      <c r="AQ93" s="22" t="s">
        <v>154</v>
      </c>
      <c r="AR93" s="23" t="s">
        <v>155</v>
      </c>
      <c r="AS93" s="14" t="s">
        <v>137</v>
      </c>
      <c r="AT93" s="14" t="s">
        <v>1179</v>
      </c>
      <c r="AU93" s="24" t="s">
        <v>393</v>
      </c>
      <c r="AV93" s="24" t="s">
        <v>1180</v>
      </c>
      <c r="AW93" s="25" t="s">
        <v>1181</v>
      </c>
      <c r="AX93" s="24" t="s">
        <v>141</v>
      </c>
      <c r="AY93" s="24" t="s">
        <v>1182</v>
      </c>
      <c r="AZ93" s="17"/>
      <c r="BA93" s="17" t="s">
        <v>1183</v>
      </c>
      <c r="BB93" s="26" t="str">
        <f>IFERROR(VLOOKUP($AY93,[1]프로젝트현황!Y:Z,2,0),"기타")</f>
        <v>동남권</v>
      </c>
      <c r="BC93" s="23" t="str">
        <f t="shared" si="21"/>
        <v>경기도 하남시 미사강변동로 177, 1201동 1303호(망월동, 미사강변도시12단지)</v>
      </c>
    </row>
    <row r="94" spans="1:55" ht="15" customHeight="1" x14ac:dyDescent="0.3">
      <c r="A94" s="10">
        <f t="shared" si="12"/>
        <v>92</v>
      </c>
      <c r="B94" s="11">
        <v>231202</v>
      </c>
      <c r="C94" s="11" t="s">
        <v>1184</v>
      </c>
      <c r="D94" s="12">
        <v>45261</v>
      </c>
      <c r="E94" s="12">
        <v>45261</v>
      </c>
      <c r="F94" s="12"/>
      <c r="G94" s="13"/>
      <c r="H94" s="14" t="s">
        <v>1185</v>
      </c>
      <c r="I94" s="11" t="s">
        <v>1186</v>
      </c>
      <c r="J94" s="15" t="str">
        <f t="shared" si="13"/>
        <v>801026</v>
      </c>
      <c r="K94" s="15" t="str">
        <f t="shared" si="20"/>
        <v>10</v>
      </c>
      <c r="L94" s="15" t="str">
        <f t="shared" si="14"/>
        <v>남자</v>
      </c>
      <c r="M94" s="15">
        <f t="shared" ca="1" si="15"/>
        <v>47</v>
      </c>
      <c r="N94" s="15" t="s">
        <v>111</v>
      </c>
      <c r="O94" s="15" t="s">
        <v>112</v>
      </c>
      <c r="P94" s="11" t="s">
        <v>1187</v>
      </c>
      <c r="Q94" s="11"/>
      <c r="R94" s="11"/>
      <c r="S94" s="16"/>
      <c r="T94" s="15" t="s">
        <v>114</v>
      </c>
      <c r="U94" s="11"/>
      <c r="V94" s="15" t="str">
        <f t="shared" ca="1" si="19"/>
        <v>14년1개월</v>
      </c>
      <c r="W94" s="15" t="s">
        <v>1188</v>
      </c>
      <c r="X94" s="18" t="str">
        <f t="shared" ca="1" si="16"/>
        <v>2년2개월</v>
      </c>
      <c r="Y94" s="17" t="s">
        <v>1189</v>
      </c>
      <c r="Z94" s="17" t="s">
        <v>1190</v>
      </c>
      <c r="AA94" s="14" t="s">
        <v>171</v>
      </c>
      <c r="AB94" s="16">
        <v>38408</v>
      </c>
      <c r="AC94" s="18">
        <f t="shared" ca="1" si="17"/>
        <v>14</v>
      </c>
      <c r="AD94" s="15" t="str">
        <f t="shared" ca="1" si="22"/>
        <v>특급</v>
      </c>
      <c r="AE94" s="15" t="str">
        <f t="shared" si="18"/>
        <v>미해당</v>
      </c>
      <c r="AF94" s="11"/>
      <c r="AG94" s="16"/>
      <c r="AH94" s="11"/>
      <c r="AI94" s="16"/>
      <c r="AJ94" s="11"/>
      <c r="AK94" s="11"/>
      <c r="AL94" s="19"/>
      <c r="AM94" s="11"/>
      <c r="AN94" s="20"/>
      <c r="AO94" s="21"/>
      <c r="AP94" s="21"/>
      <c r="AQ94" s="22" t="s">
        <v>154</v>
      </c>
      <c r="AR94" s="23" t="s">
        <v>155</v>
      </c>
      <c r="AS94" s="14" t="s">
        <v>137</v>
      </c>
      <c r="AT94" s="14" t="s">
        <v>1191</v>
      </c>
      <c r="AU94" s="24" t="s">
        <v>393</v>
      </c>
      <c r="AV94" s="24" t="s">
        <v>1192</v>
      </c>
      <c r="AW94" s="25" t="s">
        <v>1193</v>
      </c>
      <c r="AX94" s="24" t="s">
        <v>122</v>
      </c>
      <c r="AY94" s="24" t="s">
        <v>421</v>
      </c>
      <c r="AZ94" s="17"/>
      <c r="BA94" s="17" t="s">
        <v>1194</v>
      </c>
      <c r="BB94" s="26" t="str">
        <f>IFERROR(VLOOKUP($AY94,[1]프로젝트현황!Y:Z,2,0),"기타")</f>
        <v>서남권</v>
      </c>
      <c r="BC94" s="23" t="str">
        <f t="shared" si="21"/>
        <v>서울시 영등포구 영신로41길 8, 502호(당산동1가, D.S퍼스트)</v>
      </c>
    </row>
    <row r="95" spans="1:55" ht="15" customHeight="1" x14ac:dyDescent="0.3">
      <c r="A95" s="10">
        <f t="shared" si="12"/>
        <v>93</v>
      </c>
      <c r="B95" s="11">
        <v>231203</v>
      </c>
      <c r="C95" s="11" t="s">
        <v>1195</v>
      </c>
      <c r="D95" s="12">
        <v>45261</v>
      </c>
      <c r="E95" s="12">
        <v>45261</v>
      </c>
      <c r="F95" s="12"/>
      <c r="G95" s="13"/>
      <c r="H95" s="14" t="s">
        <v>1196</v>
      </c>
      <c r="I95" s="11" t="s">
        <v>1197</v>
      </c>
      <c r="J95" s="15" t="str">
        <f t="shared" si="13"/>
        <v>890307</v>
      </c>
      <c r="K95" s="15" t="str">
        <f t="shared" si="20"/>
        <v>03</v>
      </c>
      <c r="L95" s="15" t="str">
        <f t="shared" si="14"/>
        <v>남자</v>
      </c>
      <c r="M95" s="15">
        <f t="shared" ca="1" si="15"/>
        <v>38</v>
      </c>
      <c r="N95" s="15" t="s">
        <v>111</v>
      </c>
      <c r="O95" s="15" t="s">
        <v>112</v>
      </c>
      <c r="P95" s="11" t="s">
        <v>1198</v>
      </c>
      <c r="Q95" s="11"/>
      <c r="R95" s="11"/>
      <c r="S95" s="16"/>
      <c r="T95" s="15" t="s">
        <v>114</v>
      </c>
      <c r="U95" s="11"/>
      <c r="V95" s="15" t="str">
        <f t="shared" ca="1" si="19"/>
        <v>6년4개월</v>
      </c>
      <c r="W95" s="15" t="s">
        <v>1199</v>
      </c>
      <c r="X95" s="18" t="str">
        <f t="shared" ca="1" si="16"/>
        <v>2년2개월</v>
      </c>
      <c r="Y95" s="17" t="s">
        <v>582</v>
      </c>
      <c r="Z95" s="17" t="s">
        <v>1200</v>
      </c>
      <c r="AA95" s="14" t="s">
        <v>171</v>
      </c>
      <c r="AB95" s="16">
        <v>42058</v>
      </c>
      <c r="AC95" s="18">
        <f t="shared" ca="1" si="17"/>
        <v>6</v>
      </c>
      <c r="AD95" s="15" t="str">
        <f t="shared" ca="1" si="22"/>
        <v>중급</v>
      </c>
      <c r="AE95" s="15" t="str">
        <f t="shared" ca="1" si="18"/>
        <v>중급</v>
      </c>
      <c r="AF95" s="11"/>
      <c r="AG95" s="16"/>
      <c r="AH95" s="11"/>
      <c r="AI95" s="16"/>
      <c r="AJ95" s="11" t="s">
        <v>89</v>
      </c>
      <c r="AK95" s="11">
        <v>42566</v>
      </c>
      <c r="AL95" s="19"/>
      <c r="AM95" s="11"/>
      <c r="AN95" s="20"/>
      <c r="AO95" s="21"/>
      <c r="AP95" s="21"/>
      <c r="AQ95" s="22" t="s">
        <v>154</v>
      </c>
      <c r="AR95" s="23" t="s">
        <v>155</v>
      </c>
      <c r="AS95" s="14" t="s">
        <v>137</v>
      </c>
      <c r="AT95" s="14" t="s">
        <v>1201</v>
      </c>
      <c r="AU95" s="24" t="s">
        <v>176</v>
      </c>
      <c r="AV95" s="24" t="s">
        <v>1202</v>
      </c>
      <c r="AW95" s="25" t="s">
        <v>1203</v>
      </c>
      <c r="AX95" s="24" t="s">
        <v>122</v>
      </c>
      <c r="AY95" s="24" t="s">
        <v>236</v>
      </c>
      <c r="AZ95" s="17"/>
      <c r="BA95" s="17" t="s">
        <v>1204</v>
      </c>
      <c r="BB95" s="26" t="str">
        <f>IFERROR(VLOOKUP($AY95,[1]프로젝트현황!Y:Z,2,0),"기타")</f>
        <v>서남권</v>
      </c>
      <c r="BC95" s="23" t="str">
        <f t="shared" si="21"/>
        <v>서울시 구로구 공원로6나길 17-5</v>
      </c>
    </row>
    <row r="96" spans="1:55" ht="15" customHeight="1" x14ac:dyDescent="0.3">
      <c r="A96" s="10">
        <f t="shared" si="12"/>
        <v>94</v>
      </c>
      <c r="B96" s="11">
        <v>231205</v>
      </c>
      <c r="C96" s="11" t="s">
        <v>1205</v>
      </c>
      <c r="D96" s="12">
        <v>45266</v>
      </c>
      <c r="E96" s="12">
        <v>45266</v>
      </c>
      <c r="F96" s="12"/>
      <c r="G96" s="13"/>
      <c r="H96" s="14" t="s">
        <v>1206</v>
      </c>
      <c r="I96" s="11" t="s">
        <v>1207</v>
      </c>
      <c r="J96" s="15" t="str">
        <f t="shared" si="13"/>
        <v>880910</v>
      </c>
      <c r="K96" s="15" t="str">
        <f t="shared" si="20"/>
        <v>09</v>
      </c>
      <c r="L96" s="15" t="str">
        <f t="shared" si="14"/>
        <v>여자</v>
      </c>
      <c r="M96" s="15">
        <f t="shared" ca="1" si="15"/>
        <v>39</v>
      </c>
      <c r="N96" s="15" t="s">
        <v>111</v>
      </c>
      <c r="O96" s="15" t="s">
        <v>112</v>
      </c>
      <c r="P96" s="11" t="s">
        <v>1208</v>
      </c>
      <c r="Q96" s="11"/>
      <c r="R96" s="11"/>
      <c r="S96" s="16"/>
      <c r="T96" s="15" t="s">
        <v>114</v>
      </c>
      <c r="U96" s="11"/>
      <c r="V96" s="15" t="str">
        <f t="shared" ca="1" si="19"/>
        <v>2년10개월</v>
      </c>
      <c r="W96" s="15" t="s">
        <v>924</v>
      </c>
      <c r="X96" s="18" t="str">
        <f t="shared" ca="1" si="16"/>
        <v>2년2개월</v>
      </c>
      <c r="Y96" s="17" t="s">
        <v>1209</v>
      </c>
      <c r="Z96" s="17" t="s">
        <v>1210</v>
      </c>
      <c r="AA96" s="14" t="s">
        <v>171</v>
      </c>
      <c r="AB96" s="16">
        <v>40391</v>
      </c>
      <c r="AC96" s="18">
        <f t="shared" ca="1" si="17"/>
        <v>2</v>
      </c>
      <c r="AD96" s="15" t="str">
        <f t="shared" ca="1" si="22"/>
        <v>초급</v>
      </c>
      <c r="AE96" s="15" t="str">
        <f t="shared" si="18"/>
        <v>미해당</v>
      </c>
      <c r="AF96" s="11"/>
      <c r="AG96" s="16"/>
      <c r="AH96" s="11" t="s">
        <v>87</v>
      </c>
      <c r="AI96" s="16">
        <v>45580</v>
      </c>
      <c r="AJ96" s="11"/>
      <c r="AK96" s="11"/>
      <c r="AL96" s="19"/>
      <c r="AM96" s="11"/>
      <c r="AN96" s="20"/>
      <c r="AO96" s="21"/>
      <c r="AP96" s="21"/>
      <c r="AQ96" s="22" t="s">
        <v>154</v>
      </c>
      <c r="AR96" s="23" t="s">
        <v>155</v>
      </c>
      <c r="AS96" s="14" t="s">
        <v>137</v>
      </c>
      <c r="AT96" s="14" t="s">
        <v>1211</v>
      </c>
      <c r="AU96" s="24" t="s">
        <v>490</v>
      </c>
      <c r="AV96" s="24" t="s">
        <v>1212</v>
      </c>
      <c r="AW96" s="25" t="s">
        <v>1213</v>
      </c>
      <c r="AX96" s="24" t="s">
        <v>122</v>
      </c>
      <c r="AY96" s="24" t="s">
        <v>264</v>
      </c>
      <c r="AZ96" s="17"/>
      <c r="BA96" s="17" t="s">
        <v>1214</v>
      </c>
      <c r="BB96" s="26" t="str">
        <f>IFERROR(VLOOKUP($AY96,[1]프로젝트현황!Y:Z,2,0),"기타")</f>
        <v>서남권</v>
      </c>
      <c r="BC96" s="23" t="str">
        <f t="shared" si="21"/>
        <v>서울시 관악구 남부순환로 248길 56, 101동 509호(봉천동, 낙성현대아파트)</v>
      </c>
    </row>
    <row r="97" spans="1:55" ht="15" customHeight="1" x14ac:dyDescent="0.3">
      <c r="A97" s="10">
        <f t="shared" si="12"/>
        <v>95</v>
      </c>
      <c r="B97" s="11">
        <v>240201</v>
      </c>
      <c r="C97" s="11" t="s">
        <v>1215</v>
      </c>
      <c r="D97" s="12">
        <v>45323</v>
      </c>
      <c r="E97" s="12">
        <v>45323</v>
      </c>
      <c r="F97" s="12"/>
      <c r="G97" s="13"/>
      <c r="H97" s="14" t="s">
        <v>1216</v>
      </c>
      <c r="I97" s="11" t="s">
        <v>1217</v>
      </c>
      <c r="J97" s="15" t="str">
        <f t="shared" si="13"/>
        <v>810225</v>
      </c>
      <c r="K97" s="15" t="str">
        <f t="shared" si="20"/>
        <v>02</v>
      </c>
      <c r="L97" s="15" t="str">
        <f t="shared" si="14"/>
        <v>여자</v>
      </c>
      <c r="M97" s="15">
        <f t="shared" ca="1" si="15"/>
        <v>46</v>
      </c>
      <c r="N97" s="15" t="s">
        <v>111</v>
      </c>
      <c r="O97" s="15" t="s">
        <v>112</v>
      </c>
      <c r="P97" s="11" t="s">
        <v>1218</v>
      </c>
      <c r="Q97" s="11"/>
      <c r="R97" s="11"/>
      <c r="S97" s="16"/>
      <c r="T97" s="15" t="s">
        <v>114</v>
      </c>
      <c r="U97" s="11"/>
      <c r="V97" s="15" t="str">
        <f t="shared" ca="1" si="19"/>
        <v>21년6개월</v>
      </c>
      <c r="W97" s="15" t="s">
        <v>1219</v>
      </c>
      <c r="X97" s="18" t="str">
        <f t="shared" ca="1" si="16"/>
        <v>2년0개월</v>
      </c>
      <c r="Y97" s="17" t="s">
        <v>1220</v>
      </c>
      <c r="Z97" s="17" t="s">
        <v>1221</v>
      </c>
      <c r="AA97" s="14" t="s">
        <v>171</v>
      </c>
      <c r="AB97" s="16">
        <v>40597</v>
      </c>
      <c r="AC97" s="18">
        <f t="shared" ca="1" si="17"/>
        <v>21</v>
      </c>
      <c r="AD97" s="15" t="str">
        <f t="shared" ca="1" si="22"/>
        <v>특급</v>
      </c>
      <c r="AE97" s="15" t="str">
        <f t="shared" si="18"/>
        <v>미해당</v>
      </c>
      <c r="AF97" s="11"/>
      <c r="AG97" s="16"/>
      <c r="AH97" s="11" t="s">
        <v>87</v>
      </c>
      <c r="AI97" s="16">
        <v>39165</v>
      </c>
      <c r="AJ97" s="11"/>
      <c r="AK97" s="11"/>
      <c r="AL97" s="19"/>
      <c r="AM97" s="11"/>
      <c r="AN97" s="20"/>
      <c r="AO97" s="21"/>
      <c r="AP97" s="21"/>
      <c r="AQ97" s="22" t="s">
        <v>154</v>
      </c>
      <c r="AR97" s="23" t="s">
        <v>155</v>
      </c>
      <c r="AS97" s="14" t="s">
        <v>137</v>
      </c>
      <c r="AT97" s="14" t="s">
        <v>1222</v>
      </c>
      <c r="AU97" s="24" t="s">
        <v>157</v>
      </c>
      <c r="AV97" s="24" t="s">
        <v>1223</v>
      </c>
      <c r="AW97" s="25" t="s">
        <v>1224</v>
      </c>
      <c r="AX97" s="24" t="s">
        <v>141</v>
      </c>
      <c r="AY97" s="24" t="s">
        <v>564</v>
      </c>
      <c r="AZ97" s="17"/>
      <c r="BA97" s="17" t="s">
        <v>1225</v>
      </c>
      <c r="BB97" s="26" t="str">
        <f>IFERROR(VLOOKUP($AY97,[1]프로젝트현황!Y:Z,2,0),"기타")</f>
        <v>서남권</v>
      </c>
      <c r="BC97" s="23" t="str">
        <f t="shared" si="21"/>
        <v>경기도 김포시 김포한강2로 361, 707동 1002호(장기동,호반베르디움 더퍼스트)</v>
      </c>
    </row>
    <row r="98" spans="1:55" ht="15" customHeight="1" x14ac:dyDescent="0.3">
      <c r="A98" s="10">
        <f t="shared" si="12"/>
        <v>96</v>
      </c>
      <c r="B98" s="11">
        <v>240202</v>
      </c>
      <c r="C98" s="11" t="s">
        <v>1226</v>
      </c>
      <c r="D98" s="12">
        <v>45327</v>
      </c>
      <c r="E98" s="12">
        <v>45327</v>
      </c>
      <c r="F98" s="12"/>
      <c r="G98" s="13"/>
      <c r="H98" s="14" t="s">
        <v>1227</v>
      </c>
      <c r="I98" s="11" t="s">
        <v>1228</v>
      </c>
      <c r="J98" s="15" t="str">
        <f t="shared" si="13"/>
        <v>021225</v>
      </c>
      <c r="K98" s="15" t="str">
        <f t="shared" si="20"/>
        <v>12</v>
      </c>
      <c r="L98" s="15" t="str">
        <f t="shared" si="14"/>
        <v>여자</v>
      </c>
      <c r="M98" s="15">
        <f t="shared" ca="1" si="15"/>
        <v>25</v>
      </c>
      <c r="N98" s="15" t="s">
        <v>111</v>
      </c>
      <c r="O98" s="15" t="s">
        <v>112</v>
      </c>
      <c r="P98" s="11" t="s">
        <v>1229</v>
      </c>
      <c r="Q98" s="11"/>
      <c r="R98" s="11"/>
      <c r="S98" s="16"/>
      <c r="T98" s="15" t="s">
        <v>114</v>
      </c>
      <c r="U98" s="11"/>
      <c r="V98" s="15" t="str">
        <f t="shared" ca="1" si="19"/>
        <v>2년0개월</v>
      </c>
      <c r="W98" s="15" t="s">
        <v>428</v>
      </c>
      <c r="X98" s="18" t="str">
        <f t="shared" ca="1" si="16"/>
        <v>2년0개월</v>
      </c>
      <c r="Y98" s="17" t="s">
        <v>337</v>
      </c>
      <c r="Z98" s="17" t="s">
        <v>338</v>
      </c>
      <c r="AA98" s="14" t="s">
        <v>116</v>
      </c>
      <c r="AB98" s="16">
        <v>45520</v>
      </c>
      <c r="AC98" s="18">
        <f t="shared" ca="1" si="17"/>
        <v>2</v>
      </c>
      <c r="AD98" s="15" t="str">
        <f ca="1">IF($AA98="전문학사",IF($AC98&lt;=8,"초급",IF($AC98&lt;12,"중급",IF($AC98&lt;15,"고급",IF($AC98&gt;=15,"특급")))))</f>
        <v>초급</v>
      </c>
      <c r="AE98" s="15" t="str">
        <f t="shared" si="18"/>
        <v>미해당</v>
      </c>
      <c r="AF98" s="11"/>
      <c r="AG98" s="16"/>
      <c r="AH98" s="11"/>
      <c r="AI98" s="16"/>
      <c r="AJ98" s="11"/>
      <c r="AK98" s="11"/>
      <c r="AL98" s="19"/>
      <c r="AM98" s="11"/>
      <c r="AN98" s="20"/>
      <c r="AO98" s="21"/>
      <c r="AP98" s="21"/>
      <c r="AQ98" s="22" t="s">
        <v>442</v>
      </c>
      <c r="AR98" s="23" t="s">
        <v>443</v>
      </c>
      <c r="AS98" s="14" t="s">
        <v>1230</v>
      </c>
      <c r="AT98" s="14" t="s">
        <v>1231</v>
      </c>
      <c r="AU98" s="24" t="s">
        <v>157</v>
      </c>
      <c r="AV98" s="24" t="s">
        <v>1232</v>
      </c>
      <c r="AW98" s="25" t="s">
        <v>1233</v>
      </c>
      <c r="AX98" s="24" t="s">
        <v>141</v>
      </c>
      <c r="AY98" s="24" t="s">
        <v>1234</v>
      </c>
      <c r="AZ98" s="17"/>
      <c r="BA98" s="17" t="s">
        <v>1235</v>
      </c>
      <c r="BB98" s="26" t="str">
        <f>IFERROR(VLOOKUP($AY98,[1]프로젝트현황!Y:Z,2,0),"기타")</f>
        <v>서남권</v>
      </c>
      <c r="BC98" s="23" t="str">
        <f t="shared" si="21"/>
        <v>경기도 시흥시 역전로 375-8, 101동 704호 (정왕동, 화성아파트)</v>
      </c>
    </row>
    <row r="99" spans="1:55" ht="15" customHeight="1" x14ac:dyDescent="0.3">
      <c r="A99" s="10">
        <f t="shared" si="12"/>
        <v>97</v>
      </c>
      <c r="B99" s="11">
        <v>240301</v>
      </c>
      <c r="C99" s="11" t="s">
        <v>1236</v>
      </c>
      <c r="D99" s="12">
        <v>45355</v>
      </c>
      <c r="E99" s="12">
        <v>45355</v>
      </c>
      <c r="F99" s="12"/>
      <c r="G99" s="13"/>
      <c r="H99" s="14" t="s">
        <v>1237</v>
      </c>
      <c r="I99" s="11" t="s">
        <v>1238</v>
      </c>
      <c r="J99" s="15" t="str">
        <f t="shared" si="13"/>
        <v>050819</v>
      </c>
      <c r="K99" s="15" t="str">
        <f t="shared" si="20"/>
        <v>08</v>
      </c>
      <c r="L99" s="15" t="str">
        <f t="shared" si="14"/>
        <v>남자</v>
      </c>
      <c r="M99" s="15">
        <f t="shared" ca="1" si="15"/>
        <v>22</v>
      </c>
      <c r="N99" s="15" t="s">
        <v>111</v>
      </c>
      <c r="O99" s="15" t="s">
        <v>112</v>
      </c>
      <c r="P99" s="11" t="s">
        <v>1239</v>
      </c>
      <c r="Q99" s="11"/>
      <c r="R99" s="11"/>
      <c r="S99" s="16"/>
      <c r="T99" s="15" t="s">
        <v>114</v>
      </c>
      <c r="U99" s="11"/>
      <c r="V99" s="15" t="str">
        <f t="shared" ca="1" si="19"/>
        <v>1년11개월</v>
      </c>
      <c r="W99" s="15" t="s">
        <v>428</v>
      </c>
      <c r="X99" s="18" t="str">
        <f t="shared" ca="1" si="16"/>
        <v>1년11개월</v>
      </c>
      <c r="Y99" s="17" t="s">
        <v>780</v>
      </c>
      <c r="Z99" s="17" t="s">
        <v>781</v>
      </c>
      <c r="AA99" s="14" t="s">
        <v>258</v>
      </c>
      <c r="AB99" s="16">
        <v>45309</v>
      </c>
      <c r="AC99" s="18">
        <f t="shared" ca="1" si="17"/>
        <v>1</v>
      </c>
      <c r="AD99" s="15" t="str">
        <f ca="1">IF($AA99="고졸",IF($AC99&lt;=11,"초급",IF($AC99&lt;=14,"중급",IF($AC99&lt;=17,"고급",IF($AC99&gt;=18,"특급")))))</f>
        <v>초급</v>
      </c>
      <c r="AE99" s="15" t="str">
        <f t="shared" ca="1" si="18"/>
        <v>초급</v>
      </c>
      <c r="AF99" s="11"/>
      <c r="AG99" s="16"/>
      <c r="AH99" s="11"/>
      <c r="AI99" s="16"/>
      <c r="AJ99" s="11"/>
      <c r="AK99" s="11"/>
      <c r="AL99" s="19" t="s">
        <v>91</v>
      </c>
      <c r="AM99" s="11">
        <v>45135</v>
      </c>
      <c r="AN99" s="20"/>
      <c r="AO99" s="21"/>
      <c r="AP99" s="21"/>
      <c r="AQ99" s="22" t="s">
        <v>154</v>
      </c>
      <c r="AR99" s="23" t="s">
        <v>155</v>
      </c>
      <c r="AS99" s="14" t="s">
        <v>137</v>
      </c>
      <c r="AT99" s="14" t="s">
        <v>1240</v>
      </c>
      <c r="AU99" s="24"/>
      <c r="AV99" s="24"/>
      <c r="AW99" s="25" t="s">
        <v>1241</v>
      </c>
      <c r="AX99" s="24" t="s">
        <v>122</v>
      </c>
      <c r="AY99" s="24" t="s">
        <v>1115</v>
      </c>
      <c r="AZ99" s="17"/>
      <c r="BA99" s="17" t="s">
        <v>1242</v>
      </c>
      <c r="BB99" s="26" t="str">
        <f>IFERROR(VLOOKUP($AY99,[1]프로젝트현황!Y:Z,2,0),"기타")</f>
        <v>동남권</v>
      </c>
      <c r="BC99" s="23" t="str">
        <f t="shared" si="21"/>
        <v>서울시 송파구 성내천로43라길8, 201호(마천동,을해빌라 4차)</v>
      </c>
    </row>
    <row r="100" spans="1:55" ht="15" customHeight="1" x14ac:dyDescent="0.3">
      <c r="A100" s="10">
        <f t="shared" si="12"/>
        <v>98</v>
      </c>
      <c r="B100" s="11">
        <v>240302</v>
      </c>
      <c r="C100" s="11" t="s">
        <v>1243</v>
      </c>
      <c r="D100" s="12">
        <v>45355</v>
      </c>
      <c r="E100" s="12">
        <v>45355</v>
      </c>
      <c r="F100" s="12"/>
      <c r="G100" s="13"/>
      <c r="H100" s="14" t="s">
        <v>1244</v>
      </c>
      <c r="I100" s="11" t="s">
        <v>1245</v>
      </c>
      <c r="J100" s="15" t="str">
        <f t="shared" si="13"/>
        <v>051220</v>
      </c>
      <c r="K100" s="15" t="str">
        <f t="shared" si="20"/>
        <v>12</v>
      </c>
      <c r="L100" s="15" t="str">
        <f t="shared" si="14"/>
        <v>남자</v>
      </c>
      <c r="M100" s="15">
        <f t="shared" ca="1" si="15"/>
        <v>22</v>
      </c>
      <c r="N100" s="15" t="s">
        <v>111</v>
      </c>
      <c r="O100" s="15" t="s">
        <v>112</v>
      </c>
      <c r="P100" s="11" t="s">
        <v>1246</v>
      </c>
      <c r="Q100" s="11"/>
      <c r="R100" s="11"/>
      <c r="S100" s="16"/>
      <c r="T100" s="15" t="s">
        <v>114</v>
      </c>
      <c r="U100" s="11"/>
      <c r="V100" s="15" t="str">
        <f t="shared" ca="1" si="19"/>
        <v>1년11개월</v>
      </c>
      <c r="W100" s="15" t="s">
        <v>428</v>
      </c>
      <c r="X100" s="18" t="str">
        <f t="shared" ca="1" si="16"/>
        <v>1년11개월</v>
      </c>
      <c r="Y100" s="17" t="s">
        <v>780</v>
      </c>
      <c r="Z100" s="17" t="s">
        <v>781</v>
      </c>
      <c r="AA100" s="14" t="s">
        <v>258</v>
      </c>
      <c r="AB100" s="16">
        <v>45309</v>
      </c>
      <c r="AC100" s="18">
        <f t="shared" ca="1" si="17"/>
        <v>1</v>
      </c>
      <c r="AD100" s="15" t="str">
        <f ca="1">IF($AA100="고졸",IF($AC100&lt;=11,"초급",IF($AC100&lt;=14,"중급",IF($AC100&lt;=17,"고급",IF($AC100&gt;=18,"특급")))))</f>
        <v>초급</v>
      </c>
      <c r="AE100" s="15" t="str">
        <f t="shared" si="18"/>
        <v>미해당</v>
      </c>
      <c r="AF100" s="11"/>
      <c r="AG100" s="16"/>
      <c r="AH100" s="11"/>
      <c r="AI100" s="16"/>
      <c r="AJ100" s="11"/>
      <c r="AK100" s="11"/>
      <c r="AL100" s="19"/>
      <c r="AM100" s="11"/>
      <c r="AN100" s="20"/>
      <c r="AO100" s="21"/>
      <c r="AP100" s="21"/>
      <c r="AQ100" s="22" t="s">
        <v>154</v>
      </c>
      <c r="AR100" s="23" t="s">
        <v>155</v>
      </c>
      <c r="AS100" s="14" t="s">
        <v>137</v>
      </c>
      <c r="AT100" s="14" t="s">
        <v>1247</v>
      </c>
      <c r="AU100" s="24"/>
      <c r="AV100" s="24"/>
      <c r="AW100" s="25" t="s">
        <v>1248</v>
      </c>
      <c r="AX100" s="24" t="s">
        <v>122</v>
      </c>
      <c r="AY100" s="24" t="s">
        <v>608</v>
      </c>
      <c r="AZ100" s="17"/>
      <c r="BA100" s="17" t="s">
        <v>1249</v>
      </c>
      <c r="BB100" s="26" t="str">
        <f>IFERROR(VLOOKUP($AY100,[1]프로젝트현황!Y:Z,2,0),"기타")</f>
        <v>동북권</v>
      </c>
      <c r="BC100" s="23" t="str">
        <f t="shared" si="21"/>
        <v>서울시 중랑구 중랑천로 8, 1502호 (면목동,형진아파트)</v>
      </c>
    </row>
    <row r="101" spans="1:55" ht="15" customHeight="1" x14ac:dyDescent="0.3">
      <c r="A101" s="10">
        <f t="shared" si="12"/>
        <v>99</v>
      </c>
      <c r="B101" s="11">
        <v>240303</v>
      </c>
      <c r="C101" s="11" t="s">
        <v>1250</v>
      </c>
      <c r="D101" s="12">
        <v>45355</v>
      </c>
      <c r="E101" s="12">
        <v>45355</v>
      </c>
      <c r="F101" s="12"/>
      <c r="G101" s="13"/>
      <c r="H101" s="14" t="s">
        <v>1251</v>
      </c>
      <c r="I101" s="11" t="s">
        <v>1252</v>
      </c>
      <c r="J101" s="15" t="str">
        <f t="shared" si="13"/>
        <v>020314</v>
      </c>
      <c r="K101" s="15" t="str">
        <f t="shared" si="20"/>
        <v>03</v>
      </c>
      <c r="L101" s="15" t="str">
        <f t="shared" si="14"/>
        <v>여자</v>
      </c>
      <c r="M101" s="15">
        <f t="shared" ca="1" si="15"/>
        <v>25</v>
      </c>
      <c r="N101" s="15" t="s">
        <v>111</v>
      </c>
      <c r="O101" s="15" t="s">
        <v>112</v>
      </c>
      <c r="P101" s="11" t="s">
        <v>1253</v>
      </c>
      <c r="Q101" s="11"/>
      <c r="R101" s="11"/>
      <c r="S101" s="16"/>
      <c r="T101" s="15" t="s">
        <v>114</v>
      </c>
      <c r="U101" s="11"/>
      <c r="V101" s="15" t="str">
        <f t="shared" ca="1" si="19"/>
        <v>1년11개월</v>
      </c>
      <c r="W101" s="15" t="s">
        <v>428</v>
      </c>
      <c r="X101" s="18" t="str">
        <f t="shared" ca="1" si="16"/>
        <v>1년11개월</v>
      </c>
      <c r="Y101" s="17" t="s">
        <v>1254</v>
      </c>
      <c r="Z101" s="17"/>
      <c r="AA101" s="14" t="s">
        <v>258</v>
      </c>
      <c r="AB101" s="16">
        <v>45348</v>
      </c>
      <c r="AC101" s="18">
        <f t="shared" ca="1" si="17"/>
        <v>1</v>
      </c>
      <c r="AD101" s="15" t="str">
        <f ca="1">IF($AA101="고졸",IF($AC101&lt;=11,"초급",IF($AC101&lt;=14,"중급",IF($AC101&lt;=17,"고급",IF($AC101&gt;=18,"특급")))))</f>
        <v>초급</v>
      </c>
      <c r="AE101" s="15" t="str">
        <f t="shared" si="18"/>
        <v>미해당</v>
      </c>
      <c r="AF101" s="11"/>
      <c r="AG101" s="16"/>
      <c r="AH101" s="11"/>
      <c r="AI101" s="16"/>
      <c r="AJ101" s="11"/>
      <c r="AK101" s="11"/>
      <c r="AL101" s="19"/>
      <c r="AM101" s="11"/>
      <c r="AN101" s="20"/>
      <c r="AO101" s="21"/>
      <c r="AP101" s="21"/>
      <c r="AQ101" s="22" t="s">
        <v>154</v>
      </c>
      <c r="AR101" s="23" t="s">
        <v>155</v>
      </c>
      <c r="AS101" s="14" t="s">
        <v>137</v>
      </c>
      <c r="AT101" s="14" t="s">
        <v>1255</v>
      </c>
      <c r="AU101" s="24"/>
      <c r="AV101" s="24"/>
      <c r="AW101" s="25" t="s">
        <v>1256</v>
      </c>
      <c r="AX101" s="24" t="s">
        <v>122</v>
      </c>
      <c r="AY101" s="24" t="s">
        <v>291</v>
      </c>
      <c r="AZ101" s="17"/>
      <c r="BA101" s="17" t="s">
        <v>1257</v>
      </c>
      <c r="BB101" s="26" t="str">
        <f>IFERROR(VLOOKUP($AY101,[1]프로젝트현황!Y:Z,2,0),"기타")</f>
        <v>서남권</v>
      </c>
      <c r="BC101" s="23" t="str">
        <f t="shared" si="21"/>
        <v>서울시 강서구 화곡로19길 41, B동 402호(화곡동,다솜타운)</v>
      </c>
    </row>
    <row r="102" spans="1:55" ht="15" customHeight="1" x14ac:dyDescent="0.3">
      <c r="A102" s="10">
        <f t="shared" si="12"/>
        <v>100</v>
      </c>
      <c r="B102" s="11">
        <v>240304</v>
      </c>
      <c r="C102" s="11" t="s">
        <v>1258</v>
      </c>
      <c r="D102" s="12">
        <v>45355</v>
      </c>
      <c r="E102" s="12">
        <v>45355</v>
      </c>
      <c r="F102" s="12"/>
      <c r="G102" s="13"/>
      <c r="H102" s="14" t="s">
        <v>1259</v>
      </c>
      <c r="I102" s="11" t="s">
        <v>1260</v>
      </c>
      <c r="J102" s="15" t="str">
        <f t="shared" si="13"/>
        <v>030712</v>
      </c>
      <c r="K102" s="15" t="str">
        <f t="shared" si="20"/>
        <v>07</v>
      </c>
      <c r="L102" s="15" t="str">
        <f t="shared" si="14"/>
        <v>여자</v>
      </c>
      <c r="M102" s="15">
        <f t="shared" ca="1" si="15"/>
        <v>24</v>
      </c>
      <c r="N102" s="15" t="s">
        <v>111</v>
      </c>
      <c r="O102" s="15" t="s">
        <v>112</v>
      </c>
      <c r="P102" s="11" t="s">
        <v>1261</v>
      </c>
      <c r="Q102" s="11"/>
      <c r="R102" s="11"/>
      <c r="S102" s="16"/>
      <c r="T102" s="15" t="s">
        <v>114</v>
      </c>
      <c r="U102" s="11"/>
      <c r="V102" s="15" t="str">
        <f t="shared" ca="1" si="19"/>
        <v>1년11개월</v>
      </c>
      <c r="W102" s="15" t="s">
        <v>428</v>
      </c>
      <c r="X102" s="18" t="str">
        <f t="shared" ca="1" si="16"/>
        <v>1년11개월</v>
      </c>
      <c r="Y102" s="17" t="s">
        <v>1262</v>
      </c>
      <c r="Z102" s="17"/>
      <c r="AA102" s="14" t="s">
        <v>258</v>
      </c>
      <c r="AB102" s="16">
        <v>45342</v>
      </c>
      <c r="AC102" s="18">
        <f t="shared" ca="1" si="17"/>
        <v>1</v>
      </c>
      <c r="AD102" s="15" t="str">
        <f ca="1">IF($AA102="고졸",IF($AC102&lt;=11,"초급",IF($AC102&lt;=14,"중급",IF($AC102&lt;=17,"고급",IF($AC102&gt;=18,"특급")))))</f>
        <v>초급</v>
      </c>
      <c r="AE102" s="15" t="str">
        <f t="shared" si="18"/>
        <v>미해당</v>
      </c>
      <c r="AF102" s="11"/>
      <c r="AG102" s="16"/>
      <c r="AH102" s="11"/>
      <c r="AI102" s="16"/>
      <c r="AJ102" s="11"/>
      <c r="AK102" s="11"/>
      <c r="AL102" s="19"/>
      <c r="AM102" s="11"/>
      <c r="AN102" s="20"/>
      <c r="AO102" s="21"/>
      <c r="AP102" s="21"/>
      <c r="AQ102" s="22" t="s">
        <v>154</v>
      </c>
      <c r="AR102" s="23" t="s">
        <v>155</v>
      </c>
      <c r="AS102" s="14" t="s">
        <v>137</v>
      </c>
      <c r="AT102" s="14" t="s">
        <v>1263</v>
      </c>
      <c r="AU102" s="24" t="s">
        <v>157</v>
      </c>
      <c r="AV102" s="24" t="s">
        <v>1264</v>
      </c>
      <c r="AW102" s="25" t="s">
        <v>1265</v>
      </c>
      <c r="AX102" s="24" t="s">
        <v>122</v>
      </c>
      <c r="AY102" s="24" t="s">
        <v>1266</v>
      </c>
      <c r="AZ102" s="17"/>
      <c r="BA102" s="17" t="s">
        <v>1267</v>
      </c>
      <c r="BB102" s="26" t="str">
        <f>IFERROR(VLOOKUP($AY102,[1]프로젝트현황!Y:Z,2,0),"기타")</f>
        <v>서북권</v>
      </c>
      <c r="BC102" s="23" t="str">
        <f t="shared" si="21"/>
        <v>서울시 용산구 대사관로20길 33</v>
      </c>
    </row>
    <row r="103" spans="1:55" ht="15" customHeight="1" x14ac:dyDescent="0.3">
      <c r="A103" s="10">
        <f t="shared" si="12"/>
        <v>101</v>
      </c>
      <c r="B103" s="11">
        <v>240402</v>
      </c>
      <c r="C103" s="11" t="s">
        <v>1268</v>
      </c>
      <c r="D103" s="12">
        <v>45383</v>
      </c>
      <c r="E103" s="12">
        <v>45383</v>
      </c>
      <c r="F103" s="12"/>
      <c r="G103" s="13"/>
      <c r="H103" s="14" t="s">
        <v>1269</v>
      </c>
      <c r="I103" s="11" t="s">
        <v>1270</v>
      </c>
      <c r="J103" s="15" t="str">
        <f t="shared" si="13"/>
        <v>850420</v>
      </c>
      <c r="K103" s="15" t="str">
        <f t="shared" si="20"/>
        <v>04</v>
      </c>
      <c r="L103" s="15" t="str">
        <f t="shared" si="14"/>
        <v>남자</v>
      </c>
      <c r="M103" s="15">
        <f t="shared" ca="1" si="15"/>
        <v>42</v>
      </c>
      <c r="N103" s="15" t="s">
        <v>111</v>
      </c>
      <c r="O103" s="15" t="s">
        <v>112</v>
      </c>
      <c r="P103" s="11" t="s">
        <v>1271</v>
      </c>
      <c r="Q103" s="11"/>
      <c r="R103" s="11"/>
      <c r="S103" s="16"/>
      <c r="T103" s="15" t="s">
        <v>1272</v>
      </c>
      <c r="U103" s="11"/>
      <c r="V103" s="15" t="str">
        <f t="shared" ca="1" si="19"/>
        <v>17년7개월</v>
      </c>
      <c r="W103" s="15" t="s">
        <v>1273</v>
      </c>
      <c r="X103" s="18" t="str">
        <f t="shared" ca="1" si="16"/>
        <v>1년10개월</v>
      </c>
      <c r="Y103" s="17" t="s">
        <v>1274</v>
      </c>
      <c r="Z103" s="17" t="s">
        <v>217</v>
      </c>
      <c r="AA103" s="14" t="s">
        <v>116</v>
      </c>
      <c r="AB103" s="16">
        <v>39499</v>
      </c>
      <c r="AC103" s="18">
        <f t="shared" ca="1" si="17"/>
        <v>17</v>
      </c>
      <c r="AD103" s="15" t="str">
        <f ca="1">IF($AA103="전문학사",IF($AC103&lt;=8,"초급",IF($AC103&lt;12,"중급",IF($AC103&lt;15,"고급",IF($AC103&gt;=15,"특급")))))</f>
        <v>특급</v>
      </c>
      <c r="AE103" s="15" t="str">
        <f t="shared" si="18"/>
        <v>미해당</v>
      </c>
      <c r="AF103" s="11"/>
      <c r="AG103" s="16"/>
      <c r="AH103" s="11"/>
      <c r="AI103" s="16"/>
      <c r="AJ103" s="11"/>
      <c r="AK103" s="11"/>
      <c r="AL103" s="19"/>
      <c r="AM103" s="11"/>
      <c r="AN103" s="20"/>
      <c r="AO103" s="21"/>
      <c r="AP103" s="21"/>
      <c r="AQ103" s="22" t="s">
        <v>154</v>
      </c>
      <c r="AR103" s="23" t="s">
        <v>155</v>
      </c>
      <c r="AS103" s="14" t="s">
        <v>137</v>
      </c>
      <c r="AT103" s="14" t="s">
        <v>1275</v>
      </c>
      <c r="AU103" s="24"/>
      <c r="AV103" s="24"/>
      <c r="AW103" s="29" t="s">
        <v>1276</v>
      </c>
      <c r="AX103" s="24" t="s">
        <v>141</v>
      </c>
      <c r="AY103" s="24" t="s">
        <v>1277</v>
      </c>
      <c r="AZ103" s="17"/>
      <c r="BA103" s="17" t="s">
        <v>1278</v>
      </c>
      <c r="BB103" s="26" t="str">
        <f>IFERROR(VLOOKUP($AY103,[1]프로젝트현황!Y:Z,2,0),"기타")</f>
        <v>동남권</v>
      </c>
      <c r="BC103" s="23" t="str">
        <f t="shared" si="21"/>
        <v>경기도 오산시 운천로 16-22, 604동 304호(원동,주공아파트)</v>
      </c>
    </row>
    <row r="104" spans="1:55" ht="15" customHeight="1" x14ac:dyDescent="0.3">
      <c r="A104" s="10">
        <f t="shared" si="12"/>
        <v>102</v>
      </c>
      <c r="B104" s="11">
        <v>240404</v>
      </c>
      <c r="C104" s="11" t="s">
        <v>1279</v>
      </c>
      <c r="D104" s="12">
        <v>45397</v>
      </c>
      <c r="E104" s="12">
        <v>45397</v>
      </c>
      <c r="F104" s="12"/>
      <c r="G104" s="13"/>
      <c r="H104" s="14" t="s">
        <v>1280</v>
      </c>
      <c r="I104" s="11" t="s">
        <v>1281</v>
      </c>
      <c r="J104" s="15" t="str">
        <f t="shared" si="13"/>
        <v>930909</v>
      </c>
      <c r="K104" s="15" t="str">
        <f t="shared" si="20"/>
        <v>09</v>
      </c>
      <c r="L104" s="15" t="str">
        <f t="shared" si="14"/>
        <v>여자</v>
      </c>
      <c r="M104" s="15">
        <f t="shared" ca="1" si="15"/>
        <v>34</v>
      </c>
      <c r="N104" s="15" t="s">
        <v>111</v>
      </c>
      <c r="O104" s="15" t="s">
        <v>112</v>
      </c>
      <c r="P104" s="11" t="s">
        <v>1282</v>
      </c>
      <c r="Q104" s="11"/>
      <c r="R104" s="11"/>
      <c r="S104" s="16"/>
      <c r="T104" s="15" t="s">
        <v>114</v>
      </c>
      <c r="U104" s="11"/>
      <c r="V104" s="15" t="str">
        <f t="shared" ca="1" si="19"/>
        <v>1년9개월</v>
      </c>
      <c r="W104" s="15" t="s">
        <v>428</v>
      </c>
      <c r="X104" s="18" t="str">
        <f t="shared" ca="1" si="16"/>
        <v>1년9개월</v>
      </c>
      <c r="Y104" s="17" t="s">
        <v>1283</v>
      </c>
      <c r="Z104" s="17" t="s">
        <v>1284</v>
      </c>
      <c r="AA104" s="14" t="s">
        <v>116</v>
      </c>
      <c r="AB104" s="16">
        <v>42041</v>
      </c>
      <c r="AC104" s="18">
        <f t="shared" ca="1" si="17"/>
        <v>1</v>
      </c>
      <c r="AD104" s="15" t="str">
        <f ca="1">IF($AA104="전문학사",IF($AC104&lt;=8,"초급",IF($AC104&lt;12,"중급",IF($AC104&lt;15,"고급",IF($AC104&gt;=15,"특급")))))</f>
        <v>초급</v>
      </c>
      <c r="AE104" s="15" t="str">
        <f t="shared" si="18"/>
        <v>미해당</v>
      </c>
      <c r="AF104" s="11"/>
      <c r="AG104" s="16"/>
      <c r="AH104" s="11"/>
      <c r="AI104" s="16"/>
      <c r="AJ104" s="11"/>
      <c r="AK104" s="11"/>
      <c r="AL104" s="19"/>
      <c r="AM104" s="11"/>
      <c r="AN104" s="20"/>
      <c r="AO104" s="21"/>
      <c r="AP104" s="21"/>
      <c r="AQ104" s="22" t="s">
        <v>154</v>
      </c>
      <c r="AR104" s="23" t="s">
        <v>155</v>
      </c>
      <c r="AS104" s="14" t="s">
        <v>137</v>
      </c>
      <c r="AT104" s="14" t="s">
        <v>1285</v>
      </c>
      <c r="AU104" s="24" t="s">
        <v>157</v>
      </c>
      <c r="AV104" s="24" t="s">
        <v>1286</v>
      </c>
      <c r="AW104" s="25" t="s">
        <v>1287</v>
      </c>
      <c r="AX104" s="24" t="s">
        <v>122</v>
      </c>
      <c r="AY104" s="24" t="s">
        <v>291</v>
      </c>
      <c r="AZ104" s="17"/>
      <c r="BA104" s="17" t="s">
        <v>1288</v>
      </c>
      <c r="BB104" s="26" t="str">
        <f>IFERROR(VLOOKUP($AY104,[1]프로젝트현황!Y:Z,2,0),"기타")</f>
        <v>서남권</v>
      </c>
      <c r="BC104" s="23" t="str">
        <f t="shared" si="21"/>
        <v>서울시 강서구 강서로231, 101동 1403호(화곡동, 우장산역 해링턴타워)</v>
      </c>
    </row>
    <row r="105" spans="1:55" ht="15" customHeight="1" x14ac:dyDescent="0.3">
      <c r="A105" s="10">
        <f t="shared" si="12"/>
        <v>103</v>
      </c>
      <c r="B105" s="11">
        <v>240503</v>
      </c>
      <c r="C105" s="11" t="s">
        <v>1289</v>
      </c>
      <c r="D105" s="12">
        <v>45428</v>
      </c>
      <c r="E105" s="12">
        <v>45428</v>
      </c>
      <c r="F105" s="12"/>
      <c r="G105" s="13"/>
      <c r="H105" s="14" t="s">
        <v>1290</v>
      </c>
      <c r="I105" s="11" t="s">
        <v>1291</v>
      </c>
      <c r="J105" s="15" t="str">
        <f t="shared" si="13"/>
        <v>951229</v>
      </c>
      <c r="K105" s="15" t="str">
        <f t="shared" si="20"/>
        <v>12</v>
      </c>
      <c r="L105" s="15" t="str">
        <f t="shared" si="14"/>
        <v>여자</v>
      </c>
      <c r="M105" s="15">
        <f t="shared" ca="1" si="15"/>
        <v>32</v>
      </c>
      <c r="N105" s="15" t="s">
        <v>111</v>
      </c>
      <c r="O105" s="15" t="s">
        <v>112</v>
      </c>
      <c r="P105" s="11" t="s">
        <v>1292</v>
      </c>
      <c r="Q105" s="11"/>
      <c r="R105" s="11"/>
      <c r="S105" s="16"/>
      <c r="T105" s="15" t="s">
        <v>1272</v>
      </c>
      <c r="U105" s="11"/>
      <c r="V105" s="15" t="str">
        <f t="shared" ca="1" si="19"/>
        <v>1년8개월</v>
      </c>
      <c r="W105" s="15" t="s">
        <v>428</v>
      </c>
      <c r="X105" s="18" t="str">
        <f t="shared" ca="1" si="16"/>
        <v>1년8개월</v>
      </c>
      <c r="Y105" s="17" t="s">
        <v>1293</v>
      </c>
      <c r="Z105" s="17" t="s">
        <v>1294</v>
      </c>
      <c r="AA105" s="14" t="s">
        <v>171</v>
      </c>
      <c r="AB105" s="16">
        <v>43140</v>
      </c>
      <c r="AC105" s="18">
        <f t="shared" ca="1" si="17"/>
        <v>1</v>
      </c>
      <c r="AD105" s="15" t="str">
        <f ca="1">IF($AA105="학사",IF($AC105&lt;=5,"초급",IF($AC105&lt;9,"중급",IF($AC105&lt;12,"고급",IF($AC105&gt;=12,"특급")))))</f>
        <v>초급</v>
      </c>
      <c r="AE105" s="15" t="str">
        <f t="shared" si="18"/>
        <v>미해당</v>
      </c>
      <c r="AF105" s="11"/>
      <c r="AG105" s="16"/>
      <c r="AH105" s="11"/>
      <c r="AI105" s="16"/>
      <c r="AJ105" s="11"/>
      <c r="AK105" s="11"/>
      <c r="AL105" s="19"/>
      <c r="AM105" s="11"/>
      <c r="AN105" s="20"/>
      <c r="AO105" s="21"/>
      <c r="AP105" s="21"/>
      <c r="AQ105" s="22" t="s">
        <v>154</v>
      </c>
      <c r="AR105" s="23" t="s">
        <v>155</v>
      </c>
      <c r="AS105" s="14" t="s">
        <v>137</v>
      </c>
      <c r="AT105" s="14" t="s">
        <v>1295</v>
      </c>
      <c r="AU105" s="24" t="s">
        <v>157</v>
      </c>
      <c r="AV105" s="24" t="s">
        <v>1296</v>
      </c>
      <c r="AW105" s="25" t="s">
        <v>1297</v>
      </c>
      <c r="AX105" s="24" t="s">
        <v>141</v>
      </c>
      <c r="AY105" s="24" t="s">
        <v>773</v>
      </c>
      <c r="AZ105" s="17" t="s">
        <v>829</v>
      </c>
      <c r="BA105" s="17" t="s">
        <v>1298</v>
      </c>
      <c r="BB105" s="26" t="str">
        <f>IFERROR(VLOOKUP($AY105,[1]프로젝트현황!Y:Z,2,0),"기타")</f>
        <v>동남권</v>
      </c>
      <c r="BC105" s="23" t="str">
        <f t="shared" si="21"/>
        <v>경기도 용인시 기흥구 사은로126번길 33, 205동 1001호(보라동, 민속마을신창미선힐아파트)</v>
      </c>
    </row>
    <row r="106" spans="1:55" ht="15" customHeight="1" x14ac:dyDescent="0.3">
      <c r="A106" s="10">
        <f t="shared" si="12"/>
        <v>104</v>
      </c>
      <c r="B106" s="11">
        <v>240504</v>
      </c>
      <c r="C106" s="11" t="s">
        <v>1299</v>
      </c>
      <c r="D106" s="12">
        <v>45428</v>
      </c>
      <c r="E106" s="12">
        <v>45428</v>
      </c>
      <c r="F106" s="12"/>
      <c r="G106" s="13"/>
      <c r="H106" s="14" t="s">
        <v>1300</v>
      </c>
      <c r="I106" s="11" t="s">
        <v>1301</v>
      </c>
      <c r="J106" s="15" t="str">
        <f t="shared" si="13"/>
        <v>930703</v>
      </c>
      <c r="K106" s="15" t="str">
        <f t="shared" si="20"/>
        <v>07</v>
      </c>
      <c r="L106" s="15" t="str">
        <f t="shared" si="14"/>
        <v>여자</v>
      </c>
      <c r="M106" s="15">
        <f t="shared" ca="1" si="15"/>
        <v>34</v>
      </c>
      <c r="N106" s="15" t="s">
        <v>111</v>
      </c>
      <c r="O106" s="15" t="s">
        <v>112</v>
      </c>
      <c r="P106" s="11" t="s">
        <v>1302</v>
      </c>
      <c r="Q106" s="11"/>
      <c r="R106" s="11"/>
      <c r="S106" s="16"/>
      <c r="T106" s="15" t="s">
        <v>1272</v>
      </c>
      <c r="U106" s="11"/>
      <c r="V106" s="15" t="str">
        <f t="shared" ca="1" si="19"/>
        <v>1년8개월</v>
      </c>
      <c r="W106" s="15" t="s">
        <v>428</v>
      </c>
      <c r="X106" s="18" t="str">
        <f t="shared" ca="1" si="16"/>
        <v>1년8개월</v>
      </c>
      <c r="Y106" s="17" t="s">
        <v>1303</v>
      </c>
      <c r="Z106" s="17" t="s">
        <v>1304</v>
      </c>
      <c r="AA106" s="14" t="s">
        <v>171</v>
      </c>
      <c r="AB106" s="16">
        <v>42789</v>
      </c>
      <c r="AC106" s="18">
        <f t="shared" ca="1" si="17"/>
        <v>1</v>
      </c>
      <c r="AD106" s="15" t="str">
        <f ca="1">IF($AA106="학사",IF($AC106&lt;=5,"초급",IF($AC106&lt;9,"중급",IF($AC106&lt;12,"고급",IF($AC106&gt;=12,"특급")))))</f>
        <v>초급</v>
      </c>
      <c r="AE106" s="15" t="str">
        <f t="shared" si="18"/>
        <v>미해당</v>
      </c>
      <c r="AF106" s="11"/>
      <c r="AG106" s="16"/>
      <c r="AH106" s="11"/>
      <c r="AI106" s="16"/>
      <c r="AJ106" s="11"/>
      <c r="AK106" s="11"/>
      <c r="AL106" s="19"/>
      <c r="AM106" s="11"/>
      <c r="AN106" s="20"/>
      <c r="AO106" s="21"/>
      <c r="AP106" s="21"/>
      <c r="AQ106" s="22" t="s">
        <v>154</v>
      </c>
      <c r="AR106" s="23" t="s">
        <v>155</v>
      </c>
      <c r="AS106" s="14" t="s">
        <v>137</v>
      </c>
      <c r="AT106" s="14" t="s">
        <v>1305</v>
      </c>
      <c r="AU106" s="24"/>
      <c r="AV106" s="24"/>
      <c r="AW106" s="25" t="s">
        <v>1306</v>
      </c>
      <c r="AX106" s="24" t="s">
        <v>1307</v>
      </c>
      <c r="AY106" s="24" t="s">
        <v>1308</v>
      </c>
      <c r="AZ106" s="17" t="s">
        <v>1309</v>
      </c>
      <c r="BA106" s="17" t="s">
        <v>1310</v>
      </c>
      <c r="BB106" s="26" t="str">
        <f>IFERROR(VLOOKUP($AY106,[1]프로젝트현황!Y:Z,2,0),"기타")</f>
        <v>서남권</v>
      </c>
      <c r="BC106" s="23" t="str">
        <f t="shared" si="21"/>
        <v>충청남도 천안시 서북구 천안대로 980-17, 106동 2403호</v>
      </c>
    </row>
    <row r="107" spans="1:55" ht="15" customHeight="1" x14ac:dyDescent="0.3">
      <c r="A107" s="10">
        <f t="shared" si="12"/>
        <v>105</v>
      </c>
      <c r="B107" s="11">
        <v>240505</v>
      </c>
      <c r="C107" s="11" t="s">
        <v>1311</v>
      </c>
      <c r="D107" s="12">
        <v>45432</v>
      </c>
      <c r="E107" s="12">
        <v>45432</v>
      </c>
      <c r="F107" s="12"/>
      <c r="G107" s="13">
        <v>46080</v>
      </c>
      <c r="H107" s="14" t="s">
        <v>1312</v>
      </c>
      <c r="I107" s="11" t="s">
        <v>1313</v>
      </c>
      <c r="J107" s="15" t="str">
        <f t="shared" si="13"/>
        <v>930225</v>
      </c>
      <c r="K107" s="15" t="str">
        <f t="shared" si="20"/>
        <v>02</v>
      </c>
      <c r="L107" s="15" t="str">
        <f t="shared" si="14"/>
        <v>남자</v>
      </c>
      <c r="M107" s="15">
        <f t="shared" ca="1" si="15"/>
        <v>34</v>
      </c>
      <c r="N107" s="15" t="s">
        <v>111</v>
      </c>
      <c r="O107" s="15" t="s">
        <v>112</v>
      </c>
      <c r="P107" s="11" t="s">
        <v>1314</v>
      </c>
      <c r="Q107" s="11"/>
      <c r="R107" s="11"/>
      <c r="S107" s="16"/>
      <c r="T107" s="15" t="s">
        <v>114</v>
      </c>
      <c r="U107" s="11"/>
      <c r="V107" s="15" t="str">
        <f t="shared" ca="1" si="19"/>
        <v>6년11개월</v>
      </c>
      <c r="W107" s="15" t="s">
        <v>1315</v>
      </c>
      <c r="X107" s="18" t="str">
        <f t="shared" ca="1" si="16"/>
        <v>1년8개월</v>
      </c>
      <c r="Y107" s="17" t="s">
        <v>1316</v>
      </c>
      <c r="Z107" s="17" t="s">
        <v>1317</v>
      </c>
      <c r="AA107" s="14" t="s">
        <v>171</v>
      </c>
      <c r="AB107" s="16">
        <v>42783</v>
      </c>
      <c r="AC107" s="18">
        <f t="shared" ca="1" si="17"/>
        <v>6</v>
      </c>
      <c r="AD107" s="15" t="str">
        <f ca="1">IF($AA107="학사",IF($AC107&lt;=5,"초급",IF($AC107&lt;9,"중급",IF($AC107&lt;12,"고급",IF($AC107&gt;=12,"특급")))))</f>
        <v>중급</v>
      </c>
      <c r="AE107" s="15" t="str">
        <f t="shared" si="18"/>
        <v>미해당</v>
      </c>
      <c r="AF107" s="11"/>
      <c r="AG107" s="16"/>
      <c r="AH107" s="11"/>
      <c r="AI107" s="16"/>
      <c r="AJ107" s="11"/>
      <c r="AK107" s="11"/>
      <c r="AL107" s="19"/>
      <c r="AM107" s="11"/>
      <c r="AN107" s="20"/>
      <c r="AO107" s="21"/>
      <c r="AP107" s="21"/>
      <c r="AQ107" s="22" t="s">
        <v>154</v>
      </c>
      <c r="AR107" s="23" t="s">
        <v>155</v>
      </c>
      <c r="AS107" s="14" t="s">
        <v>137</v>
      </c>
      <c r="AT107" s="14" t="s">
        <v>1318</v>
      </c>
      <c r="AU107" s="24"/>
      <c r="AV107" s="24"/>
      <c r="AW107" s="25" t="s">
        <v>1319</v>
      </c>
      <c r="AX107" s="24" t="s">
        <v>141</v>
      </c>
      <c r="AY107" s="24" t="s">
        <v>194</v>
      </c>
      <c r="AZ107" s="17" t="s">
        <v>1320</v>
      </c>
      <c r="BA107" s="17" t="s">
        <v>1321</v>
      </c>
      <c r="BB107" s="26" t="str">
        <f>IFERROR(VLOOKUP($AY107,[1]프로젝트현황!Y:Z,2,0),"기타")</f>
        <v>동남권</v>
      </c>
      <c r="BC107" s="23" t="str">
        <f t="shared" si="21"/>
        <v>경기도 수원시 장안구 정자로19번길 18, 503동 702호</v>
      </c>
    </row>
    <row r="108" spans="1:55" ht="15" customHeight="1" x14ac:dyDescent="0.3">
      <c r="A108" s="10">
        <f t="shared" si="12"/>
        <v>106</v>
      </c>
      <c r="B108" s="11">
        <v>240507</v>
      </c>
      <c r="C108" s="11" t="s">
        <v>1322</v>
      </c>
      <c r="D108" s="12">
        <v>45439</v>
      </c>
      <c r="E108" s="12">
        <v>45439</v>
      </c>
      <c r="F108" s="12"/>
      <c r="G108" s="13"/>
      <c r="H108" s="14" t="s">
        <v>1323</v>
      </c>
      <c r="I108" s="11" t="s">
        <v>1324</v>
      </c>
      <c r="J108" s="15" t="str">
        <f t="shared" si="13"/>
        <v>830722</v>
      </c>
      <c r="K108" s="15" t="str">
        <f t="shared" si="20"/>
        <v>07</v>
      </c>
      <c r="L108" s="15" t="str">
        <f t="shared" si="14"/>
        <v>여자</v>
      </c>
      <c r="M108" s="15">
        <f t="shared" ca="1" si="15"/>
        <v>44</v>
      </c>
      <c r="N108" s="15" t="s">
        <v>111</v>
      </c>
      <c r="O108" s="15" t="s">
        <v>112</v>
      </c>
      <c r="P108" s="11" t="s">
        <v>1325</v>
      </c>
      <c r="Q108" s="11"/>
      <c r="R108" s="11"/>
      <c r="S108" s="16"/>
      <c r="T108" s="15" t="s">
        <v>114</v>
      </c>
      <c r="U108" s="11"/>
      <c r="V108" s="15" t="str">
        <f t="shared" ca="1" si="19"/>
        <v>6년4개월</v>
      </c>
      <c r="W108" s="15" t="s">
        <v>201</v>
      </c>
      <c r="X108" s="18" t="str">
        <f t="shared" ca="1" si="16"/>
        <v>1년8개월</v>
      </c>
      <c r="Y108" s="17" t="s">
        <v>1326</v>
      </c>
      <c r="Z108" s="17" t="s">
        <v>1327</v>
      </c>
      <c r="AA108" s="14" t="s">
        <v>116</v>
      </c>
      <c r="AB108" s="16">
        <v>38042</v>
      </c>
      <c r="AC108" s="18">
        <f t="shared" ca="1" si="17"/>
        <v>6</v>
      </c>
      <c r="AD108" s="15" t="str">
        <f ca="1">IF($AA108="전문학사",IF($AC108&lt;=8,"초급",IF($AC108&lt;12,"중급",IF($AC108&lt;15,"고급",IF($AC108&gt;=15,"특급")))))</f>
        <v>초급</v>
      </c>
      <c r="AE108" s="15" t="str">
        <f t="shared" si="18"/>
        <v>미해당</v>
      </c>
      <c r="AF108" s="11"/>
      <c r="AG108" s="16"/>
      <c r="AH108" s="11"/>
      <c r="AI108" s="16"/>
      <c r="AJ108" s="11"/>
      <c r="AK108" s="11"/>
      <c r="AL108" s="19"/>
      <c r="AM108" s="11"/>
      <c r="AN108" s="20"/>
      <c r="AO108" s="21"/>
      <c r="AP108" s="21"/>
      <c r="AQ108" s="22" t="s">
        <v>154</v>
      </c>
      <c r="AR108" s="23" t="s">
        <v>155</v>
      </c>
      <c r="AS108" s="14" t="s">
        <v>137</v>
      </c>
      <c r="AT108" s="14" t="s">
        <v>1328</v>
      </c>
      <c r="AU108" s="24" t="s">
        <v>176</v>
      </c>
      <c r="AV108" s="24" t="s">
        <v>1329</v>
      </c>
      <c r="AW108" s="25" t="s">
        <v>1330</v>
      </c>
      <c r="AX108" s="24" t="s">
        <v>122</v>
      </c>
      <c r="AY108" s="24" t="s">
        <v>236</v>
      </c>
      <c r="AZ108" s="17"/>
      <c r="BA108" s="17" t="s">
        <v>1331</v>
      </c>
      <c r="BB108" s="26" t="str">
        <f>IFERROR(VLOOKUP($AY108,[1]프로젝트현황!Y:Z,2,0),"기타")</f>
        <v>서남권</v>
      </c>
      <c r="BC108" s="23" t="str">
        <f t="shared" si="21"/>
        <v>서울시 구로구 남부순환로95길 54, 105동 708호</v>
      </c>
    </row>
    <row r="109" spans="1:55" ht="15" customHeight="1" x14ac:dyDescent="0.3">
      <c r="A109" s="10">
        <f t="shared" si="12"/>
        <v>107</v>
      </c>
      <c r="B109" s="11">
        <v>240508</v>
      </c>
      <c r="C109" s="11" t="s">
        <v>1332</v>
      </c>
      <c r="D109" s="12">
        <v>45439</v>
      </c>
      <c r="E109" s="12">
        <v>45439</v>
      </c>
      <c r="F109" s="12"/>
      <c r="G109" s="13"/>
      <c r="H109" s="14" t="s">
        <v>1333</v>
      </c>
      <c r="I109" s="11" t="s">
        <v>1334</v>
      </c>
      <c r="J109" s="15" t="str">
        <f t="shared" si="13"/>
        <v>950602</v>
      </c>
      <c r="K109" s="15" t="str">
        <f t="shared" si="20"/>
        <v>06</v>
      </c>
      <c r="L109" s="15" t="str">
        <f t="shared" si="14"/>
        <v>남자</v>
      </c>
      <c r="M109" s="15">
        <f t="shared" ca="1" si="15"/>
        <v>32</v>
      </c>
      <c r="N109" s="15" t="s">
        <v>111</v>
      </c>
      <c r="O109" s="15" t="s">
        <v>112</v>
      </c>
      <c r="P109" s="11" t="s">
        <v>1335</v>
      </c>
      <c r="Q109" s="11"/>
      <c r="R109" s="11"/>
      <c r="S109" s="16"/>
      <c r="T109" s="15" t="s">
        <v>1272</v>
      </c>
      <c r="U109" s="11"/>
      <c r="V109" s="15" t="str">
        <f t="shared" ca="1" si="19"/>
        <v>1년8개월</v>
      </c>
      <c r="W109" s="15" t="s">
        <v>428</v>
      </c>
      <c r="X109" s="18" t="str">
        <f t="shared" ca="1" si="16"/>
        <v>1년8개월</v>
      </c>
      <c r="Y109" s="17" t="s">
        <v>1336</v>
      </c>
      <c r="Z109" s="17" t="s">
        <v>1337</v>
      </c>
      <c r="AA109" s="14" t="s">
        <v>171</v>
      </c>
      <c r="AB109" s="16">
        <v>43881</v>
      </c>
      <c r="AC109" s="18">
        <f t="shared" ca="1" si="17"/>
        <v>1</v>
      </c>
      <c r="AD109" s="15" t="str">
        <f ca="1">IF($AA109="학사",IF($AC109&lt;=5,"초급",IF($AC109&lt;9,"중급",IF($AC109&lt;12,"고급",IF($AC109&gt;=12,"특급")))))</f>
        <v>초급</v>
      </c>
      <c r="AE109" s="15" t="str">
        <f t="shared" si="18"/>
        <v>미해당</v>
      </c>
      <c r="AF109" s="11"/>
      <c r="AG109" s="16"/>
      <c r="AH109" s="11"/>
      <c r="AI109" s="16"/>
      <c r="AJ109" s="11"/>
      <c r="AK109" s="11"/>
      <c r="AL109" s="19"/>
      <c r="AM109" s="11"/>
      <c r="AN109" s="20"/>
      <c r="AO109" s="21"/>
      <c r="AP109" s="21"/>
      <c r="AQ109" s="22" t="s">
        <v>154</v>
      </c>
      <c r="AR109" s="23" t="s">
        <v>155</v>
      </c>
      <c r="AS109" s="14" t="s">
        <v>137</v>
      </c>
      <c r="AT109" s="14" t="s">
        <v>1338</v>
      </c>
      <c r="AU109" s="24" t="s">
        <v>176</v>
      </c>
      <c r="AV109" s="24" t="s">
        <v>1339</v>
      </c>
      <c r="AW109" s="25" t="s">
        <v>1340</v>
      </c>
      <c r="AX109" s="24" t="s">
        <v>141</v>
      </c>
      <c r="AY109" s="24" t="s">
        <v>1341</v>
      </c>
      <c r="AZ109" s="17"/>
      <c r="BA109" s="17" t="s">
        <v>1342</v>
      </c>
      <c r="BB109" s="26" t="str">
        <f>IFERROR(VLOOKUP($AY109,[1]프로젝트현황!Y:Z,2,0),"기타")</f>
        <v>서남권</v>
      </c>
      <c r="BC109" s="23" t="str">
        <f t="shared" si="21"/>
        <v>경기도 평택시 송일로37번길 28, 201호</v>
      </c>
    </row>
    <row r="110" spans="1:55" ht="15" customHeight="1" x14ac:dyDescent="0.3">
      <c r="A110" s="10">
        <f t="shared" si="12"/>
        <v>108</v>
      </c>
      <c r="B110" s="11">
        <v>240701</v>
      </c>
      <c r="C110" s="11" t="s">
        <v>1343</v>
      </c>
      <c r="D110" s="12">
        <v>45474</v>
      </c>
      <c r="E110" s="12">
        <v>45474</v>
      </c>
      <c r="F110" s="12"/>
      <c r="G110" s="13"/>
      <c r="H110" s="14" t="s">
        <v>1344</v>
      </c>
      <c r="I110" s="11" t="s">
        <v>1345</v>
      </c>
      <c r="J110" s="15" t="str">
        <f t="shared" si="13"/>
        <v>920206</v>
      </c>
      <c r="K110" s="15" t="str">
        <f t="shared" si="20"/>
        <v>02</v>
      </c>
      <c r="L110" s="15" t="str">
        <f t="shared" si="14"/>
        <v>남자</v>
      </c>
      <c r="M110" s="15">
        <f t="shared" ca="1" si="15"/>
        <v>35</v>
      </c>
      <c r="N110" s="15" t="s">
        <v>111</v>
      </c>
      <c r="O110" s="15" t="s">
        <v>112</v>
      </c>
      <c r="P110" s="11" t="s">
        <v>1346</v>
      </c>
      <c r="Q110" s="11"/>
      <c r="R110" s="11"/>
      <c r="S110" s="16"/>
      <c r="T110" s="15" t="s">
        <v>114</v>
      </c>
      <c r="U110" s="11"/>
      <c r="V110" s="15" t="str">
        <f t="shared" ca="1" si="19"/>
        <v>8년3개월</v>
      </c>
      <c r="W110" s="15" t="s">
        <v>1347</v>
      </c>
      <c r="X110" s="18" t="str">
        <f t="shared" ca="1" si="16"/>
        <v>1년7개월</v>
      </c>
      <c r="Y110" s="17" t="s">
        <v>243</v>
      </c>
      <c r="Z110" s="17" t="s">
        <v>1348</v>
      </c>
      <c r="AA110" s="14" t="s">
        <v>116</v>
      </c>
      <c r="AB110" s="16">
        <v>42419</v>
      </c>
      <c r="AC110" s="18">
        <f t="shared" ca="1" si="17"/>
        <v>8</v>
      </c>
      <c r="AD110" s="15" t="str">
        <f ca="1">IF($AA110="전문학사",IF($AC110&lt;=8,"초급",IF($AC110&lt;12,"중급",IF($AC110&lt;15,"고급",IF($AC110&gt;=15,"특급")))))</f>
        <v>초급</v>
      </c>
      <c r="AE110" s="15" t="str">
        <f t="shared" si="18"/>
        <v>미해당</v>
      </c>
      <c r="AF110" s="11"/>
      <c r="AG110" s="16"/>
      <c r="AH110" s="11" t="s">
        <v>87</v>
      </c>
      <c r="AI110" s="16">
        <v>42990</v>
      </c>
      <c r="AJ110" s="11"/>
      <c r="AK110" s="11"/>
      <c r="AL110" s="19"/>
      <c r="AM110" s="11"/>
      <c r="AN110" s="20"/>
      <c r="AO110" s="21"/>
      <c r="AP110" s="21"/>
      <c r="AQ110" s="22" t="s">
        <v>154</v>
      </c>
      <c r="AR110" s="23" t="s">
        <v>155</v>
      </c>
      <c r="AS110" s="14" t="s">
        <v>137</v>
      </c>
      <c r="AT110" s="14" t="s">
        <v>1349</v>
      </c>
      <c r="AU110" s="24"/>
      <c r="AV110" s="24"/>
      <c r="AW110" s="25" t="s">
        <v>1350</v>
      </c>
      <c r="AX110" s="24" t="s">
        <v>141</v>
      </c>
      <c r="AY110" s="24" t="s">
        <v>1182</v>
      </c>
      <c r="AZ110" s="17"/>
      <c r="BA110" s="17" t="s">
        <v>1351</v>
      </c>
      <c r="BB110" s="26" t="str">
        <f>IFERROR(VLOOKUP($AY110,[1]프로젝트현황!Y:Z,2,0),"기타")</f>
        <v>동남권</v>
      </c>
      <c r="BC110" s="23" t="str">
        <f t="shared" si="21"/>
        <v>경기도 하남시 신장로136번길 38, 지1층(덕풍동)</v>
      </c>
    </row>
    <row r="111" spans="1:55" ht="15" customHeight="1" x14ac:dyDescent="0.3">
      <c r="A111" s="10">
        <f t="shared" si="12"/>
        <v>109</v>
      </c>
      <c r="B111" s="11">
        <v>240703</v>
      </c>
      <c r="C111" s="11" t="s">
        <v>1352</v>
      </c>
      <c r="D111" s="12">
        <v>45474</v>
      </c>
      <c r="E111" s="12">
        <v>45474</v>
      </c>
      <c r="F111" s="12"/>
      <c r="G111" s="13"/>
      <c r="H111" s="14" t="s">
        <v>1353</v>
      </c>
      <c r="I111" s="11" t="s">
        <v>1354</v>
      </c>
      <c r="J111" s="15" t="str">
        <f t="shared" si="13"/>
        <v>941007</v>
      </c>
      <c r="K111" s="15" t="str">
        <f t="shared" si="20"/>
        <v>10</v>
      </c>
      <c r="L111" s="15" t="str">
        <f t="shared" si="14"/>
        <v>남자</v>
      </c>
      <c r="M111" s="15">
        <f t="shared" ca="1" si="15"/>
        <v>33</v>
      </c>
      <c r="N111" s="15" t="s">
        <v>111</v>
      </c>
      <c r="O111" s="15" t="s">
        <v>112</v>
      </c>
      <c r="P111" s="11" t="s">
        <v>1355</v>
      </c>
      <c r="Q111" s="11"/>
      <c r="R111" s="11"/>
      <c r="S111" s="16"/>
      <c r="T111" s="15" t="s">
        <v>114</v>
      </c>
      <c r="U111" s="11"/>
      <c r="V111" s="15" t="str">
        <f t="shared" ca="1" si="19"/>
        <v>4년9개월</v>
      </c>
      <c r="W111" s="15" t="s">
        <v>1356</v>
      </c>
      <c r="X111" s="18" t="str">
        <f t="shared" ca="1" si="16"/>
        <v>1년7개월</v>
      </c>
      <c r="Y111" s="17" t="s">
        <v>149</v>
      </c>
      <c r="Z111" s="17" t="s">
        <v>1357</v>
      </c>
      <c r="AA111" s="14" t="s">
        <v>116</v>
      </c>
      <c r="AB111" s="16">
        <v>42775</v>
      </c>
      <c r="AC111" s="18">
        <f t="shared" ca="1" si="17"/>
        <v>4</v>
      </c>
      <c r="AD111" s="15" t="str">
        <f ca="1">IF($AA111="전문학사",IF($AC111&lt;=8,"초급",IF($AC111&lt;12,"중급",IF($AC111&lt;15,"고급",IF($AC111&gt;=15,"특급")))))</f>
        <v>초급</v>
      </c>
      <c r="AE111" s="15" t="str">
        <f t="shared" si="18"/>
        <v>미해당</v>
      </c>
      <c r="AF111" s="11"/>
      <c r="AG111" s="16"/>
      <c r="AH111" s="11" t="s">
        <v>87</v>
      </c>
      <c r="AI111" s="16">
        <v>44798</v>
      </c>
      <c r="AJ111" s="11"/>
      <c r="AK111" s="11"/>
      <c r="AL111" s="19"/>
      <c r="AM111" s="11"/>
      <c r="AN111" s="20"/>
      <c r="AO111" s="21"/>
      <c r="AP111" s="21"/>
      <c r="AQ111" s="22" t="s">
        <v>154</v>
      </c>
      <c r="AR111" s="23" t="s">
        <v>155</v>
      </c>
      <c r="AS111" s="14" t="s">
        <v>137</v>
      </c>
      <c r="AT111" s="14" t="s">
        <v>1358</v>
      </c>
      <c r="AU111" s="24"/>
      <c r="AV111" s="24"/>
      <c r="AW111" s="25" t="s">
        <v>1359</v>
      </c>
      <c r="AX111" s="24" t="s">
        <v>141</v>
      </c>
      <c r="AY111" s="24" t="s">
        <v>773</v>
      </c>
      <c r="AZ111" s="17" t="s">
        <v>829</v>
      </c>
      <c r="BA111" s="17" t="s">
        <v>1360</v>
      </c>
      <c r="BB111" s="26" t="str">
        <f>IFERROR(VLOOKUP($AY111,[1]프로젝트현황!Y:Z,2,0),"기타")</f>
        <v>동남권</v>
      </c>
      <c r="BC111" s="23" t="str">
        <f t="shared" si="21"/>
        <v>경기도 용인시 기흥구 강남동로20, 505동 601호(구갈동,강남마을코오롱하늘채)</v>
      </c>
    </row>
    <row r="112" spans="1:55" ht="15" customHeight="1" x14ac:dyDescent="0.3">
      <c r="A112" s="10">
        <f t="shared" si="12"/>
        <v>110</v>
      </c>
      <c r="B112" s="11">
        <v>240704</v>
      </c>
      <c r="C112" s="11" t="s">
        <v>1361</v>
      </c>
      <c r="D112" s="12">
        <v>45474</v>
      </c>
      <c r="E112" s="12">
        <v>45474</v>
      </c>
      <c r="F112" s="12"/>
      <c r="G112" s="13"/>
      <c r="H112" s="14" t="s">
        <v>1362</v>
      </c>
      <c r="I112" s="11" t="s">
        <v>1363</v>
      </c>
      <c r="J112" s="15" t="str">
        <f t="shared" si="13"/>
        <v>980814</v>
      </c>
      <c r="K112" s="15" t="str">
        <f t="shared" si="20"/>
        <v>08</v>
      </c>
      <c r="L112" s="15" t="str">
        <f t="shared" si="14"/>
        <v>여자</v>
      </c>
      <c r="M112" s="15">
        <f t="shared" ca="1" si="15"/>
        <v>29</v>
      </c>
      <c r="N112" s="15" t="s">
        <v>111</v>
      </c>
      <c r="O112" s="15" t="s">
        <v>112</v>
      </c>
      <c r="P112" s="11" t="s">
        <v>1364</v>
      </c>
      <c r="Q112" s="11"/>
      <c r="R112" s="11"/>
      <c r="S112" s="16"/>
      <c r="T112" s="15" t="s">
        <v>114</v>
      </c>
      <c r="U112" s="11"/>
      <c r="V112" s="15" t="str">
        <f t="shared" ca="1" si="19"/>
        <v>3년8개월</v>
      </c>
      <c r="W112" s="15" t="s">
        <v>1365</v>
      </c>
      <c r="X112" s="18" t="str">
        <f t="shared" ca="1" si="16"/>
        <v>1년7개월</v>
      </c>
      <c r="Y112" s="17" t="s">
        <v>768</v>
      </c>
      <c r="Z112" s="17" t="s">
        <v>1366</v>
      </c>
      <c r="AA112" s="14" t="s">
        <v>171</v>
      </c>
      <c r="AB112" s="16">
        <v>44602</v>
      </c>
      <c r="AC112" s="18">
        <f t="shared" ca="1" si="17"/>
        <v>3</v>
      </c>
      <c r="AD112" s="15" t="str">
        <f ca="1">IF($AA112="학사",IF($AC112&lt;=5,"초급",IF($AC112&lt;9,"중급",IF($AC112&lt;12,"고급",IF($AC112&gt;=12,"특급")))))</f>
        <v>초급</v>
      </c>
      <c r="AE112" s="15" t="str">
        <f t="shared" si="18"/>
        <v>미해당</v>
      </c>
      <c r="AF112" s="11"/>
      <c r="AG112" s="16"/>
      <c r="AH112" s="11"/>
      <c r="AI112" s="16"/>
      <c r="AJ112" s="11"/>
      <c r="AK112" s="11"/>
      <c r="AL112" s="19"/>
      <c r="AM112" s="11"/>
      <c r="AN112" s="20"/>
      <c r="AO112" s="21"/>
      <c r="AP112" s="21"/>
      <c r="AQ112" s="22" t="s">
        <v>154</v>
      </c>
      <c r="AR112" s="23" t="s">
        <v>155</v>
      </c>
      <c r="AS112" s="14" t="s">
        <v>137</v>
      </c>
      <c r="AT112" s="14" t="s">
        <v>1367</v>
      </c>
      <c r="AU112" s="24"/>
      <c r="AV112" s="24"/>
      <c r="AW112" s="25" t="s">
        <v>1368</v>
      </c>
      <c r="AX112" s="24" t="s">
        <v>122</v>
      </c>
      <c r="AY112" s="24" t="s">
        <v>493</v>
      </c>
      <c r="AZ112" s="17"/>
      <c r="BA112" s="17" t="s">
        <v>1369</v>
      </c>
      <c r="BB112" s="26" t="str">
        <f>IFERROR(VLOOKUP($AY112,[1]프로젝트현황!Y:Z,2,0),"기타")</f>
        <v>동북권</v>
      </c>
      <c r="BC112" s="23" t="str">
        <f t="shared" si="21"/>
        <v>서울시 성동구 독서당로62길 43,10동 1304호(응봉동,대림아파트)</v>
      </c>
    </row>
    <row r="113" spans="1:55" ht="15" customHeight="1" x14ac:dyDescent="0.3">
      <c r="A113" s="10">
        <f t="shared" si="12"/>
        <v>111</v>
      </c>
      <c r="B113" s="11">
        <v>240705</v>
      </c>
      <c r="C113" s="11" t="s">
        <v>1370</v>
      </c>
      <c r="D113" s="12">
        <v>45474</v>
      </c>
      <c r="E113" s="12">
        <v>45474</v>
      </c>
      <c r="F113" s="12"/>
      <c r="G113" s="13"/>
      <c r="H113" s="14" t="s">
        <v>1371</v>
      </c>
      <c r="I113" s="11" t="s">
        <v>1372</v>
      </c>
      <c r="J113" s="15" t="str">
        <f t="shared" si="13"/>
        <v>000601</v>
      </c>
      <c r="K113" s="15" t="str">
        <f t="shared" si="20"/>
        <v>06</v>
      </c>
      <c r="L113" s="15" t="str">
        <f t="shared" si="14"/>
        <v>여자</v>
      </c>
      <c r="M113" s="15">
        <f t="shared" ca="1" si="15"/>
        <v>27</v>
      </c>
      <c r="N113" s="15" t="s">
        <v>111</v>
      </c>
      <c r="O113" s="15" t="s">
        <v>112</v>
      </c>
      <c r="P113" s="11" t="s">
        <v>1373</v>
      </c>
      <c r="Q113" s="11"/>
      <c r="R113" s="11"/>
      <c r="S113" s="16"/>
      <c r="T113" s="15" t="s">
        <v>114</v>
      </c>
      <c r="U113" s="11"/>
      <c r="V113" s="15" t="str">
        <f t="shared" ca="1" si="19"/>
        <v>2년8개월</v>
      </c>
      <c r="W113" s="15" t="s">
        <v>1374</v>
      </c>
      <c r="X113" s="18" t="str">
        <f t="shared" ca="1" si="16"/>
        <v>1년7개월</v>
      </c>
      <c r="Y113" s="17" t="s">
        <v>1375</v>
      </c>
      <c r="Z113" s="17" t="s">
        <v>1348</v>
      </c>
      <c r="AA113" s="14" t="s">
        <v>116</v>
      </c>
      <c r="AB113" s="16">
        <v>44973</v>
      </c>
      <c r="AC113" s="18">
        <f t="shared" ca="1" si="17"/>
        <v>2</v>
      </c>
      <c r="AD113" s="15" t="str">
        <f ca="1">IF($AA113="전문학사",IF($AC113&lt;=8,"초급",IF($AC113&lt;12,"중급",IF($AC113&lt;15,"고급",IF($AC113&gt;=15,"특급")))))</f>
        <v>초급</v>
      </c>
      <c r="AE113" s="15" t="str">
        <f t="shared" si="18"/>
        <v>미해당</v>
      </c>
      <c r="AF113" s="11"/>
      <c r="AG113" s="16"/>
      <c r="AH113" s="11" t="s">
        <v>87</v>
      </c>
      <c r="AI113" s="16">
        <v>44728</v>
      </c>
      <c r="AJ113" s="11"/>
      <c r="AK113" s="11"/>
      <c r="AL113" s="19"/>
      <c r="AM113" s="11"/>
      <c r="AN113" s="20"/>
      <c r="AO113" s="21"/>
      <c r="AP113" s="21"/>
      <c r="AQ113" s="22" t="s">
        <v>154</v>
      </c>
      <c r="AR113" s="23" t="s">
        <v>155</v>
      </c>
      <c r="AS113" s="14" t="s">
        <v>137</v>
      </c>
      <c r="AT113" s="14" t="s">
        <v>1376</v>
      </c>
      <c r="AU113" s="24" t="s">
        <v>176</v>
      </c>
      <c r="AV113" s="24" t="s">
        <v>1377</v>
      </c>
      <c r="AW113" s="25" t="s">
        <v>1378</v>
      </c>
      <c r="AX113" s="24" t="s">
        <v>141</v>
      </c>
      <c r="AY113" s="24" t="s">
        <v>1379</v>
      </c>
      <c r="AZ113" s="17"/>
      <c r="BA113" s="17" t="s">
        <v>1380</v>
      </c>
      <c r="BB113" s="26" t="str">
        <f>IFERROR(VLOOKUP($AY113,[1]프로젝트현황!Y:Z,2,0),"기타")</f>
        <v>기타</v>
      </c>
      <c r="BC113" s="23" t="str">
        <f t="shared" si="21"/>
        <v>경기도 동두천시 동두천로 185, 504동 1002호(생연동,부영아파트)</v>
      </c>
    </row>
    <row r="114" spans="1:55" ht="15" customHeight="1" x14ac:dyDescent="0.3">
      <c r="A114" s="10">
        <f t="shared" si="12"/>
        <v>112</v>
      </c>
      <c r="B114" s="11">
        <v>240706</v>
      </c>
      <c r="C114" s="11" t="s">
        <v>1381</v>
      </c>
      <c r="D114" s="12">
        <v>45474</v>
      </c>
      <c r="E114" s="12">
        <v>45474</v>
      </c>
      <c r="F114" s="12"/>
      <c r="G114" s="13"/>
      <c r="H114" s="14" t="s">
        <v>1382</v>
      </c>
      <c r="I114" s="11" t="s">
        <v>1383</v>
      </c>
      <c r="J114" s="15" t="str">
        <f t="shared" si="13"/>
        <v>900103</v>
      </c>
      <c r="K114" s="15" t="str">
        <f t="shared" si="20"/>
        <v>01</v>
      </c>
      <c r="L114" s="15" t="str">
        <f t="shared" si="14"/>
        <v>남자</v>
      </c>
      <c r="M114" s="15">
        <f t="shared" ca="1" si="15"/>
        <v>37</v>
      </c>
      <c r="N114" s="15" t="s">
        <v>111</v>
      </c>
      <c r="O114" s="15" t="s">
        <v>112</v>
      </c>
      <c r="P114" s="11" t="s">
        <v>1384</v>
      </c>
      <c r="Q114" s="11"/>
      <c r="R114" s="11"/>
      <c r="S114" s="16"/>
      <c r="T114" s="15" t="s">
        <v>114</v>
      </c>
      <c r="U114" s="11"/>
      <c r="V114" s="15" t="str">
        <f t="shared" ca="1" si="19"/>
        <v>4년11개월</v>
      </c>
      <c r="W114" s="15" t="s">
        <v>1385</v>
      </c>
      <c r="X114" s="18" t="str">
        <f t="shared" ca="1" si="16"/>
        <v>1년7개월</v>
      </c>
      <c r="Y114" s="17" t="s">
        <v>1386</v>
      </c>
      <c r="Z114" s="17" t="s">
        <v>1387</v>
      </c>
      <c r="AA114" s="14" t="s">
        <v>116</v>
      </c>
      <c r="AB114" s="16">
        <v>43140</v>
      </c>
      <c r="AC114" s="18">
        <f t="shared" ca="1" si="17"/>
        <v>4</v>
      </c>
      <c r="AD114" s="15" t="str">
        <f ca="1">IF($AA114="전문학사",IF($AC114&lt;=8,"초급",IF($AC114&lt;12,"중급",IF($AC114&lt;15,"고급",IF($AC114&gt;=15,"특급")))))</f>
        <v>초급</v>
      </c>
      <c r="AE114" s="15" t="str">
        <f t="shared" si="18"/>
        <v>미해당</v>
      </c>
      <c r="AF114" s="11"/>
      <c r="AG114" s="16"/>
      <c r="AH114" s="11"/>
      <c r="AI114" s="16"/>
      <c r="AJ114" s="11"/>
      <c r="AK114" s="11"/>
      <c r="AL114" s="19"/>
      <c r="AM114" s="11"/>
      <c r="AN114" s="20"/>
      <c r="AO114" s="21"/>
      <c r="AP114" s="21"/>
      <c r="AQ114" s="22" t="s">
        <v>154</v>
      </c>
      <c r="AR114" s="23" t="s">
        <v>155</v>
      </c>
      <c r="AS114" s="14" t="s">
        <v>137</v>
      </c>
      <c r="AT114" s="14" t="s">
        <v>1388</v>
      </c>
      <c r="AU114" s="24"/>
      <c r="AV114" s="24"/>
      <c r="AW114" s="25" t="s">
        <v>1389</v>
      </c>
      <c r="AX114" s="24" t="s">
        <v>141</v>
      </c>
      <c r="AY114" s="24" t="s">
        <v>224</v>
      </c>
      <c r="AZ114" s="17" t="s">
        <v>1032</v>
      </c>
      <c r="BA114" s="17" t="s">
        <v>1390</v>
      </c>
      <c r="BB114" s="26" t="str">
        <f>IFERROR(VLOOKUP($AY114,[1]프로젝트현황!Y:Z,2,0),"기타")</f>
        <v>동남권</v>
      </c>
      <c r="BC114" s="23" t="str">
        <f t="shared" si="21"/>
        <v>경기도 성남시 분당구 느티로 22, A동 616호(정자동, 백궁동양파라곤)</v>
      </c>
    </row>
    <row r="115" spans="1:55" ht="15" customHeight="1" x14ac:dyDescent="0.3">
      <c r="A115" s="10">
        <f t="shared" si="12"/>
        <v>113</v>
      </c>
      <c r="B115" s="11">
        <v>240707</v>
      </c>
      <c r="C115" s="11" t="s">
        <v>1391</v>
      </c>
      <c r="D115" s="12">
        <v>45475</v>
      </c>
      <c r="E115" s="12">
        <v>45475</v>
      </c>
      <c r="F115" s="12"/>
      <c r="G115" s="13"/>
      <c r="H115" s="14" t="s">
        <v>1392</v>
      </c>
      <c r="I115" s="11" t="s">
        <v>1393</v>
      </c>
      <c r="J115" s="15" t="str">
        <f t="shared" si="13"/>
        <v>011011</v>
      </c>
      <c r="K115" s="15" t="str">
        <f t="shared" si="20"/>
        <v>10</v>
      </c>
      <c r="L115" s="15" t="str">
        <f t="shared" si="14"/>
        <v>남자</v>
      </c>
      <c r="M115" s="15">
        <f t="shared" ca="1" si="15"/>
        <v>26</v>
      </c>
      <c r="N115" s="15" t="s">
        <v>111</v>
      </c>
      <c r="O115" s="15" t="s">
        <v>112</v>
      </c>
      <c r="P115" s="11" t="s">
        <v>1394</v>
      </c>
      <c r="Q115" s="11"/>
      <c r="R115" s="11"/>
      <c r="S115" s="16"/>
      <c r="T115" s="15" t="s">
        <v>1272</v>
      </c>
      <c r="U115" s="11"/>
      <c r="V115" s="15" t="str">
        <f t="shared" ca="1" si="19"/>
        <v>1년7개월</v>
      </c>
      <c r="W115" s="15" t="s">
        <v>428</v>
      </c>
      <c r="X115" s="18" t="str">
        <f t="shared" ca="1" si="16"/>
        <v>1년7개월</v>
      </c>
      <c r="Y115" s="17" t="s">
        <v>1395</v>
      </c>
      <c r="Z115" s="17" t="s">
        <v>1396</v>
      </c>
      <c r="AA115" s="14" t="s">
        <v>116</v>
      </c>
      <c r="AB115" s="16">
        <v>45338</v>
      </c>
      <c r="AC115" s="18">
        <f t="shared" ca="1" si="17"/>
        <v>1</v>
      </c>
      <c r="AD115" s="15" t="str">
        <f ca="1">IF($AA115="전문학사",IF($AC115&lt;=8,"초급",IF($AC115&lt;12,"중급",IF($AC115&lt;15,"고급",IF($AC115&gt;=15,"특급")))))</f>
        <v>초급</v>
      </c>
      <c r="AE115" s="15" t="str">
        <f t="shared" si="18"/>
        <v>미해당</v>
      </c>
      <c r="AF115" s="11"/>
      <c r="AG115" s="16"/>
      <c r="AH115" s="11"/>
      <c r="AI115" s="16"/>
      <c r="AJ115" s="11"/>
      <c r="AK115" s="11"/>
      <c r="AL115" s="19"/>
      <c r="AM115" s="11"/>
      <c r="AN115" s="20"/>
      <c r="AO115" s="21"/>
      <c r="AP115" s="21"/>
      <c r="AQ115" s="22" t="s">
        <v>154</v>
      </c>
      <c r="AR115" s="23" t="s">
        <v>155</v>
      </c>
      <c r="AS115" s="14" t="s">
        <v>137</v>
      </c>
      <c r="AT115" s="14" t="s">
        <v>1397</v>
      </c>
      <c r="AU115" s="24"/>
      <c r="AV115" s="24"/>
      <c r="AW115" s="25" t="s">
        <v>1398</v>
      </c>
      <c r="AX115" s="24" t="s">
        <v>141</v>
      </c>
      <c r="AY115" s="24" t="s">
        <v>1277</v>
      </c>
      <c r="AZ115" s="17"/>
      <c r="BA115" s="17" t="s">
        <v>1399</v>
      </c>
      <c r="BB115" s="26" t="str">
        <f>IFERROR(VLOOKUP($AY115,[1]프로젝트현황!Y:Z,2,0),"기타")</f>
        <v>동남권</v>
      </c>
      <c r="BC115" s="23" t="str">
        <f t="shared" si="21"/>
        <v>경기도 오산시 온사로290번길 33,라동 103호(오산동,은하연림)</v>
      </c>
    </row>
    <row r="116" spans="1:55" ht="15" customHeight="1" x14ac:dyDescent="0.3">
      <c r="A116" s="10">
        <f t="shared" si="12"/>
        <v>114</v>
      </c>
      <c r="B116" s="11">
        <v>240708</v>
      </c>
      <c r="C116" s="11" t="s">
        <v>1400</v>
      </c>
      <c r="D116" s="12">
        <v>45481</v>
      </c>
      <c r="E116" s="12">
        <v>45481</v>
      </c>
      <c r="F116" s="12"/>
      <c r="G116" s="13"/>
      <c r="H116" s="14" t="s">
        <v>1401</v>
      </c>
      <c r="I116" s="11" t="s">
        <v>1402</v>
      </c>
      <c r="J116" s="15" t="str">
        <f t="shared" si="13"/>
        <v>960509</v>
      </c>
      <c r="K116" s="15" t="str">
        <f t="shared" si="20"/>
        <v>05</v>
      </c>
      <c r="L116" s="15" t="str">
        <f t="shared" si="14"/>
        <v>남자</v>
      </c>
      <c r="M116" s="15">
        <f t="shared" ca="1" si="15"/>
        <v>31</v>
      </c>
      <c r="N116" s="15" t="s">
        <v>111</v>
      </c>
      <c r="O116" s="15" t="s">
        <v>112</v>
      </c>
      <c r="P116" s="11" t="s">
        <v>1403</v>
      </c>
      <c r="Q116" s="11"/>
      <c r="R116" s="11"/>
      <c r="S116" s="16"/>
      <c r="T116" s="15" t="s">
        <v>114</v>
      </c>
      <c r="U116" s="11"/>
      <c r="V116" s="15" t="str">
        <f t="shared" ca="1" si="19"/>
        <v>3년4개월</v>
      </c>
      <c r="W116" s="15" t="s">
        <v>360</v>
      </c>
      <c r="X116" s="18" t="str">
        <f t="shared" ca="1" si="16"/>
        <v>1년7개월</v>
      </c>
      <c r="Y116" s="17" t="s">
        <v>1404</v>
      </c>
      <c r="Z116" s="17" t="s">
        <v>856</v>
      </c>
      <c r="AA116" s="14" t="s">
        <v>171</v>
      </c>
      <c r="AB116" s="16">
        <v>44609</v>
      </c>
      <c r="AC116" s="18">
        <f t="shared" ca="1" si="17"/>
        <v>3</v>
      </c>
      <c r="AD116" s="15" t="str">
        <f ca="1">IF($AA116="학사",IF($AC116&lt;=5,"초급",IF($AC116&lt;9,"중급",IF($AC116&lt;12,"고급",IF($AC116&gt;=12,"특급")))))</f>
        <v>초급</v>
      </c>
      <c r="AE116" s="15" t="str">
        <f t="shared" si="18"/>
        <v>미해당</v>
      </c>
      <c r="AF116" s="11"/>
      <c r="AG116" s="16"/>
      <c r="AH116" s="11" t="s">
        <v>87</v>
      </c>
      <c r="AI116" s="16" t="s">
        <v>1405</v>
      </c>
      <c r="AJ116" s="11"/>
      <c r="AK116" s="11"/>
      <c r="AL116" s="19"/>
      <c r="AM116" s="11"/>
      <c r="AN116" s="20"/>
      <c r="AO116" s="21"/>
      <c r="AP116" s="21"/>
      <c r="AQ116" s="22" t="s">
        <v>154</v>
      </c>
      <c r="AR116" s="23" t="s">
        <v>155</v>
      </c>
      <c r="AS116" s="14" t="s">
        <v>137</v>
      </c>
      <c r="AT116" s="14" t="s">
        <v>1406</v>
      </c>
      <c r="AU116" s="24"/>
      <c r="AV116" s="24"/>
      <c r="AW116" s="25" t="s">
        <v>1407</v>
      </c>
      <c r="AX116" s="24" t="s">
        <v>141</v>
      </c>
      <c r="AY116" s="24" t="s">
        <v>773</v>
      </c>
      <c r="AZ116" s="17" t="s">
        <v>829</v>
      </c>
      <c r="BA116" s="17" t="s">
        <v>1408</v>
      </c>
      <c r="BB116" s="26" t="str">
        <f>IFERROR(VLOOKUP($AY116,[1]프로젝트현황!Y:Z,2,0),"기타")</f>
        <v>동남권</v>
      </c>
      <c r="BC116" s="23" t="str">
        <f t="shared" si="21"/>
        <v>경기도 용인시 기흥구 신촌로73번길 5-7, 203호(보정동)</v>
      </c>
    </row>
    <row r="117" spans="1:55" ht="15" customHeight="1" x14ac:dyDescent="0.3">
      <c r="A117" s="10">
        <f t="shared" si="12"/>
        <v>115</v>
      </c>
      <c r="B117" s="11">
        <v>240709</v>
      </c>
      <c r="C117" s="11" t="s">
        <v>1409</v>
      </c>
      <c r="D117" s="12">
        <v>45488</v>
      </c>
      <c r="E117" s="12">
        <v>45558</v>
      </c>
      <c r="F117" s="12"/>
      <c r="G117" s="13"/>
      <c r="H117" s="14" t="s">
        <v>1410</v>
      </c>
      <c r="I117" s="11" t="s">
        <v>1411</v>
      </c>
      <c r="J117" s="15" t="str">
        <f t="shared" si="13"/>
        <v>781205</v>
      </c>
      <c r="K117" s="15" t="str">
        <f t="shared" si="20"/>
        <v>12</v>
      </c>
      <c r="L117" s="15" t="str">
        <f t="shared" si="14"/>
        <v>여자</v>
      </c>
      <c r="M117" s="15">
        <f t="shared" ca="1" si="15"/>
        <v>49</v>
      </c>
      <c r="N117" s="15" t="s">
        <v>111</v>
      </c>
      <c r="O117" s="15" t="s">
        <v>112</v>
      </c>
      <c r="P117" s="11" t="s">
        <v>1412</v>
      </c>
      <c r="Q117" s="11"/>
      <c r="R117" s="11"/>
      <c r="S117" s="16"/>
      <c r="T117" s="15" t="s">
        <v>114</v>
      </c>
      <c r="U117" s="11"/>
      <c r="V117" s="15" t="str">
        <f t="shared" si="19"/>
        <v>7년8개월</v>
      </c>
      <c r="W117" s="15" t="s">
        <v>1413</v>
      </c>
      <c r="X117" s="18" t="s">
        <v>1414</v>
      </c>
      <c r="Y117" s="17" t="s">
        <v>149</v>
      </c>
      <c r="Z117" s="17" t="s">
        <v>1415</v>
      </c>
      <c r="AA117" s="14" t="s">
        <v>116</v>
      </c>
      <c r="AB117" s="16">
        <v>36574</v>
      </c>
      <c r="AC117" s="18">
        <f t="shared" si="17"/>
        <v>7</v>
      </c>
      <c r="AD117" s="15" t="str">
        <f>IF($AA117="전문학사",IF($AC117&lt;=8,"초급",IF($AC117&lt;12,"중급",IF($AC117&lt;15,"고급",IF($AC117&gt;=15,"특급")))))</f>
        <v>초급</v>
      </c>
      <c r="AE117" s="15" t="s">
        <v>1416</v>
      </c>
      <c r="AF117" s="11"/>
      <c r="AG117" s="16"/>
      <c r="AH117" s="11"/>
      <c r="AI117" s="16"/>
      <c r="AJ117" s="11"/>
      <c r="AK117" s="11"/>
      <c r="AL117" s="19"/>
      <c r="AM117" s="11"/>
      <c r="AN117" s="20"/>
      <c r="AO117" s="21"/>
      <c r="AP117" s="21"/>
      <c r="AQ117" s="22" t="s">
        <v>154</v>
      </c>
      <c r="AR117" s="23" t="s">
        <v>155</v>
      </c>
      <c r="AS117" s="14" t="s">
        <v>137</v>
      </c>
      <c r="AT117" s="14" t="s">
        <v>1417</v>
      </c>
      <c r="AU117" s="24"/>
      <c r="AV117" s="24"/>
      <c r="AW117" s="25" t="s">
        <v>1418</v>
      </c>
      <c r="AX117" s="24" t="s">
        <v>122</v>
      </c>
      <c r="AY117" s="24" t="s">
        <v>1419</v>
      </c>
      <c r="AZ117" s="17"/>
      <c r="BA117" s="17" t="s">
        <v>1420</v>
      </c>
      <c r="BB117" s="26" t="str">
        <f>IFERROR(VLOOKUP($AY117,[1]프로젝트현황!Y:Z,2,0),"기타")</f>
        <v>동남권</v>
      </c>
      <c r="BC117" s="23" t="str">
        <f t="shared" si="21"/>
        <v>서울시 강동구 상암로79길 88, 708동 2801호(상일동,고덕롯데캐슬베네루체)</v>
      </c>
    </row>
    <row r="118" spans="1:55" ht="15" customHeight="1" x14ac:dyDescent="0.3">
      <c r="A118" s="10">
        <f t="shared" si="12"/>
        <v>116</v>
      </c>
      <c r="B118" s="11">
        <v>240710</v>
      </c>
      <c r="C118" s="11" t="s">
        <v>1421</v>
      </c>
      <c r="D118" s="12">
        <v>45502</v>
      </c>
      <c r="E118" s="12">
        <v>45502</v>
      </c>
      <c r="F118" s="12"/>
      <c r="G118" s="13"/>
      <c r="H118" s="14" t="s">
        <v>1422</v>
      </c>
      <c r="I118" s="11" t="s">
        <v>1423</v>
      </c>
      <c r="J118" s="15" t="str">
        <f t="shared" si="13"/>
        <v>930812</v>
      </c>
      <c r="K118" s="15" t="str">
        <f t="shared" si="20"/>
        <v>08</v>
      </c>
      <c r="L118" s="15" t="str">
        <f t="shared" si="14"/>
        <v>남자</v>
      </c>
      <c r="M118" s="15">
        <f t="shared" ca="1" si="15"/>
        <v>34</v>
      </c>
      <c r="N118" s="15" t="s">
        <v>111</v>
      </c>
      <c r="O118" s="15" t="s">
        <v>112</v>
      </c>
      <c r="P118" s="11" t="s">
        <v>1424</v>
      </c>
      <c r="Q118" s="11"/>
      <c r="R118" s="11"/>
      <c r="S118" s="16"/>
      <c r="T118" s="15" t="s">
        <v>114</v>
      </c>
      <c r="U118" s="11"/>
      <c r="V118" s="15" t="str">
        <f t="shared" si="19"/>
        <v>3년5개월</v>
      </c>
      <c r="W118" s="15" t="s">
        <v>1385</v>
      </c>
      <c r="X118" s="18" t="s">
        <v>1414</v>
      </c>
      <c r="Y118" s="17" t="s">
        <v>1425</v>
      </c>
      <c r="Z118" s="17" t="s">
        <v>1040</v>
      </c>
      <c r="AA118" s="14" t="s">
        <v>171</v>
      </c>
      <c r="AB118" s="16">
        <v>43509</v>
      </c>
      <c r="AC118" s="18">
        <f t="shared" si="17"/>
        <v>3</v>
      </c>
      <c r="AD118" s="15" t="str">
        <f>IF($AA118="학사",IF($AC118&lt;=5,"초급",IF($AC118&lt;9,"중급",IF($AC118&lt;12,"고급",IF($AC118&gt;=12,"특급")))))</f>
        <v>초급</v>
      </c>
      <c r="AE118" s="15" t="str">
        <f t="shared" ref="AE118:AE181" si="23">IF(ISNUMBER(SEARCH("산업기사",$AL118)),IF($AC118&gt;=13,"특급",IF($AC118&gt;=10,"고급",IF($AC118&gt;=7,"중급","초급"))),IF(ISNUMBER(SEARCH("기사",$AJ118)),IF($AC118&gt;=10,"특급",IF($AC118&gt;=7,"고급",IF($AC118&gt;=4,"중급","초급"))),"미해당"))</f>
        <v>미해당</v>
      </c>
      <c r="AF118" s="11"/>
      <c r="AG118" s="16"/>
      <c r="AH118" s="11"/>
      <c r="AI118" s="16"/>
      <c r="AJ118" s="11"/>
      <c r="AK118" s="11"/>
      <c r="AL118" s="19"/>
      <c r="AM118" s="11"/>
      <c r="AN118" s="20"/>
      <c r="AO118" s="21"/>
      <c r="AP118" s="21"/>
      <c r="AQ118" s="22" t="s">
        <v>154</v>
      </c>
      <c r="AR118" s="23" t="s">
        <v>155</v>
      </c>
      <c r="AS118" s="14" t="s">
        <v>137</v>
      </c>
      <c r="AT118" s="14" t="s">
        <v>1426</v>
      </c>
      <c r="AU118" s="24" t="s">
        <v>157</v>
      </c>
      <c r="AV118" s="24" t="s">
        <v>1427</v>
      </c>
      <c r="AW118" s="25" t="s">
        <v>1428</v>
      </c>
      <c r="AX118" s="24" t="s">
        <v>122</v>
      </c>
      <c r="AY118" s="24" t="s">
        <v>278</v>
      </c>
      <c r="AZ118" s="17"/>
      <c r="BA118" s="17" t="s">
        <v>1429</v>
      </c>
      <c r="BB118" s="26" t="str">
        <f>IFERROR(VLOOKUP($AY118,[1]프로젝트현황!Y:Z,2,0),"기타")</f>
        <v>동남권</v>
      </c>
      <c r="BC118" s="23" t="str">
        <f t="shared" si="21"/>
        <v>서울시 서초구 효령로 22, 602호 (방배동, 멤버스뷰)</v>
      </c>
    </row>
    <row r="119" spans="1:55" ht="15" customHeight="1" x14ac:dyDescent="0.3">
      <c r="A119" s="10">
        <f t="shared" si="12"/>
        <v>117</v>
      </c>
      <c r="B119" s="11">
        <v>240804</v>
      </c>
      <c r="C119" s="11" t="s">
        <v>1430</v>
      </c>
      <c r="D119" s="12">
        <v>45516</v>
      </c>
      <c r="E119" s="12">
        <v>45516</v>
      </c>
      <c r="F119" s="12"/>
      <c r="G119" s="13"/>
      <c r="H119" s="14" t="s">
        <v>1431</v>
      </c>
      <c r="I119" s="11" t="s">
        <v>1432</v>
      </c>
      <c r="J119" s="15" t="str">
        <f t="shared" si="13"/>
        <v>000104</v>
      </c>
      <c r="K119" s="15" t="str">
        <f t="shared" si="20"/>
        <v>01</v>
      </c>
      <c r="L119" s="15" t="str">
        <f t="shared" si="14"/>
        <v>남자</v>
      </c>
      <c r="M119" s="15">
        <f t="shared" ca="1" si="15"/>
        <v>27</v>
      </c>
      <c r="N119" s="15" t="s">
        <v>111</v>
      </c>
      <c r="O119" s="15" t="s">
        <v>112</v>
      </c>
      <c r="P119" s="11" t="s">
        <v>1433</v>
      </c>
      <c r="Q119" s="11"/>
      <c r="R119" s="11"/>
      <c r="S119" s="16"/>
      <c r="T119" s="15" t="s">
        <v>114</v>
      </c>
      <c r="U119" s="11"/>
      <c r="V119" s="15" t="str">
        <f t="shared" ca="1" si="19"/>
        <v>1년5개월</v>
      </c>
      <c r="W119" s="15" t="s">
        <v>428</v>
      </c>
      <c r="X119" s="18" t="str">
        <f t="shared" ref="X119:X182" ca="1" si="24">DATEDIF($D119,TODAY(),"y")&amp;"년"&amp;DATEDIF($D119,TODAY(),"ym")&amp;"개월"</f>
        <v>1년5개월</v>
      </c>
      <c r="Y119" s="17" t="s">
        <v>337</v>
      </c>
      <c r="Z119" s="17" t="s">
        <v>338</v>
      </c>
      <c r="AA119" s="14" t="s">
        <v>116</v>
      </c>
      <c r="AB119" s="16">
        <v>45338</v>
      </c>
      <c r="AC119" s="18">
        <f t="shared" ca="1" si="17"/>
        <v>1</v>
      </c>
      <c r="AD119" s="15" t="str">
        <f ca="1">IF($AA119="전문학사",IF($AC119&lt;=8,"초급",IF($AC119&lt;12,"중급",IF($AC119&lt;15,"고급",IF($AC119&gt;=15,"특급")))))</f>
        <v>초급</v>
      </c>
      <c r="AE119" s="15" t="str">
        <f t="shared" si="23"/>
        <v>미해당</v>
      </c>
      <c r="AF119" s="11"/>
      <c r="AG119" s="16"/>
      <c r="AH119" s="11"/>
      <c r="AI119" s="16"/>
      <c r="AJ119" s="11"/>
      <c r="AK119" s="11"/>
      <c r="AL119" s="19"/>
      <c r="AM119" s="11"/>
      <c r="AN119" s="20"/>
      <c r="AO119" s="21"/>
      <c r="AP119" s="21"/>
      <c r="AQ119" s="22" t="s">
        <v>154</v>
      </c>
      <c r="AR119" s="23" t="s">
        <v>155</v>
      </c>
      <c r="AS119" s="14" t="s">
        <v>137</v>
      </c>
      <c r="AT119" s="14" t="s">
        <v>1434</v>
      </c>
      <c r="AU119" s="24"/>
      <c r="AV119" s="24"/>
      <c r="AW119" s="25" t="s">
        <v>1435</v>
      </c>
      <c r="AX119" s="24" t="s">
        <v>141</v>
      </c>
      <c r="AY119" s="24" t="s">
        <v>179</v>
      </c>
      <c r="AZ119" s="17" t="s">
        <v>1436</v>
      </c>
      <c r="BA119" s="17" t="s">
        <v>1437</v>
      </c>
      <c r="BB119" s="26" t="str">
        <f>IFERROR(VLOOKUP($AY119,[1]프로젝트현황!Y:Z,2,0),"기타")</f>
        <v>서남권</v>
      </c>
      <c r="BC119" s="23" t="str">
        <f t="shared" si="21"/>
        <v>경기도 안산시 상록구 본삼로8, 110동 104호(본오동,본오주공아파트)</v>
      </c>
    </row>
    <row r="120" spans="1:55" ht="15" customHeight="1" x14ac:dyDescent="0.3">
      <c r="A120" s="10">
        <f t="shared" si="12"/>
        <v>118</v>
      </c>
      <c r="B120" s="11">
        <v>240805</v>
      </c>
      <c r="C120" s="11" t="s">
        <v>1438</v>
      </c>
      <c r="D120" s="12">
        <v>45523</v>
      </c>
      <c r="E120" s="12">
        <v>45523</v>
      </c>
      <c r="F120" s="12"/>
      <c r="G120" s="13"/>
      <c r="H120" s="14" t="s">
        <v>1439</v>
      </c>
      <c r="I120" s="11" t="s">
        <v>1440</v>
      </c>
      <c r="J120" s="15" t="str">
        <f t="shared" si="13"/>
        <v>960104</v>
      </c>
      <c r="K120" s="15" t="str">
        <f t="shared" si="20"/>
        <v>01</v>
      </c>
      <c r="L120" s="15" t="str">
        <f t="shared" si="14"/>
        <v>남자</v>
      </c>
      <c r="M120" s="15">
        <f t="shared" ca="1" si="15"/>
        <v>31</v>
      </c>
      <c r="N120" s="15" t="s">
        <v>111</v>
      </c>
      <c r="O120" s="15" t="s">
        <v>112</v>
      </c>
      <c r="P120" s="11" t="s">
        <v>1441</v>
      </c>
      <c r="Q120" s="11"/>
      <c r="R120" s="11"/>
      <c r="S120" s="16"/>
      <c r="T120" s="15" t="s">
        <v>114</v>
      </c>
      <c r="U120" s="11"/>
      <c r="V120" s="15" t="str">
        <f t="shared" ca="1" si="19"/>
        <v>1년5개월</v>
      </c>
      <c r="W120" s="15" t="s">
        <v>428</v>
      </c>
      <c r="X120" s="18" t="str">
        <f t="shared" ca="1" si="24"/>
        <v>1년5개월</v>
      </c>
      <c r="Y120" s="17" t="s">
        <v>855</v>
      </c>
      <c r="Z120" s="17" t="s">
        <v>1442</v>
      </c>
      <c r="AA120" s="14" t="s">
        <v>116</v>
      </c>
      <c r="AB120" s="16">
        <v>44246</v>
      </c>
      <c r="AC120" s="18">
        <f t="shared" ca="1" si="17"/>
        <v>1</v>
      </c>
      <c r="AD120" s="15" t="str">
        <f ca="1">IF($AA120="전문학사",IF($AC120&lt;=8,"초급",IF($AC120&lt;12,"중급",IF($AC120&lt;15,"고급",IF($AC120&gt;=15,"특급")))))</f>
        <v>초급</v>
      </c>
      <c r="AE120" s="15" t="str">
        <f t="shared" si="23"/>
        <v>미해당</v>
      </c>
      <c r="AF120" s="11"/>
      <c r="AG120" s="16"/>
      <c r="AH120" s="11"/>
      <c r="AI120" s="16"/>
      <c r="AJ120" s="11"/>
      <c r="AK120" s="11"/>
      <c r="AL120" s="19"/>
      <c r="AM120" s="11"/>
      <c r="AN120" s="20"/>
      <c r="AO120" s="21"/>
      <c r="AP120" s="21"/>
      <c r="AQ120" s="22" t="s">
        <v>154</v>
      </c>
      <c r="AR120" s="23" t="s">
        <v>155</v>
      </c>
      <c r="AS120" s="14" t="s">
        <v>137</v>
      </c>
      <c r="AT120" s="14" t="s">
        <v>1443</v>
      </c>
      <c r="AU120" s="24"/>
      <c r="AV120" s="24"/>
      <c r="AW120" s="25" t="s">
        <v>1444</v>
      </c>
      <c r="AX120" s="24" t="s">
        <v>122</v>
      </c>
      <c r="AY120" s="24" t="s">
        <v>532</v>
      </c>
      <c r="AZ120" s="17"/>
      <c r="BA120" s="17" t="s">
        <v>1445</v>
      </c>
      <c r="BB120" s="26" t="str">
        <f>IFERROR(VLOOKUP($AY120,[1]프로젝트현황!Y:Z,2,0),"기타")</f>
        <v>동북권</v>
      </c>
      <c r="BC120" s="23" t="str">
        <f t="shared" si="21"/>
        <v>서울시 광진구 아차산로29길 52-10</v>
      </c>
    </row>
    <row r="121" spans="1:55" ht="15" customHeight="1" x14ac:dyDescent="0.3">
      <c r="A121" s="10">
        <f t="shared" si="12"/>
        <v>119</v>
      </c>
      <c r="B121" s="11">
        <v>240807</v>
      </c>
      <c r="C121" s="11" t="s">
        <v>1446</v>
      </c>
      <c r="D121" s="12">
        <v>45523</v>
      </c>
      <c r="E121" s="12">
        <v>45523</v>
      </c>
      <c r="F121" s="12"/>
      <c r="G121" s="13"/>
      <c r="H121" s="14" t="s">
        <v>1447</v>
      </c>
      <c r="I121" s="11" t="s">
        <v>1448</v>
      </c>
      <c r="J121" s="15" t="str">
        <f t="shared" si="13"/>
        <v>950107</v>
      </c>
      <c r="K121" s="15" t="str">
        <f t="shared" si="20"/>
        <v>01</v>
      </c>
      <c r="L121" s="15" t="str">
        <f t="shared" si="14"/>
        <v>남자</v>
      </c>
      <c r="M121" s="15">
        <f t="shared" ca="1" si="15"/>
        <v>32</v>
      </c>
      <c r="N121" s="15" t="s">
        <v>111</v>
      </c>
      <c r="O121" s="15" t="s">
        <v>112</v>
      </c>
      <c r="P121" s="11" t="s">
        <v>1449</v>
      </c>
      <c r="Q121" s="11"/>
      <c r="R121" s="11"/>
      <c r="S121" s="16"/>
      <c r="T121" s="15" t="s">
        <v>114</v>
      </c>
      <c r="U121" s="11"/>
      <c r="V121" s="15" t="str">
        <f t="shared" ca="1" si="19"/>
        <v>1년5개월</v>
      </c>
      <c r="W121" s="15" t="s">
        <v>428</v>
      </c>
      <c r="X121" s="18" t="str">
        <f t="shared" ca="1" si="24"/>
        <v>1년5개월</v>
      </c>
      <c r="Y121" s="17" t="s">
        <v>1450</v>
      </c>
      <c r="Z121" s="17" t="s">
        <v>803</v>
      </c>
      <c r="AA121" s="14" t="s">
        <v>171</v>
      </c>
      <c r="AB121" s="16">
        <v>44249</v>
      </c>
      <c r="AC121" s="18">
        <f t="shared" ca="1" si="17"/>
        <v>1</v>
      </c>
      <c r="AD121" s="15" t="str">
        <f ca="1">IF($AA121="학사",IF($AC121&lt;=5,"초급",IF($AC121&lt;9,"중급",IF($AC121&lt;12,"고급",IF($AC121&gt;=12,"특급")))))</f>
        <v>초급</v>
      </c>
      <c r="AE121" s="15" t="str">
        <f t="shared" si="23"/>
        <v>미해당</v>
      </c>
      <c r="AF121" s="11"/>
      <c r="AG121" s="16"/>
      <c r="AH121" s="11"/>
      <c r="AI121" s="16"/>
      <c r="AJ121" s="11"/>
      <c r="AK121" s="11"/>
      <c r="AL121" s="19"/>
      <c r="AM121" s="11"/>
      <c r="AN121" s="20"/>
      <c r="AO121" s="21"/>
      <c r="AP121" s="21"/>
      <c r="AQ121" s="22" t="s">
        <v>154</v>
      </c>
      <c r="AR121" s="23" t="s">
        <v>155</v>
      </c>
      <c r="AS121" s="14" t="s">
        <v>137</v>
      </c>
      <c r="AT121" s="14" t="s">
        <v>1451</v>
      </c>
      <c r="AU121" s="24"/>
      <c r="AV121" s="24"/>
      <c r="AW121" s="25" t="s">
        <v>1452</v>
      </c>
      <c r="AX121" s="24" t="s">
        <v>122</v>
      </c>
      <c r="AY121" s="24" t="s">
        <v>291</v>
      </c>
      <c r="AZ121" s="17"/>
      <c r="BA121" s="17" t="s">
        <v>1453</v>
      </c>
      <c r="BB121" s="26" t="str">
        <f>IFERROR(VLOOKUP($AY121,[1]프로젝트현황!Y:Z,2,0),"기타")</f>
        <v>서남권</v>
      </c>
      <c r="BC121" s="23" t="str">
        <f t="shared" si="21"/>
        <v>서울시 강서구 공항대로61길 60, 103동 601호(염창동,태영송화아파트)</v>
      </c>
    </row>
    <row r="122" spans="1:55" ht="15" customHeight="1" x14ac:dyDescent="0.3">
      <c r="A122" s="10">
        <f t="shared" si="12"/>
        <v>120</v>
      </c>
      <c r="B122" s="11">
        <v>240809</v>
      </c>
      <c r="C122" s="11" t="s">
        <v>1454</v>
      </c>
      <c r="D122" s="12">
        <v>45530</v>
      </c>
      <c r="E122" s="12">
        <v>45530</v>
      </c>
      <c r="F122" s="12"/>
      <c r="G122" s="13"/>
      <c r="H122" s="14" t="s">
        <v>1455</v>
      </c>
      <c r="I122" s="11" t="s">
        <v>1456</v>
      </c>
      <c r="J122" s="15" t="str">
        <f t="shared" si="13"/>
        <v>990322</v>
      </c>
      <c r="K122" s="15" t="str">
        <f t="shared" si="20"/>
        <v>03</v>
      </c>
      <c r="L122" s="15" t="str">
        <f t="shared" si="14"/>
        <v>여자</v>
      </c>
      <c r="M122" s="15">
        <f t="shared" ca="1" si="15"/>
        <v>28</v>
      </c>
      <c r="N122" s="15" t="s">
        <v>111</v>
      </c>
      <c r="O122" s="15" t="s">
        <v>112</v>
      </c>
      <c r="P122" s="11" t="s">
        <v>1457</v>
      </c>
      <c r="Q122" s="11"/>
      <c r="R122" s="11"/>
      <c r="S122" s="16"/>
      <c r="T122" s="15" t="s">
        <v>114</v>
      </c>
      <c r="U122" s="11"/>
      <c r="V122" s="15" t="str">
        <f t="shared" ca="1" si="19"/>
        <v>4년2개월</v>
      </c>
      <c r="W122" s="15" t="s">
        <v>1458</v>
      </c>
      <c r="X122" s="18" t="str">
        <f t="shared" ca="1" si="24"/>
        <v>1년5개월</v>
      </c>
      <c r="Y122" s="17" t="s">
        <v>1459</v>
      </c>
      <c r="Z122" s="17" t="s">
        <v>1460</v>
      </c>
      <c r="AA122" s="14" t="s">
        <v>116</v>
      </c>
      <c r="AB122" s="16">
        <v>44246</v>
      </c>
      <c r="AC122" s="18">
        <f t="shared" ca="1" si="17"/>
        <v>4</v>
      </c>
      <c r="AD122" s="15" t="str">
        <f ca="1">IF($AA122="전문학사",IF($AC122&lt;=8,"초급",IF($AC122&lt;12,"중급",IF($AC122&lt;15,"고급",IF($AC122&gt;=15,"특급")))))</f>
        <v>초급</v>
      </c>
      <c r="AE122" s="15" t="str">
        <f t="shared" si="23"/>
        <v>미해당</v>
      </c>
      <c r="AF122" s="11"/>
      <c r="AG122" s="16"/>
      <c r="AH122" s="11"/>
      <c r="AI122" s="16"/>
      <c r="AJ122" s="11"/>
      <c r="AK122" s="11"/>
      <c r="AL122" s="19"/>
      <c r="AM122" s="11"/>
      <c r="AN122" s="20"/>
      <c r="AO122" s="21"/>
      <c r="AP122" s="21"/>
      <c r="AQ122" s="22" t="s">
        <v>154</v>
      </c>
      <c r="AR122" s="23" t="s">
        <v>155</v>
      </c>
      <c r="AS122" s="14" t="s">
        <v>137</v>
      </c>
      <c r="AT122" s="14" t="s">
        <v>1461</v>
      </c>
      <c r="AU122" s="24"/>
      <c r="AV122" s="24"/>
      <c r="AW122" s="25" t="s">
        <v>1462</v>
      </c>
      <c r="AX122" s="24" t="s">
        <v>141</v>
      </c>
      <c r="AY122" s="24" t="s">
        <v>249</v>
      </c>
      <c r="AZ122" s="17" t="s">
        <v>250</v>
      </c>
      <c r="BA122" s="17" t="s">
        <v>1463</v>
      </c>
      <c r="BB122" s="26" t="str">
        <f>IFERROR(VLOOKUP($AY122,[1]프로젝트현황!Y:Z,2,0),"기타")</f>
        <v>서남권</v>
      </c>
      <c r="BC122" s="23" t="str">
        <f t="shared" si="21"/>
        <v>경기도 부천시 원미구 중동로364번길 28-13,A동503호</v>
      </c>
    </row>
    <row r="123" spans="1:55" ht="15" customHeight="1" x14ac:dyDescent="0.3">
      <c r="A123" s="10">
        <f t="shared" si="12"/>
        <v>121</v>
      </c>
      <c r="B123" s="11">
        <v>240901</v>
      </c>
      <c r="C123" s="11" t="s">
        <v>1464</v>
      </c>
      <c r="D123" s="12">
        <v>45537</v>
      </c>
      <c r="E123" s="12">
        <v>45537</v>
      </c>
      <c r="F123" s="12"/>
      <c r="G123" s="13"/>
      <c r="H123" s="14" t="s">
        <v>1465</v>
      </c>
      <c r="I123" s="11" t="s">
        <v>1466</v>
      </c>
      <c r="J123" s="15" t="str">
        <f t="shared" si="13"/>
        <v>970503</v>
      </c>
      <c r="K123" s="15" t="str">
        <f t="shared" si="20"/>
        <v>05</v>
      </c>
      <c r="L123" s="15" t="str">
        <f t="shared" si="14"/>
        <v>남자</v>
      </c>
      <c r="M123" s="15">
        <f t="shared" ca="1" si="15"/>
        <v>30</v>
      </c>
      <c r="N123" s="15" t="s">
        <v>111</v>
      </c>
      <c r="O123" s="15" t="s">
        <v>112</v>
      </c>
      <c r="P123" s="11" t="s">
        <v>1467</v>
      </c>
      <c r="Q123" s="11"/>
      <c r="R123" s="11"/>
      <c r="S123" s="16"/>
      <c r="T123" s="15" t="s">
        <v>114</v>
      </c>
      <c r="U123" s="11"/>
      <c r="V123" s="15" t="str">
        <f t="shared" ca="1" si="19"/>
        <v>1년5개월</v>
      </c>
      <c r="W123" s="15" t="s">
        <v>428</v>
      </c>
      <c r="X123" s="18" t="str">
        <f t="shared" ca="1" si="24"/>
        <v>1년5개월</v>
      </c>
      <c r="Y123" s="17" t="s">
        <v>1468</v>
      </c>
      <c r="Z123" s="17" t="s">
        <v>1469</v>
      </c>
      <c r="AA123" s="14" t="s">
        <v>116</v>
      </c>
      <c r="AB123" s="16">
        <v>44972</v>
      </c>
      <c r="AC123" s="18">
        <f t="shared" ca="1" si="17"/>
        <v>1</v>
      </c>
      <c r="AD123" s="15" t="str">
        <f ca="1">IF($AA123="전문학사",IF($AC123&lt;=8,"초급",IF($AC123&lt;12,"중급",IF($AC123&lt;15,"고급",IF($AC123&gt;=15,"특급")))))</f>
        <v>초급</v>
      </c>
      <c r="AE123" s="15" t="str">
        <f t="shared" si="23"/>
        <v>미해당</v>
      </c>
      <c r="AF123" s="11"/>
      <c r="AG123" s="16"/>
      <c r="AH123" s="11"/>
      <c r="AI123" s="16"/>
      <c r="AJ123" s="11"/>
      <c r="AK123" s="11"/>
      <c r="AL123" s="19"/>
      <c r="AM123" s="11"/>
      <c r="AN123" s="20"/>
      <c r="AO123" s="21"/>
      <c r="AP123" s="21"/>
      <c r="AQ123" s="22" t="s">
        <v>154</v>
      </c>
      <c r="AR123" s="23" t="s">
        <v>155</v>
      </c>
      <c r="AS123" s="14" t="s">
        <v>137</v>
      </c>
      <c r="AT123" s="14" t="s">
        <v>1470</v>
      </c>
      <c r="AU123" s="24"/>
      <c r="AV123" s="24"/>
      <c r="AW123" s="25" t="s">
        <v>1471</v>
      </c>
      <c r="AX123" s="24" t="s">
        <v>122</v>
      </c>
      <c r="AY123" s="24" t="s">
        <v>1472</v>
      </c>
      <c r="AZ123" s="17"/>
      <c r="BA123" s="17" t="s">
        <v>1473</v>
      </c>
      <c r="BB123" s="26" t="str">
        <f>IFERROR(VLOOKUP($AY123,[1]프로젝트현황!Y:Z,2,0),"기타")</f>
        <v>서북권</v>
      </c>
      <c r="BC123" s="23" t="str">
        <f t="shared" si="21"/>
        <v>서울시 은평구 연서로9길 10-1, 402호</v>
      </c>
    </row>
    <row r="124" spans="1:55" ht="15" customHeight="1" x14ac:dyDescent="0.3">
      <c r="A124" s="10">
        <f t="shared" si="12"/>
        <v>122</v>
      </c>
      <c r="B124" s="11">
        <v>240902</v>
      </c>
      <c r="C124" s="11" t="s">
        <v>1474</v>
      </c>
      <c r="D124" s="12">
        <v>45537</v>
      </c>
      <c r="E124" s="12">
        <v>45537</v>
      </c>
      <c r="F124" s="12"/>
      <c r="G124" s="13">
        <v>46053</v>
      </c>
      <c r="H124" s="14" t="s">
        <v>1475</v>
      </c>
      <c r="I124" s="11" t="s">
        <v>1476</v>
      </c>
      <c r="J124" s="15" t="str">
        <f t="shared" si="13"/>
        <v>040423</v>
      </c>
      <c r="K124" s="15" t="str">
        <f t="shared" si="20"/>
        <v>04</v>
      </c>
      <c r="L124" s="15" t="str">
        <f t="shared" si="14"/>
        <v>여자</v>
      </c>
      <c r="M124" s="15">
        <f t="shared" ca="1" si="15"/>
        <v>23</v>
      </c>
      <c r="N124" s="15" t="s">
        <v>111</v>
      </c>
      <c r="O124" s="15" t="s">
        <v>112</v>
      </c>
      <c r="P124" s="11" t="s">
        <v>1477</v>
      </c>
      <c r="Q124" s="11"/>
      <c r="R124" s="11"/>
      <c r="S124" s="16"/>
      <c r="T124" s="15" t="s">
        <v>114</v>
      </c>
      <c r="U124" s="11"/>
      <c r="V124" s="15" t="str">
        <f t="shared" ca="1" si="19"/>
        <v>1년5개월</v>
      </c>
      <c r="W124" s="15" t="s">
        <v>428</v>
      </c>
      <c r="X124" s="18" t="str">
        <f t="shared" ca="1" si="24"/>
        <v>1년5개월</v>
      </c>
      <c r="Y124" s="17" t="s">
        <v>1478</v>
      </c>
      <c r="Z124" s="17" t="s">
        <v>1479</v>
      </c>
      <c r="AA124" s="14" t="s">
        <v>258</v>
      </c>
      <c r="AB124" s="16">
        <v>44959</v>
      </c>
      <c r="AC124" s="18">
        <f t="shared" ca="1" si="17"/>
        <v>1</v>
      </c>
      <c r="AD124" s="15" t="str">
        <f ca="1">IF($AA124="고졸",IF($AC124&lt;=11,"초급",IF($AC124&lt;=14,"중급",IF($AC124&lt;=17,"고급",IF($AC124&gt;=18,"특급")))))</f>
        <v>초급</v>
      </c>
      <c r="AE124" s="15" t="str">
        <f t="shared" si="23"/>
        <v>미해당</v>
      </c>
      <c r="AF124" s="11"/>
      <c r="AG124" s="16"/>
      <c r="AH124" s="11"/>
      <c r="AI124" s="16"/>
      <c r="AJ124" s="11"/>
      <c r="AK124" s="11"/>
      <c r="AL124" s="19"/>
      <c r="AM124" s="11"/>
      <c r="AN124" s="20"/>
      <c r="AO124" s="21"/>
      <c r="AP124" s="21"/>
      <c r="AQ124" s="22" t="s">
        <v>154</v>
      </c>
      <c r="AR124" s="23" t="s">
        <v>155</v>
      </c>
      <c r="AS124" s="14" t="s">
        <v>137</v>
      </c>
      <c r="AT124" s="14" t="s">
        <v>1480</v>
      </c>
      <c r="AU124" s="24"/>
      <c r="AV124" s="24"/>
      <c r="AW124" s="25" t="s">
        <v>1481</v>
      </c>
      <c r="AX124" s="24" t="s">
        <v>122</v>
      </c>
      <c r="AY124" s="24" t="s">
        <v>785</v>
      </c>
      <c r="AZ124" s="17"/>
      <c r="BA124" s="17" t="s">
        <v>1482</v>
      </c>
      <c r="BB124" s="26" t="str">
        <f>IFERROR(VLOOKUP($AY124,[1]프로젝트현황!Y:Z,2,0),"기타")</f>
        <v>서남권</v>
      </c>
      <c r="BC124" s="23" t="str">
        <f t="shared" si="21"/>
        <v>서울시 동작구 장승배기로19가길 26-4</v>
      </c>
    </row>
    <row r="125" spans="1:55" ht="15" customHeight="1" x14ac:dyDescent="0.3">
      <c r="A125" s="10">
        <f t="shared" si="12"/>
        <v>123</v>
      </c>
      <c r="B125" s="11">
        <v>240903</v>
      </c>
      <c r="C125" s="11" t="s">
        <v>1483</v>
      </c>
      <c r="D125" s="12">
        <v>45537</v>
      </c>
      <c r="E125" s="12">
        <v>45537</v>
      </c>
      <c r="F125" s="12"/>
      <c r="G125" s="13"/>
      <c r="H125" s="14" t="s">
        <v>1484</v>
      </c>
      <c r="I125" s="11" t="s">
        <v>1485</v>
      </c>
      <c r="J125" s="15" t="str">
        <f t="shared" si="13"/>
        <v>920904</v>
      </c>
      <c r="K125" s="15" t="str">
        <f t="shared" si="20"/>
        <v>09</v>
      </c>
      <c r="L125" s="15" t="str">
        <f t="shared" si="14"/>
        <v>남자</v>
      </c>
      <c r="M125" s="15">
        <f t="shared" ca="1" si="15"/>
        <v>35</v>
      </c>
      <c r="N125" s="15" t="s">
        <v>111</v>
      </c>
      <c r="O125" s="15" t="s">
        <v>112</v>
      </c>
      <c r="P125" s="11" t="s">
        <v>1486</v>
      </c>
      <c r="Q125" s="11"/>
      <c r="R125" s="11"/>
      <c r="S125" s="16"/>
      <c r="T125" s="15" t="s">
        <v>114</v>
      </c>
      <c r="U125" s="11"/>
      <c r="V125" s="15" t="str">
        <f t="shared" ca="1" si="19"/>
        <v>3년3개월</v>
      </c>
      <c r="W125" s="15" t="s">
        <v>1487</v>
      </c>
      <c r="X125" s="18" t="str">
        <f t="shared" ca="1" si="24"/>
        <v>1년5개월</v>
      </c>
      <c r="Y125" s="17" t="s">
        <v>1488</v>
      </c>
      <c r="Z125" s="17" t="s">
        <v>1489</v>
      </c>
      <c r="AA125" s="14" t="s">
        <v>171</v>
      </c>
      <c r="AB125" s="16">
        <v>43335</v>
      </c>
      <c r="AC125" s="18">
        <f t="shared" ca="1" si="17"/>
        <v>3</v>
      </c>
      <c r="AD125" s="15" t="str">
        <f ca="1">IF($AA125="학사",IF($AC125&lt;=5,"초급",IF($AC125&lt;9,"중급",IF($AC125&lt;12,"고급",IF($AC125&gt;=12,"특급")))))</f>
        <v>초급</v>
      </c>
      <c r="AE125" s="15" t="str">
        <f t="shared" ca="1" si="23"/>
        <v>초급</v>
      </c>
      <c r="AF125" s="11"/>
      <c r="AG125" s="16"/>
      <c r="AH125" s="11"/>
      <c r="AI125" s="16"/>
      <c r="AJ125" s="11" t="s">
        <v>89</v>
      </c>
      <c r="AK125" s="16">
        <v>44774</v>
      </c>
      <c r="AL125" s="19"/>
      <c r="AM125" s="11"/>
      <c r="AN125" s="20" t="s">
        <v>1490</v>
      </c>
      <c r="AO125" s="21" t="s">
        <v>1491</v>
      </c>
      <c r="AP125" s="21">
        <v>43462</v>
      </c>
      <c r="AQ125" s="22" t="s">
        <v>154</v>
      </c>
      <c r="AR125" s="23" t="s">
        <v>155</v>
      </c>
      <c r="AS125" s="14" t="s">
        <v>137</v>
      </c>
      <c r="AT125" s="14" t="s">
        <v>1492</v>
      </c>
      <c r="AU125" s="24"/>
      <c r="AV125" s="24"/>
      <c r="AW125" s="25" t="s">
        <v>1493</v>
      </c>
      <c r="AX125" s="24" t="s">
        <v>141</v>
      </c>
      <c r="AY125" s="24" t="s">
        <v>224</v>
      </c>
      <c r="AZ125" s="17" t="s">
        <v>1494</v>
      </c>
      <c r="BA125" s="17" t="s">
        <v>1495</v>
      </c>
      <c r="BB125" s="26" t="str">
        <f>IFERROR(VLOOKUP($AY125,[1]프로젝트현황!Y:Z,2,0),"기타")</f>
        <v>동남권</v>
      </c>
      <c r="BC125" s="23" t="str">
        <f t="shared" si="21"/>
        <v>경기도 성남시 수정구 창업로40번길 6, 101동 425호</v>
      </c>
    </row>
    <row r="126" spans="1:55" ht="15" customHeight="1" x14ac:dyDescent="0.3">
      <c r="A126" s="10">
        <f t="shared" si="12"/>
        <v>124</v>
      </c>
      <c r="B126" s="11">
        <v>240905</v>
      </c>
      <c r="C126" s="11" t="s">
        <v>1496</v>
      </c>
      <c r="D126" s="12">
        <v>45539</v>
      </c>
      <c r="E126" s="12">
        <v>45539</v>
      </c>
      <c r="F126" s="12"/>
      <c r="G126" s="13">
        <v>46053</v>
      </c>
      <c r="H126" s="14" t="s">
        <v>1497</v>
      </c>
      <c r="I126" s="11" t="s">
        <v>1498</v>
      </c>
      <c r="J126" s="15" t="str">
        <f t="shared" si="13"/>
        <v>000406</v>
      </c>
      <c r="K126" s="15" t="str">
        <f t="shared" si="20"/>
        <v>04</v>
      </c>
      <c r="L126" s="15" t="str">
        <f t="shared" si="14"/>
        <v>여자</v>
      </c>
      <c r="M126" s="15">
        <f t="shared" ca="1" si="15"/>
        <v>27</v>
      </c>
      <c r="N126" s="15" t="s">
        <v>111</v>
      </c>
      <c r="O126" s="15" t="s">
        <v>112</v>
      </c>
      <c r="P126" s="11" t="s">
        <v>1499</v>
      </c>
      <c r="Q126" s="11"/>
      <c r="R126" s="11"/>
      <c r="S126" s="16"/>
      <c r="T126" s="15" t="s">
        <v>114</v>
      </c>
      <c r="U126" s="11"/>
      <c r="V126" s="15" t="str">
        <f t="shared" ca="1" si="19"/>
        <v>3년8개월</v>
      </c>
      <c r="W126" s="15" t="s">
        <v>1500</v>
      </c>
      <c r="X126" s="18" t="str">
        <f t="shared" ca="1" si="24"/>
        <v>1년5개월</v>
      </c>
      <c r="Y126" s="17" t="s">
        <v>757</v>
      </c>
      <c r="Z126" s="17" t="s">
        <v>1501</v>
      </c>
      <c r="AA126" s="14" t="s">
        <v>116</v>
      </c>
      <c r="AB126" s="16">
        <v>44428</v>
      </c>
      <c r="AC126" s="18">
        <f t="shared" ca="1" si="17"/>
        <v>3</v>
      </c>
      <c r="AD126" s="15" t="str">
        <f ca="1">IF($AA126="전문학사",IF($AC126&lt;=8,"초급",IF($AC126&lt;12,"중급",IF($AC126&lt;15,"고급",IF($AC126&gt;=15,"특급")))))</f>
        <v>초급</v>
      </c>
      <c r="AE126" s="15" t="str">
        <f t="shared" si="23"/>
        <v>미해당</v>
      </c>
      <c r="AF126" s="11"/>
      <c r="AG126" s="16"/>
      <c r="AH126" s="11"/>
      <c r="AI126" s="16"/>
      <c r="AJ126" s="11"/>
      <c r="AK126" s="11"/>
      <c r="AL126" s="19"/>
      <c r="AM126" s="11"/>
      <c r="AN126" s="20"/>
      <c r="AO126" s="21"/>
      <c r="AP126" s="21"/>
      <c r="AQ126" s="22" t="s">
        <v>287</v>
      </c>
      <c r="AR126" s="23" t="s">
        <v>287</v>
      </c>
      <c r="AS126" s="14" t="s">
        <v>137</v>
      </c>
      <c r="AT126" s="14" t="s">
        <v>1502</v>
      </c>
      <c r="AU126" s="24" t="s">
        <v>157</v>
      </c>
      <c r="AV126" s="24" t="s">
        <v>1503</v>
      </c>
      <c r="AW126" s="25" t="s">
        <v>1504</v>
      </c>
      <c r="AX126" s="24" t="s">
        <v>122</v>
      </c>
      <c r="AY126" s="24" t="s">
        <v>505</v>
      </c>
      <c r="AZ126" s="17"/>
      <c r="BA126" s="17" t="s">
        <v>1505</v>
      </c>
      <c r="BB126" s="26" t="str">
        <f>IFERROR(VLOOKUP($AY126,[1]프로젝트현황!Y:Z,2,0),"기타")</f>
        <v>동북권</v>
      </c>
      <c r="BC126" s="23" t="str">
        <f t="shared" si="21"/>
        <v>서울시 강북구 수유동 270-82 하나아이파크 304호</v>
      </c>
    </row>
    <row r="127" spans="1:55" ht="15" customHeight="1" x14ac:dyDescent="0.3">
      <c r="A127" s="10">
        <f t="shared" si="12"/>
        <v>125</v>
      </c>
      <c r="B127" s="11">
        <v>240908</v>
      </c>
      <c r="C127" s="11" t="s">
        <v>1506</v>
      </c>
      <c r="D127" s="12">
        <v>45558</v>
      </c>
      <c r="E127" s="12">
        <v>45558</v>
      </c>
      <c r="F127" s="12"/>
      <c r="G127" s="13"/>
      <c r="H127" s="14" t="s">
        <v>1507</v>
      </c>
      <c r="I127" s="11" t="s">
        <v>1508</v>
      </c>
      <c r="J127" s="15" t="str">
        <f t="shared" si="13"/>
        <v>970909</v>
      </c>
      <c r="K127" s="15" t="str">
        <f t="shared" si="20"/>
        <v>09</v>
      </c>
      <c r="L127" s="15" t="str">
        <f t="shared" si="14"/>
        <v>남자</v>
      </c>
      <c r="M127" s="15">
        <f t="shared" ca="1" si="15"/>
        <v>30</v>
      </c>
      <c r="N127" s="15" t="s">
        <v>111</v>
      </c>
      <c r="O127" s="15" t="s">
        <v>112</v>
      </c>
      <c r="P127" s="11" t="s">
        <v>1509</v>
      </c>
      <c r="Q127" s="11"/>
      <c r="R127" s="11"/>
      <c r="S127" s="16"/>
      <c r="T127" s="15" t="s">
        <v>114</v>
      </c>
      <c r="U127" s="11"/>
      <c r="V127" s="15" t="str">
        <f t="shared" ca="1" si="19"/>
        <v>3년6개월</v>
      </c>
      <c r="W127" s="15" t="s">
        <v>915</v>
      </c>
      <c r="X127" s="18" t="str">
        <f t="shared" ca="1" si="24"/>
        <v>1년4개월</v>
      </c>
      <c r="Y127" s="17" t="s">
        <v>1510</v>
      </c>
      <c r="Z127" s="17" t="s">
        <v>1511</v>
      </c>
      <c r="AA127" s="14" t="s">
        <v>116</v>
      </c>
      <c r="AB127" s="16">
        <v>44232</v>
      </c>
      <c r="AC127" s="18">
        <f t="shared" ca="1" si="17"/>
        <v>3</v>
      </c>
      <c r="AD127" s="15" t="str">
        <f ca="1">IF($AA127="전문학사",IF($AC127&lt;=8,"초급",IF($AC127&lt;12,"중급",IF($AC127&lt;15,"고급",IF($AC127&gt;=15,"특급")))))</f>
        <v>초급</v>
      </c>
      <c r="AE127" s="15" t="str">
        <f t="shared" si="23"/>
        <v>미해당</v>
      </c>
      <c r="AF127" s="11"/>
      <c r="AG127" s="16"/>
      <c r="AH127" s="11"/>
      <c r="AI127" s="16"/>
      <c r="AJ127" s="11"/>
      <c r="AK127" s="11"/>
      <c r="AL127" s="19"/>
      <c r="AM127" s="11"/>
      <c r="AN127" s="20"/>
      <c r="AO127" s="21"/>
      <c r="AP127" s="21"/>
      <c r="AQ127" s="22" t="s">
        <v>154</v>
      </c>
      <c r="AR127" s="23" t="s">
        <v>155</v>
      </c>
      <c r="AS127" s="14" t="s">
        <v>137</v>
      </c>
      <c r="AT127" s="14" t="s">
        <v>1512</v>
      </c>
      <c r="AU127" s="24"/>
      <c r="AV127" s="24"/>
      <c r="AW127" s="25" t="s">
        <v>1513</v>
      </c>
      <c r="AX127" s="24" t="s">
        <v>141</v>
      </c>
      <c r="AY127" s="24" t="s">
        <v>477</v>
      </c>
      <c r="AZ127" s="17" t="s">
        <v>1514</v>
      </c>
      <c r="BA127" s="17" t="s">
        <v>1515</v>
      </c>
      <c r="BB127" s="26" t="str">
        <f>IFERROR(VLOOKUP($AY127,[1]프로젝트현황!Y:Z,2,0),"기타")</f>
        <v>서남권</v>
      </c>
      <c r="BC127" s="23" t="str">
        <f t="shared" si="21"/>
        <v>경기도 화성시 향남읍 향남로39번길 22, 1501동 602호</v>
      </c>
    </row>
    <row r="128" spans="1:55" ht="15" customHeight="1" x14ac:dyDescent="0.3">
      <c r="A128" s="10">
        <f t="shared" si="12"/>
        <v>126</v>
      </c>
      <c r="B128" s="11">
        <v>240909</v>
      </c>
      <c r="C128" s="11" t="s">
        <v>1516</v>
      </c>
      <c r="D128" s="12">
        <v>45558</v>
      </c>
      <c r="E128" s="12">
        <v>45558</v>
      </c>
      <c r="F128" s="12"/>
      <c r="G128" s="13">
        <v>46053</v>
      </c>
      <c r="H128" s="14" t="s">
        <v>1517</v>
      </c>
      <c r="I128" s="11" t="s">
        <v>1518</v>
      </c>
      <c r="J128" s="15" t="str">
        <f t="shared" si="13"/>
        <v>950704</v>
      </c>
      <c r="K128" s="15" t="str">
        <f t="shared" si="20"/>
        <v>07</v>
      </c>
      <c r="L128" s="15" t="str">
        <f t="shared" si="14"/>
        <v>남자</v>
      </c>
      <c r="M128" s="15">
        <f t="shared" ca="1" si="15"/>
        <v>32</v>
      </c>
      <c r="N128" s="15" t="s">
        <v>111</v>
      </c>
      <c r="O128" s="15" t="s">
        <v>112</v>
      </c>
      <c r="P128" s="11" t="s">
        <v>1519</v>
      </c>
      <c r="Q128" s="11"/>
      <c r="R128" s="11"/>
      <c r="S128" s="16"/>
      <c r="T128" s="15" t="s">
        <v>114</v>
      </c>
      <c r="U128" s="11"/>
      <c r="V128" s="15" t="str">
        <f t="shared" ca="1" si="19"/>
        <v>3년5개월</v>
      </c>
      <c r="W128" s="15" t="s">
        <v>1365</v>
      </c>
      <c r="X128" s="18" t="str">
        <f t="shared" ca="1" si="24"/>
        <v>1년4개월</v>
      </c>
      <c r="Y128" s="17" t="s">
        <v>1520</v>
      </c>
      <c r="Z128" s="17" t="s">
        <v>1521</v>
      </c>
      <c r="AA128" s="14" t="s">
        <v>258</v>
      </c>
      <c r="AB128" s="16" t="s">
        <v>1522</v>
      </c>
      <c r="AC128" s="18">
        <f t="shared" ca="1" si="17"/>
        <v>3</v>
      </c>
      <c r="AD128" s="15" t="str">
        <f ca="1">IF($AA128="고졸",IF($AC128&lt;=11,"초급",IF($AC128&lt;=14,"중급",IF($AC128&lt;=17,"고급",IF($AC128&gt;=18,"특급")))))</f>
        <v>초급</v>
      </c>
      <c r="AE128" s="15" t="str">
        <f t="shared" si="23"/>
        <v>미해당</v>
      </c>
      <c r="AF128" s="11"/>
      <c r="AG128" s="16"/>
      <c r="AH128" s="11" t="s">
        <v>87</v>
      </c>
      <c r="AI128" s="16">
        <v>44896</v>
      </c>
      <c r="AJ128" s="11"/>
      <c r="AK128" s="11"/>
      <c r="AL128" s="19"/>
      <c r="AM128" s="11"/>
      <c r="AN128" s="20"/>
      <c r="AO128" s="21"/>
      <c r="AP128" s="21"/>
      <c r="AQ128" s="22" t="s">
        <v>154</v>
      </c>
      <c r="AR128" s="23" t="s">
        <v>155</v>
      </c>
      <c r="AS128" s="14" t="s">
        <v>137</v>
      </c>
      <c r="AT128" s="14" t="s">
        <v>1523</v>
      </c>
      <c r="AU128" s="24" t="s">
        <v>157</v>
      </c>
      <c r="AV128" s="24" t="s">
        <v>1524</v>
      </c>
      <c r="AW128" s="25" t="s">
        <v>1525</v>
      </c>
      <c r="AX128" s="24" t="s">
        <v>141</v>
      </c>
      <c r="AY128" s="24" t="s">
        <v>978</v>
      </c>
      <c r="AZ128" s="17" t="s">
        <v>1526</v>
      </c>
      <c r="BA128" s="17" t="s">
        <v>1527</v>
      </c>
      <c r="BB128" s="26" t="str">
        <f>IFERROR(VLOOKUP($AY128,[1]프로젝트현황!Y:Z,2,0),"기타")</f>
        <v>동북권</v>
      </c>
      <c r="BC128" s="23" t="str">
        <f t="shared" si="21"/>
        <v>경기도 의정부시 체육로 278, 102동 230호 (녹양동, 휴먼시아 아파트)</v>
      </c>
    </row>
    <row r="129" spans="1:55" ht="15" customHeight="1" x14ac:dyDescent="0.3">
      <c r="A129" s="10">
        <f t="shared" si="12"/>
        <v>127</v>
      </c>
      <c r="B129" s="11">
        <v>240910</v>
      </c>
      <c r="C129" s="11" t="s">
        <v>1528</v>
      </c>
      <c r="D129" s="12">
        <v>45558</v>
      </c>
      <c r="E129" s="12">
        <v>45558</v>
      </c>
      <c r="F129" s="12"/>
      <c r="G129" s="13"/>
      <c r="H129" s="14" t="s">
        <v>1529</v>
      </c>
      <c r="I129" s="11" t="s">
        <v>1530</v>
      </c>
      <c r="J129" s="15" t="str">
        <f t="shared" si="13"/>
        <v>041221</v>
      </c>
      <c r="K129" s="15" t="str">
        <f t="shared" si="20"/>
        <v>12</v>
      </c>
      <c r="L129" s="15" t="str">
        <f t="shared" si="14"/>
        <v>여자</v>
      </c>
      <c r="M129" s="15">
        <f t="shared" ca="1" si="15"/>
        <v>23</v>
      </c>
      <c r="N129" s="15" t="s">
        <v>111</v>
      </c>
      <c r="O129" s="15" t="s">
        <v>112</v>
      </c>
      <c r="P129" s="11" t="s">
        <v>1531</v>
      </c>
      <c r="Q129" s="11"/>
      <c r="R129" s="11"/>
      <c r="S129" s="16"/>
      <c r="T129" s="15" t="s">
        <v>114</v>
      </c>
      <c r="U129" s="11"/>
      <c r="V129" s="15" t="str">
        <f t="shared" ca="1" si="19"/>
        <v>1년4개월</v>
      </c>
      <c r="W129" s="15" t="s">
        <v>428</v>
      </c>
      <c r="X129" s="18" t="str">
        <f t="shared" ca="1" si="24"/>
        <v>1년4개월</v>
      </c>
      <c r="Y129" s="17" t="s">
        <v>791</v>
      </c>
      <c r="Z129" s="17" t="s">
        <v>1532</v>
      </c>
      <c r="AA129" s="14" t="s">
        <v>258</v>
      </c>
      <c r="AB129" s="16" t="s">
        <v>1533</v>
      </c>
      <c r="AC129" s="18">
        <f t="shared" ca="1" si="17"/>
        <v>1</v>
      </c>
      <c r="AD129" s="15" t="str">
        <f ca="1">IF($AA129="고졸",IF($AC129&lt;=11,"초급",IF($AC129&lt;=14,"중급",IF($AC129&lt;=17,"고급",IF($AC129&gt;=18,"특급")))))</f>
        <v>초급</v>
      </c>
      <c r="AE129" s="15" t="str">
        <f t="shared" si="23"/>
        <v>미해당</v>
      </c>
      <c r="AF129" s="11"/>
      <c r="AG129" s="16"/>
      <c r="AH129" s="11"/>
      <c r="AI129" s="16"/>
      <c r="AJ129" s="11"/>
      <c r="AK129" s="11"/>
      <c r="AL129" s="19"/>
      <c r="AM129" s="11"/>
      <c r="AN129" s="20"/>
      <c r="AO129" s="21"/>
      <c r="AP129" s="21"/>
      <c r="AQ129" s="22" t="s">
        <v>154</v>
      </c>
      <c r="AR129" s="23" t="s">
        <v>155</v>
      </c>
      <c r="AS129" s="14" t="s">
        <v>137</v>
      </c>
      <c r="AT129" s="14" t="s">
        <v>1534</v>
      </c>
      <c r="AU129" s="24"/>
      <c r="AV129" s="24"/>
      <c r="AW129" s="25" t="s">
        <v>1535</v>
      </c>
      <c r="AX129" s="24" t="s">
        <v>122</v>
      </c>
      <c r="AY129" s="24" t="s">
        <v>505</v>
      </c>
      <c r="AZ129" s="17"/>
      <c r="BA129" s="17" t="s">
        <v>1536</v>
      </c>
      <c r="BB129" s="26" t="str">
        <f>IFERROR(VLOOKUP($AY129,[1]프로젝트현황!Y:Z,2,0),"기타")</f>
        <v>동북권</v>
      </c>
      <c r="BC129" s="23" t="str">
        <f t="shared" si="21"/>
        <v>서울시 강북구 도봉로98길 33, 101동 305호 (번동, 삼성아파트)</v>
      </c>
    </row>
    <row r="130" spans="1:55" ht="15" customHeight="1" x14ac:dyDescent="0.3">
      <c r="A130" s="10">
        <f t="shared" si="12"/>
        <v>128</v>
      </c>
      <c r="B130" s="11">
        <v>240911</v>
      </c>
      <c r="C130" s="11" t="s">
        <v>1537</v>
      </c>
      <c r="D130" s="12">
        <v>45558</v>
      </c>
      <c r="E130" s="12">
        <v>45558</v>
      </c>
      <c r="F130" s="12"/>
      <c r="G130" s="13"/>
      <c r="H130" s="14" t="s">
        <v>1538</v>
      </c>
      <c r="I130" s="11" t="s">
        <v>1539</v>
      </c>
      <c r="J130" s="15" t="str">
        <f t="shared" si="13"/>
        <v>980714</v>
      </c>
      <c r="K130" s="15" t="str">
        <f t="shared" si="20"/>
        <v>07</v>
      </c>
      <c r="L130" s="15" t="str">
        <f t="shared" si="14"/>
        <v>여자</v>
      </c>
      <c r="M130" s="15">
        <f t="shared" ca="1" si="15"/>
        <v>29</v>
      </c>
      <c r="N130" s="15" t="s">
        <v>111</v>
      </c>
      <c r="O130" s="15" t="s">
        <v>112</v>
      </c>
      <c r="P130" s="11" t="s">
        <v>1540</v>
      </c>
      <c r="Q130" s="11"/>
      <c r="R130" s="11"/>
      <c r="S130" s="16"/>
      <c r="T130" s="15" t="s">
        <v>114</v>
      </c>
      <c r="U130" s="11"/>
      <c r="V130" s="15" t="str">
        <f t="shared" ca="1" si="19"/>
        <v>1년4개월</v>
      </c>
      <c r="W130" s="15" t="s">
        <v>428</v>
      </c>
      <c r="X130" s="18" t="str">
        <f t="shared" ca="1" si="24"/>
        <v>1년4개월</v>
      </c>
      <c r="Y130" s="17" t="s">
        <v>1541</v>
      </c>
      <c r="Z130" s="17" t="s">
        <v>1542</v>
      </c>
      <c r="AA130" s="14" t="s">
        <v>116</v>
      </c>
      <c r="AB130" s="16">
        <v>44603</v>
      </c>
      <c r="AC130" s="18">
        <f t="shared" ca="1" si="17"/>
        <v>1</v>
      </c>
      <c r="AD130" s="15" t="str">
        <f ca="1">IF($AA130="전문학사",IF($AC130&lt;=8,"초급",IF($AC130&lt;12,"중급",IF($AC130&lt;15,"고급",IF($AC130&gt;=15,"특급")))))</f>
        <v>초급</v>
      </c>
      <c r="AE130" s="15" t="str">
        <f t="shared" si="23"/>
        <v>미해당</v>
      </c>
      <c r="AF130" s="11"/>
      <c r="AG130" s="16"/>
      <c r="AH130" s="11"/>
      <c r="AI130" s="16"/>
      <c r="AJ130" s="11"/>
      <c r="AK130" s="11"/>
      <c r="AL130" s="19"/>
      <c r="AM130" s="11"/>
      <c r="AN130" s="20"/>
      <c r="AO130" s="21"/>
      <c r="AP130" s="21"/>
      <c r="AQ130" s="22" t="s">
        <v>154</v>
      </c>
      <c r="AR130" s="23" t="s">
        <v>155</v>
      </c>
      <c r="AS130" s="14" t="s">
        <v>137</v>
      </c>
      <c r="AT130" s="14" t="s">
        <v>1543</v>
      </c>
      <c r="AU130" s="24" t="s">
        <v>157</v>
      </c>
      <c r="AV130" s="24" t="s">
        <v>1544</v>
      </c>
      <c r="AW130" s="25" t="s">
        <v>1545</v>
      </c>
      <c r="AX130" s="24" t="s">
        <v>122</v>
      </c>
      <c r="AY130" s="24" t="s">
        <v>421</v>
      </c>
      <c r="AZ130" s="17"/>
      <c r="BA130" s="17" t="s">
        <v>1546</v>
      </c>
      <c r="BB130" s="26" t="str">
        <f>IFERROR(VLOOKUP($AY130,[1]프로젝트현황!Y:Z,2,0),"기타")</f>
        <v>서남권</v>
      </c>
      <c r="BC130" s="23" t="str">
        <f t="shared" si="21"/>
        <v>서울시 영등포구 대방천로14길 32, 301동 810호 (신길동, 우성아파트)</v>
      </c>
    </row>
    <row r="131" spans="1:55" ht="15" customHeight="1" x14ac:dyDescent="0.3">
      <c r="A131" s="10">
        <f t="shared" ref="A131:A161" si="25">ROW()-2</f>
        <v>129</v>
      </c>
      <c r="B131" s="11">
        <v>240912</v>
      </c>
      <c r="C131" s="11" t="s">
        <v>1547</v>
      </c>
      <c r="D131" s="12">
        <v>45558</v>
      </c>
      <c r="E131" s="12">
        <v>45558</v>
      </c>
      <c r="F131" s="12"/>
      <c r="G131" s="13"/>
      <c r="H131" s="14" t="s">
        <v>1548</v>
      </c>
      <c r="I131" s="11" t="s">
        <v>1549</v>
      </c>
      <c r="J131" s="15" t="str">
        <f t="shared" ref="J131:J194" si="26">LEFT(I131,6)</f>
        <v>980216</v>
      </c>
      <c r="K131" s="15" t="str">
        <f t="shared" si="20"/>
        <v>02</v>
      </c>
      <c r="L131" s="15" t="str">
        <f t="shared" ref="L131:L194" si="27">IF(OR(MID($I131,8,1)="1",MID($I131,8,1)="3"),"남자",IF(OR(MID($I131,8,1)="2",MID($I131,8,1)="4"),"여자",""))</f>
        <v>남자</v>
      </c>
      <c r="M131" s="15">
        <f t="shared" ref="M131:M194" ca="1" si="28">YEAR(TODAY())-IF(OR(MID($I131,8,1)="1",MID($I131,8,1)="2"),19&amp;LEFT($I131,2),IF(OR(MID($I131,8,1)="3",MID($I131,8,1)="4"),20&amp;LEFT($I131,2),""))+1</f>
        <v>29</v>
      </c>
      <c r="N131" s="15" t="s">
        <v>111</v>
      </c>
      <c r="O131" s="15" t="s">
        <v>112</v>
      </c>
      <c r="P131" s="11" t="s">
        <v>1550</v>
      </c>
      <c r="Q131" s="11"/>
      <c r="R131" s="11"/>
      <c r="S131" s="16"/>
      <c r="T131" s="15" t="s">
        <v>114</v>
      </c>
      <c r="U131" s="11"/>
      <c r="V131" s="15" t="str">
        <f t="shared" ca="1" si="19"/>
        <v>2년0개월</v>
      </c>
      <c r="W131" s="15" t="s">
        <v>924</v>
      </c>
      <c r="X131" s="18" t="str">
        <f t="shared" ca="1" si="24"/>
        <v>1년4개월</v>
      </c>
      <c r="Y131" s="17" t="s">
        <v>814</v>
      </c>
      <c r="Z131" s="17" t="s">
        <v>471</v>
      </c>
      <c r="AA131" s="14" t="s">
        <v>171</v>
      </c>
      <c r="AB131" s="16">
        <v>45163</v>
      </c>
      <c r="AC131" s="18">
        <f t="shared" ref="AC131:AC194" ca="1" si="29">VALUE(LEFT($V131,FIND("년",$V131)-1))</f>
        <v>2</v>
      </c>
      <c r="AD131" s="15" t="str">
        <f ca="1">IF($AA131="학사",IF($AC131&lt;=5,"초급",IF($AC131&lt;9,"중급",IF($AC131&lt;12,"고급",IF($AC131&gt;=12,"특급")))))</f>
        <v>초급</v>
      </c>
      <c r="AE131" s="15" t="str">
        <f t="shared" si="23"/>
        <v>미해당</v>
      </c>
      <c r="AF131" s="11"/>
      <c r="AG131" s="16"/>
      <c r="AH131" s="11"/>
      <c r="AI131" s="16"/>
      <c r="AJ131" s="11"/>
      <c r="AK131" s="11"/>
      <c r="AL131" s="19"/>
      <c r="AM131" s="11"/>
      <c r="AN131" s="20"/>
      <c r="AO131" s="21"/>
      <c r="AP131" s="21"/>
      <c r="AQ131" s="22" t="s">
        <v>154</v>
      </c>
      <c r="AR131" s="23" t="s">
        <v>155</v>
      </c>
      <c r="AS131" s="14" t="s">
        <v>137</v>
      </c>
      <c r="AT131" s="14" t="s">
        <v>1551</v>
      </c>
      <c r="AU131" s="24" t="s">
        <v>176</v>
      </c>
      <c r="AV131" s="24" t="s">
        <v>1552</v>
      </c>
      <c r="AW131" s="25" t="s">
        <v>1553</v>
      </c>
      <c r="AX131" s="24" t="s">
        <v>141</v>
      </c>
      <c r="AY131" s="24" t="s">
        <v>142</v>
      </c>
      <c r="AZ131" s="17" t="s">
        <v>1554</v>
      </c>
      <c r="BA131" s="17" t="s">
        <v>1555</v>
      </c>
      <c r="BB131" s="26" t="str">
        <f>IFERROR(VLOOKUP($AY131,[1]프로젝트현황!Y:Z,2,0),"기타")</f>
        <v>서북권</v>
      </c>
      <c r="BC131" s="23" t="str">
        <f t="shared" si="21"/>
        <v>경기도 고양시 일산서구 산현로17번길 38, 1107동 602호 (탄현동, 탄현마을)</v>
      </c>
    </row>
    <row r="132" spans="1:55" ht="15" customHeight="1" x14ac:dyDescent="0.3">
      <c r="A132" s="10">
        <f t="shared" si="25"/>
        <v>130</v>
      </c>
      <c r="B132" s="11">
        <v>241001</v>
      </c>
      <c r="C132" s="11" t="s">
        <v>1556</v>
      </c>
      <c r="D132" s="12">
        <v>45572</v>
      </c>
      <c r="E132" s="12">
        <v>45572</v>
      </c>
      <c r="F132" s="12"/>
      <c r="G132" s="13"/>
      <c r="H132" s="14" t="s">
        <v>1557</v>
      </c>
      <c r="I132" s="11" t="s">
        <v>1558</v>
      </c>
      <c r="J132" s="15" t="str">
        <f t="shared" si="26"/>
        <v>790303</v>
      </c>
      <c r="K132" s="15" t="str">
        <f t="shared" si="20"/>
        <v>03</v>
      </c>
      <c r="L132" s="15" t="str">
        <f t="shared" si="27"/>
        <v>남자</v>
      </c>
      <c r="M132" s="15">
        <f t="shared" ca="1" si="28"/>
        <v>48</v>
      </c>
      <c r="N132" s="15" t="s">
        <v>111</v>
      </c>
      <c r="O132" s="15" t="s">
        <v>112</v>
      </c>
      <c r="P132" s="11" t="s">
        <v>1559</v>
      </c>
      <c r="Q132" s="11"/>
      <c r="R132" s="11"/>
      <c r="S132" s="16"/>
      <c r="T132" s="15" t="s">
        <v>114</v>
      </c>
      <c r="U132" s="11"/>
      <c r="V132" s="15" t="str">
        <f t="shared" ref="V132:V195" ca="1" si="30">QUOTIENT(SUMPRODUCT(LEFT($W132:$X132,FIND("년",$W132:$X132)-1)*12+MID($W132:$X132,FIND("년",$W132:$X132)+1,FIND("개월",$W132:$X132)-FIND("년",$W132:$X132)-1)),12)&amp;"년"&amp;MOD(SUMPRODUCT(LEFT($W132:$X132,FIND("년",$W132:$X132)-1)*12+MID($W132:$X132,FIND("년",$W132:$X132)+1,FIND("개월",$W132:$X132)-FIND("년",$W132:$X132)-1)),12)&amp;"개월"</f>
        <v>21년0개월</v>
      </c>
      <c r="W132" s="15" t="s">
        <v>1560</v>
      </c>
      <c r="X132" s="18" t="str">
        <f t="shared" ca="1" si="24"/>
        <v>1년4개월</v>
      </c>
      <c r="Y132" s="17" t="s">
        <v>1561</v>
      </c>
      <c r="Z132" s="17" t="s">
        <v>1317</v>
      </c>
      <c r="AA132" s="14" t="s">
        <v>171</v>
      </c>
      <c r="AB132" s="16">
        <v>38400</v>
      </c>
      <c r="AC132" s="18">
        <f t="shared" ca="1" si="29"/>
        <v>21</v>
      </c>
      <c r="AD132" s="15" t="str">
        <f ca="1">IF($AA132="학사",IF($AC132&lt;=5,"초급",IF($AC132&lt;9,"중급",IF($AC132&lt;12,"고급",IF($AC132&gt;=12,"특급")))))</f>
        <v>특급</v>
      </c>
      <c r="AE132" s="15" t="str">
        <f t="shared" si="23"/>
        <v>미해당</v>
      </c>
      <c r="AF132" s="11"/>
      <c r="AG132" s="16"/>
      <c r="AH132" s="11" t="s">
        <v>87</v>
      </c>
      <c r="AI132" s="16">
        <v>40385</v>
      </c>
      <c r="AJ132" s="11"/>
      <c r="AK132" s="11"/>
      <c r="AL132" s="19"/>
      <c r="AM132" s="11"/>
      <c r="AN132" s="20"/>
      <c r="AO132" s="21"/>
      <c r="AP132" s="21"/>
      <c r="AQ132" s="22" t="s">
        <v>154</v>
      </c>
      <c r="AR132" s="23" t="s">
        <v>155</v>
      </c>
      <c r="AS132" s="14" t="s">
        <v>137</v>
      </c>
      <c r="AT132" s="14" t="s">
        <v>1562</v>
      </c>
      <c r="AU132" s="24" t="s">
        <v>1563</v>
      </c>
      <c r="AV132" s="24" t="s">
        <v>1564</v>
      </c>
      <c r="AW132" s="25" t="s">
        <v>1565</v>
      </c>
      <c r="AX132" s="24" t="s">
        <v>122</v>
      </c>
      <c r="AY132" s="24" t="s">
        <v>421</v>
      </c>
      <c r="AZ132" s="17"/>
      <c r="BA132" s="17" t="s">
        <v>1566</v>
      </c>
      <c r="BB132" s="26" t="str">
        <f>IFERROR(VLOOKUP($AY132,[1]프로젝트현황!Y:Z,2,0),"기타")</f>
        <v>서남권</v>
      </c>
      <c r="BC132" s="23" t="str">
        <f t="shared" si="21"/>
        <v>서울시 영등포구 도림로 313, 나동 1201호</v>
      </c>
    </row>
    <row r="133" spans="1:55" ht="15" customHeight="1" x14ac:dyDescent="0.3">
      <c r="A133" s="10">
        <f t="shared" si="25"/>
        <v>131</v>
      </c>
      <c r="B133" s="11">
        <v>241003</v>
      </c>
      <c r="C133" s="11" t="s">
        <v>1567</v>
      </c>
      <c r="D133" s="12">
        <v>45575</v>
      </c>
      <c r="E133" s="12">
        <v>45575</v>
      </c>
      <c r="F133" s="12"/>
      <c r="G133" s="13"/>
      <c r="H133" s="14" t="s">
        <v>1568</v>
      </c>
      <c r="I133" s="11" t="s">
        <v>1569</v>
      </c>
      <c r="J133" s="15" t="str">
        <f t="shared" si="26"/>
        <v>830422</v>
      </c>
      <c r="K133" s="15" t="str">
        <f t="shared" si="20"/>
        <v>04</v>
      </c>
      <c r="L133" s="15" t="str">
        <f t="shared" si="27"/>
        <v>남자</v>
      </c>
      <c r="M133" s="15">
        <f t="shared" ca="1" si="28"/>
        <v>44</v>
      </c>
      <c r="N133" s="15" t="s">
        <v>111</v>
      </c>
      <c r="O133" s="15" t="s">
        <v>112</v>
      </c>
      <c r="P133" s="11" t="s">
        <v>1570</v>
      </c>
      <c r="Q133" s="11"/>
      <c r="R133" s="11"/>
      <c r="S133" s="16"/>
      <c r="T133" s="15" t="s">
        <v>114</v>
      </c>
      <c r="U133" s="11"/>
      <c r="V133" s="15" t="str">
        <f t="shared" ca="1" si="30"/>
        <v>13년1개월</v>
      </c>
      <c r="W133" s="15" t="s">
        <v>1571</v>
      </c>
      <c r="X133" s="18" t="str">
        <f t="shared" ca="1" si="24"/>
        <v>1년4개월</v>
      </c>
      <c r="Y133" s="17" t="s">
        <v>2746</v>
      </c>
      <c r="Z133" s="17" t="s">
        <v>1572</v>
      </c>
      <c r="AA133" s="14" t="s">
        <v>116</v>
      </c>
      <c r="AB133" s="16">
        <v>40990</v>
      </c>
      <c r="AC133" s="18">
        <f t="shared" ca="1" si="29"/>
        <v>13</v>
      </c>
      <c r="AD133" s="15" t="str">
        <f ca="1">IF($AA133="전문학사",IF($AC133&lt;=8,"초급",IF($AC133&lt;12,"중급",IF($AC133&lt;15,"고급",IF($AC133&gt;=15,"특급")))))</f>
        <v>고급</v>
      </c>
      <c r="AE133" s="15" t="str">
        <f t="shared" si="23"/>
        <v>미해당</v>
      </c>
      <c r="AF133" s="11"/>
      <c r="AG133" s="16"/>
      <c r="AH133" s="11"/>
      <c r="AI133" s="16"/>
      <c r="AJ133" s="11"/>
      <c r="AK133" s="11"/>
      <c r="AL133" s="19"/>
      <c r="AM133" s="11"/>
      <c r="AN133" s="20"/>
      <c r="AO133" s="21"/>
      <c r="AP133" s="21"/>
      <c r="AQ133" s="22" t="s">
        <v>154</v>
      </c>
      <c r="AR133" s="23" t="s">
        <v>155</v>
      </c>
      <c r="AS133" s="14" t="s">
        <v>137</v>
      </c>
      <c r="AT133" s="14" t="s">
        <v>1573</v>
      </c>
      <c r="AU133" s="24"/>
      <c r="AV133" s="24"/>
      <c r="AW133" s="25" t="s">
        <v>1574</v>
      </c>
      <c r="AX133" s="24" t="s">
        <v>141</v>
      </c>
      <c r="AY133" s="24" t="s">
        <v>249</v>
      </c>
      <c r="AZ133" s="17" t="s">
        <v>1575</v>
      </c>
      <c r="BA133" s="17" t="s">
        <v>1576</v>
      </c>
      <c r="BB133" s="26" t="str">
        <f>IFERROR(VLOOKUP($AY133,[1]프로젝트현황!Y:Z,2,0),"기타")</f>
        <v>서남권</v>
      </c>
      <c r="BC133" s="23" t="str">
        <f t="shared" si="21"/>
        <v>경기도 부천시 오정구 소사로 855, 102동 606호</v>
      </c>
    </row>
    <row r="134" spans="1:55" ht="15" customHeight="1" x14ac:dyDescent="0.3">
      <c r="A134" s="10">
        <f t="shared" si="25"/>
        <v>132</v>
      </c>
      <c r="B134" s="11">
        <v>241006</v>
      </c>
      <c r="C134" s="11" t="s">
        <v>1577</v>
      </c>
      <c r="D134" s="12">
        <v>45589</v>
      </c>
      <c r="E134" s="12">
        <v>45589</v>
      </c>
      <c r="F134" s="12"/>
      <c r="G134" s="13"/>
      <c r="H134" s="14" t="s">
        <v>1578</v>
      </c>
      <c r="I134" s="11" t="s">
        <v>1579</v>
      </c>
      <c r="J134" s="15" t="str">
        <f t="shared" si="26"/>
        <v>010523</v>
      </c>
      <c r="K134" s="15" t="str">
        <f t="shared" si="20"/>
        <v>05</v>
      </c>
      <c r="L134" s="15" t="str">
        <f t="shared" si="27"/>
        <v>여자</v>
      </c>
      <c r="M134" s="15">
        <f t="shared" ca="1" si="28"/>
        <v>26</v>
      </c>
      <c r="N134" s="15" t="s">
        <v>111</v>
      </c>
      <c r="O134" s="15" t="s">
        <v>112</v>
      </c>
      <c r="P134" s="11" t="s">
        <v>1580</v>
      </c>
      <c r="Q134" s="11"/>
      <c r="R134" s="11"/>
      <c r="S134" s="16"/>
      <c r="T134" s="15" t="s">
        <v>114</v>
      </c>
      <c r="U134" s="11"/>
      <c r="V134" s="15" t="str">
        <f t="shared" ca="1" si="30"/>
        <v>2년11개월</v>
      </c>
      <c r="W134" s="15" t="s">
        <v>231</v>
      </c>
      <c r="X134" s="18" t="str">
        <f t="shared" ca="1" si="24"/>
        <v>1년3개월</v>
      </c>
      <c r="Y134" s="17" t="s">
        <v>1510</v>
      </c>
      <c r="Z134" s="17" t="s">
        <v>1581</v>
      </c>
      <c r="AA134" s="14" t="s">
        <v>116</v>
      </c>
      <c r="AB134" s="16">
        <v>44588</v>
      </c>
      <c r="AC134" s="18">
        <f t="shared" ca="1" si="29"/>
        <v>2</v>
      </c>
      <c r="AD134" s="15" t="str">
        <f ca="1">IF($AA134="전문학사",IF($AC134&lt;=8,"초급",IF($AC134&lt;12,"중급",IF($AC134&lt;15,"고급",IF($AC134&gt;=15,"특급")))))</f>
        <v>초급</v>
      </c>
      <c r="AE134" s="15" t="str">
        <f t="shared" si="23"/>
        <v>미해당</v>
      </c>
      <c r="AF134" s="11"/>
      <c r="AG134" s="16"/>
      <c r="AH134" s="11"/>
      <c r="AI134" s="16"/>
      <c r="AJ134" s="11"/>
      <c r="AK134" s="11"/>
      <c r="AL134" s="19"/>
      <c r="AM134" s="11"/>
      <c r="AN134" s="20"/>
      <c r="AO134" s="21"/>
      <c r="AP134" s="21"/>
      <c r="AQ134" s="22" t="s">
        <v>154</v>
      </c>
      <c r="AR134" s="23" t="s">
        <v>155</v>
      </c>
      <c r="AS134" s="14" t="s">
        <v>137</v>
      </c>
      <c r="AT134" s="14" t="s">
        <v>1582</v>
      </c>
      <c r="AU134" s="24" t="s">
        <v>176</v>
      </c>
      <c r="AV134" s="24" t="s">
        <v>1583</v>
      </c>
      <c r="AW134" s="25" t="s">
        <v>1584</v>
      </c>
      <c r="AX134" s="24" t="s">
        <v>1585</v>
      </c>
      <c r="AY134" s="24" t="s">
        <v>160</v>
      </c>
      <c r="AZ134" s="17"/>
      <c r="BA134" s="17" t="s">
        <v>1586</v>
      </c>
      <c r="BB134" s="26" t="str">
        <f>IFERROR(VLOOKUP($AY134,[1]프로젝트현황!Y:Z,2,0),"기타")</f>
        <v>서남권</v>
      </c>
      <c r="BC134" s="23" t="str">
        <f t="shared" si="21"/>
        <v>서울특별시 금천구 서부샛길 528, 815호 (가산동, 가산 미소지움)</v>
      </c>
    </row>
    <row r="135" spans="1:55" ht="15" customHeight="1" x14ac:dyDescent="0.3">
      <c r="A135" s="10">
        <f t="shared" si="25"/>
        <v>133</v>
      </c>
      <c r="B135" s="11">
        <v>241007</v>
      </c>
      <c r="C135" s="11" t="s">
        <v>1587</v>
      </c>
      <c r="D135" s="12">
        <v>45593</v>
      </c>
      <c r="E135" s="12">
        <v>45593</v>
      </c>
      <c r="F135" s="12"/>
      <c r="G135" s="13"/>
      <c r="H135" s="14" t="s">
        <v>1588</v>
      </c>
      <c r="I135" s="11" t="s">
        <v>1589</v>
      </c>
      <c r="J135" s="15" t="str">
        <f t="shared" si="26"/>
        <v>960506</v>
      </c>
      <c r="K135" s="15" t="str">
        <f t="shared" ref="K135:K198" si="31">MID($I135,3,2)</f>
        <v>05</v>
      </c>
      <c r="L135" s="15" t="str">
        <f t="shared" si="27"/>
        <v>여자</v>
      </c>
      <c r="M135" s="15">
        <f t="shared" ca="1" si="28"/>
        <v>31</v>
      </c>
      <c r="N135" s="15" t="s">
        <v>111</v>
      </c>
      <c r="O135" s="15" t="s">
        <v>112</v>
      </c>
      <c r="P135" s="11" t="s">
        <v>1590</v>
      </c>
      <c r="Q135" s="11"/>
      <c r="R135" s="11"/>
      <c r="S135" s="16"/>
      <c r="T135" s="15" t="s">
        <v>114</v>
      </c>
      <c r="U135" s="11"/>
      <c r="V135" s="15" t="str">
        <f t="shared" ca="1" si="30"/>
        <v>5년1개월</v>
      </c>
      <c r="W135" s="15" t="s">
        <v>402</v>
      </c>
      <c r="X135" s="18" t="str">
        <f t="shared" ca="1" si="24"/>
        <v>1년3개월</v>
      </c>
      <c r="Y135" s="17" t="s">
        <v>1591</v>
      </c>
      <c r="Z135" s="17" t="s">
        <v>1040</v>
      </c>
      <c r="AA135" s="14" t="s">
        <v>171</v>
      </c>
      <c r="AB135" s="16">
        <v>44063</v>
      </c>
      <c r="AC135" s="18">
        <f t="shared" ca="1" si="29"/>
        <v>5</v>
      </c>
      <c r="AD135" s="15" t="str">
        <f ca="1">IF($AA135="학사",IF($AC135&lt;=5,"초급",IF($AC135&lt;9,"중급",IF($AC135&lt;12,"고급",IF($AC135&gt;=12,"특급")))))</f>
        <v>초급</v>
      </c>
      <c r="AE135" s="15" t="str">
        <f t="shared" si="23"/>
        <v>미해당</v>
      </c>
      <c r="AF135" s="11"/>
      <c r="AG135" s="16"/>
      <c r="AH135" s="11"/>
      <c r="AI135" s="16"/>
      <c r="AJ135" s="11"/>
      <c r="AK135" s="11"/>
      <c r="AL135" s="19"/>
      <c r="AM135" s="11"/>
      <c r="AN135" s="20"/>
      <c r="AO135" s="21"/>
      <c r="AP135" s="21"/>
      <c r="AQ135" s="22" t="s">
        <v>154</v>
      </c>
      <c r="AR135" s="23" t="s">
        <v>155</v>
      </c>
      <c r="AS135" s="14" t="s">
        <v>137</v>
      </c>
      <c r="AT135" s="14" t="s">
        <v>1592</v>
      </c>
      <c r="AU135" s="24"/>
      <c r="AV135" s="24"/>
      <c r="AW135" s="25" t="s">
        <v>1593</v>
      </c>
      <c r="AX135" s="24" t="s">
        <v>141</v>
      </c>
      <c r="AY135" s="24" t="s">
        <v>773</v>
      </c>
      <c r="AZ135" s="17" t="s">
        <v>829</v>
      </c>
      <c r="BA135" s="17" t="s">
        <v>1594</v>
      </c>
      <c r="BB135" s="26" t="str">
        <f>IFERROR(VLOOKUP($AY135,[1]프로젝트현황!Y:Z,2,0),"기타")</f>
        <v>동남권</v>
      </c>
      <c r="BC135" s="23" t="str">
        <f t="shared" si="21"/>
        <v>경기도 용인시 기흥구 백남준로 50-12, A동 3층</v>
      </c>
    </row>
    <row r="136" spans="1:55" ht="15" customHeight="1" x14ac:dyDescent="0.3">
      <c r="A136" s="10">
        <f t="shared" si="25"/>
        <v>134</v>
      </c>
      <c r="B136" s="11">
        <v>241101</v>
      </c>
      <c r="C136" s="11" t="s">
        <v>1595</v>
      </c>
      <c r="D136" s="12">
        <v>45600</v>
      </c>
      <c r="E136" s="12">
        <v>45600</v>
      </c>
      <c r="F136" s="12"/>
      <c r="G136" s="13"/>
      <c r="H136" s="14" t="s">
        <v>1596</v>
      </c>
      <c r="I136" s="11" t="s">
        <v>1597</v>
      </c>
      <c r="J136" s="15" t="str">
        <f t="shared" si="26"/>
        <v>910610</v>
      </c>
      <c r="K136" s="15" t="str">
        <f t="shared" si="31"/>
        <v>06</v>
      </c>
      <c r="L136" s="15" t="str">
        <f t="shared" si="27"/>
        <v>남자</v>
      </c>
      <c r="M136" s="15">
        <f t="shared" ca="1" si="28"/>
        <v>36</v>
      </c>
      <c r="N136" s="15" t="s">
        <v>111</v>
      </c>
      <c r="O136" s="15" t="s">
        <v>112</v>
      </c>
      <c r="P136" s="11" t="s">
        <v>1598</v>
      </c>
      <c r="Q136" s="11"/>
      <c r="R136" s="11"/>
      <c r="S136" s="16"/>
      <c r="T136" s="15" t="s">
        <v>114</v>
      </c>
      <c r="U136" s="11"/>
      <c r="V136" s="15" t="str">
        <f t="shared" ca="1" si="30"/>
        <v>3년4개월</v>
      </c>
      <c r="W136" s="15" t="s">
        <v>1365</v>
      </c>
      <c r="X136" s="18" t="str">
        <f t="shared" ca="1" si="24"/>
        <v>1년3개월</v>
      </c>
      <c r="Y136" s="17" t="s">
        <v>386</v>
      </c>
      <c r="Z136" s="17" t="s">
        <v>272</v>
      </c>
      <c r="AA136" s="14" t="s">
        <v>171</v>
      </c>
      <c r="AB136" s="16">
        <v>43701</v>
      </c>
      <c r="AC136" s="18">
        <f t="shared" ca="1" si="29"/>
        <v>3</v>
      </c>
      <c r="AD136" s="15" t="str">
        <f ca="1">IF($AA136="학사",IF($AC136&lt;=5,"초급",IF($AC136&lt;9,"중급",IF($AC136&lt;12,"고급",IF($AC136&gt;=12,"특급")))))</f>
        <v>초급</v>
      </c>
      <c r="AE136" s="15" t="str">
        <f t="shared" si="23"/>
        <v>미해당</v>
      </c>
      <c r="AF136" s="11" t="s">
        <v>85</v>
      </c>
      <c r="AG136" s="16">
        <v>44288</v>
      </c>
      <c r="AH136" s="11"/>
      <c r="AI136" s="16"/>
      <c r="AJ136" s="11"/>
      <c r="AK136" s="11"/>
      <c r="AL136" s="19"/>
      <c r="AM136" s="11"/>
      <c r="AN136" s="20"/>
      <c r="AO136" s="21"/>
      <c r="AP136" s="21"/>
      <c r="AQ136" s="22" t="s">
        <v>154</v>
      </c>
      <c r="AR136" s="23" t="s">
        <v>155</v>
      </c>
      <c r="AS136" s="14" t="s">
        <v>137</v>
      </c>
      <c r="AT136" s="14" t="s">
        <v>1599</v>
      </c>
      <c r="AU136" s="24"/>
      <c r="AV136" s="24"/>
      <c r="AW136" s="25" t="s">
        <v>1600</v>
      </c>
      <c r="AX136" s="24" t="s">
        <v>461</v>
      </c>
      <c r="AY136" s="24" t="s">
        <v>653</v>
      </c>
      <c r="AZ136" s="17" t="s">
        <v>1601</v>
      </c>
      <c r="BA136" s="17" t="s">
        <v>1602</v>
      </c>
      <c r="BB136" s="26" t="str">
        <f>IFERROR(VLOOKUP($AY136,[1]프로젝트현황!Y:Z,2,0),"기타")</f>
        <v>서남권</v>
      </c>
      <c r="BC136" s="23" t="str">
        <f t="shared" si="21"/>
        <v>인천시 서구 장고개로337번길 32, 5동 1408호</v>
      </c>
    </row>
    <row r="137" spans="1:55" ht="15" customHeight="1" x14ac:dyDescent="0.3">
      <c r="A137" s="10">
        <f t="shared" si="25"/>
        <v>135</v>
      </c>
      <c r="B137" s="11">
        <v>241102</v>
      </c>
      <c r="C137" s="11" t="s">
        <v>1603</v>
      </c>
      <c r="D137" s="12">
        <v>45611</v>
      </c>
      <c r="E137" s="12">
        <v>45611</v>
      </c>
      <c r="F137" s="12"/>
      <c r="G137" s="13"/>
      <c r="H137" s="14" t="s">
        <v>1604</v>
      </c>
      <c r="I137" s="11" t="s">
        <v>1605</v>
      </c>
      <c r="J137" s="15" t="str">
        <f t="shared" si="26"/>
        <v>881125</v>
      </c>
      <c r="K137" s="15" t="str">
        <f t="shared" si="31"/>
        <v>11</v>
      </c>
      <c r="L137" s="15" t="str">
        <f t="shared" si="27"/>
        <v>남자</v>
      </c>
      <c r="M137" s="15">
        <f t="shared" ca="1" si="28"/>
        <v>39</v>
      </c>
      <c r="N137" s="15" t="s">
        <v>111</v>
      </c>
      <c r="O137" s="15" t="s">
        <v>112</v>
      </c>
      <c r="P137" s="11" t="s">
        <v>1606</v>
      </c>
      <c r="Q137" s="11"/>
      <c r="R137" s="11"/>
      <c r="S137" s="16"/>
      <c r="T137" s="15" t="s">
        <v>114</v>
      </c>
      <c r="U137" s="11"/>
      <c r="V137" s="15" t="str">
        <f t="shared" ca="1" si="30"/>
        <v>7년4개월</v>
      </c>
      <c r="W137" s="15" t="s">
        <v>1607</v>
      </c>
      <c r="X137" s="18" t="str">
        <f t="shared" ca="1" si="24"/>
        <v>1년2개월</v>
      </c>
      <c r="Y137" s="17" t="s">
        <v>373</v>
      </c>
      <c r="Z137" s="17" t="s">
        <v>1337</v>
      </c>
      <c r="AA137" s="14" t="s">
        <v>171</v>
      </c>
      <c r="AB137" s="16">
        <v>41319</v>
      </c>
      <c r="AC137" s="18">
        <f t="shared" ca="1" si="29"/>
        <v>7</v>
      </c>
      <c r="AD137" s="15" t="str">
        <f ca="1">IF($AA137="학사",IF($AC137&lt;=5,"초급",IF($AC137&lt;9,"중급",IF($AC137&lt;12,"고급",IF($AC137&gt;=12,"특급")))))</f>
        <v>중급</v>
      </c>
      <c r="AE137" s="15" t="str">
        <f t="shared" si="23"/>
        <v>미해당</v>
      </c>
      <c r="AF137" s="11"/>
      <c r="AG137" s="16"/>
      <c r="AH137" s="11"/>
      <c r="AI137" s="16"/>
      <c r="AJ137" s="11"/>
      <c r="AK137" s="11"/>
      <c r="AL137" s="19"/>
      <c r="AM137" s="11"/>
      <c r="AN137" s="20"/>
      <c r="AO137" s="21"/>
      <c r="AP137" s="21"/>
      <c r="AQ137" s="22" t="s">
        <v>154</v>
      </c>
      <c r="AR137" s="23" t="s">
        <v>155</v>
      </c>
      <c r="AS137" s="14" t="s">
        <v>137</v>
      </c>
      <c r="AT137" s="14" t="s">
        <v>1608</v>
      </c>
      <c r="AU137" s="24" t="s">
        <v>176</v>
      </c>
      <c r="AV137" s="24" t="s">
        <v>1609</v>
      </c>
      <c r="AW137" s="25" t="s">
        <v>1610</v>
      </c>
      <c r="AX137" s="24" t="s">
        <v>141</v>
      </c>
      <c r="AY137" s="24" t="s">
        <v>477</v>
      </c>
      <c r="AZ137" s="17"/>
      <c r="BA137" s="17" t="s">
        <v>1611</v>
      </c>
      <c r="BB137" s="26" t="str">
        <f>IFERROR(VLOOKUP($AY137,[1]프로젝트현황!Y:Z,2,0),"기타")</f>
        <v>서남권</v>
      </c>
      <c r="BC137" s="23" t="str">
        <f t="shared" si="21"/>
        <v>경기도 화성시 동탄공원로 21-12, 910동 2002호 (능동, 동탄푸른마을 포스코더샾 아파트)</v>
      </c>
    </row>
    <row r="138" spans="1:55" ht="15" customHeight="1" x14ac:dyDescent="0.3">
      <c r="A138" s="10">
        <f t="shared" si="25"/>
        <v>136</v>
      </c>
      <c r="B138" s="11">
        <v>241103</v>
      </c>
      <c r="C138" s="11" t="s">
        <v>1612</v>
      </c>
      <c r="D138" s="12">
        <v>45611</v>
      </c>
      <c r="E138" s="12">
        <v>45611</v>
      </c>
      <c r="F138" s="12"/>
      <c r="G138" s="13"/>
      <c r="H138" s="14" t="s">
        <v>1613</v>
      </c>
      <c r="I138" s="11" t="s">
        <v>1614</v>
      </c>
      <c r="J138" s="15" t="str">
        <f t="shared" si="26"/>
        <v>930924</v>
      </c>
      <c r="K138" s="15" t="str">
        <f t="shared" si="31"/>
        <v>09</v>
      </c>
      <c r="L138" s="15" t="str">
        <f t="shared" si="27"/>
        <v>남자</v>
      </c>
      <c r="M138" s="15">
        <f t="shared" ca="1" si="28"/>
        <v>34</v>
      </c>
      <c r="N138" s="15" t="s">
        <v>111</v>
      </c>
      <c r="O138" s="15" t="s">
        <v>112</v>
      </c>
      <c r="P138" s="11" t="s">
        <v>1615</v>
      </c>
      <c r="Q138" s="11"/>
      <c r="R138" s="11"/>
      <c r="S138" s="16"/>
      <c r="T138" s="15" t="s">
        <v>114</v>
      </c>
      <c r="U138" s="11"/>
      <c r="V138" s="15" t="str">
        <f t="shared" ca="1" si="30"/>
        <v>4년9개월</v>
      </c>
      <c r="W138" s="15" t="s">
        <v>1616</v>
      </c>
      <c r="X138" s="18" t="str">
        <f t="shared" ca="1" si="24"/>
        <v>1년2개월</v>
      </c>
      <c r="Y138" s="17" t="s">
        <v>836</v>
      </c>
      <c r="Z138" s="17" t="s">
        <v>1460</v>
      </c>
      <c r="AA138" s="14" t="s">
        <v>116</v>
      </c>
      <c r="AB138" s="16">
        <v>42782</v>
      </c>
      <c r="AC138" s="18">
        <f t="shared" ca="1" si="29"/>
        <v>4</v>
      </c>
      <c r="AD138" s="15" t="str">
        <f ca="1">IF($AA138="전문학사",IF($AC138&lt;=8,"초급",IF($AC138&lt;12,"중급",IF($AC138&lt;15,"고급",IF($AC138&gt;=15,"특급")))))</f>
        <v>초급</v>
      </c>
      <c r="AE138" s="15" t="str">
        <f t="shared" si="23"/>
        <v>미해당</v>
      </c>
      <c r="AF138" s="11"/>
      <c r="AG138" s="16"/>
      <c r="AH138" s="11" t="s">
        <v>87</v>
      </c>
      <c r="AI138" s="16">
        <v>43930</v>
      </c>
      <c r="AJ138" s="11"/>
      <c r="AK138" s="11"/>
      <c r="AL138" s="19"/>
      <c r="AM138" s="11"/>
      <c r="AN138" s="20"/>
      <c r="AO138" s="21"/>
      <c r="AP138" s="21"/>
      <c r="AQ138" s="22" t="s">
        <v>154</v>
      </c>
      <c r="AR138" s="23" t="s">
        <v>155</v>
      </c>
      <c r="AS138" s="14" t="s">
        <v>137</v>
      </c>
      <c r="AT138" s="14" t="s">
        <v>1617</v>
      </c>
      <c r="AU138" s="24" t="s">
        <v>176</v>
      </c>
      <c r="AV138" s="24" t="s">
        <v>1618</v>
      </c>
      <c r="AW138" s="25" t="s">
        <v>1619</v>
      </c>
      <c r="AX138" s="24" t="s">
        <v>1585</v>
      </c>
      <c r="AY138" s="24" t="s">
        <v>785</v>
      </c>
      <c r="AZ138" s="17"/>
      <c r="BA138" s="17" t="s">
        <v>1620</v>
      </c>
      <c r="BB138" s="26" t="str">
        <f>IFERROR(VLOOKUP($AY138,[1]프로젝트현황!Y:Z,2,0),"기타")</f>
        <v>서남권</v>
      </c>
      <c r="BC138" s="23" t="str">
        <f t="shared" si="21"/>
        <v>서울특별시 동작구 성대로3길 16 (상도동)</v>
      </c>
    </row>
    <row r="139" spans="1:55" ht="15" customHeight="1" x14ac:dyDescent="0.3">
      <c r="A139" s="10">
        <f t="shared" si="25"/>
        <v>137</v>
      </c>
      <c r="B139" s="11">
        <v>241104</v>
      </c>
      <c r="C139" s="11" t="s">
        <v>1621</v>
      </c>
      <c r="D139" s="12">
        <v>45614</v>
      </c>
      <c r="E139" s="12">
        <v>45614</v>
      </c>
      <c r="F139" s="12"/>
      <c r="G139" s="13"/>
      <c r="H139" s="14" t="s">
        <v>1622</v>
      </c>
      <c r="I139" s="11" t="s">
        <v>1623</v>
      </c>
      <c r="J139" s="15" t="str">
        <f t="shared" si="26"/>
        <v>000226</v>
      </c>
      <c r="K139" s="15" t="str">
        <f t="shared" si="31"/>
        <v>02</v>
      </c>
      <c r="L139" s="15" t="str">
        <f t="shared" si="27"/>
        <v>남자</v>
      </c>
      <c r="M139" s="15">
        <f t="shared" ca="1" si="28"/>
        <v>27</v>
      </c>
      <c r="N139" s="15" t="s">
        <v>111</v>
      </c>
      <c r="O139" s="15" t="s">
        <v>112</v>
      </c>
      <c r="P139" s="11" t="s">
        <v>1624</v>
      </c>
      <c r="Q139" s="11"/>
      <c r="R139" s="11"/>
      <c r="S139" s="16"/>
      <c r="T139" s="15" t="s">
        <v>114</v>
      </c>
      <c r="U139" s="11"/>
      <c r="V139" s="15" t="str">
        <f t="shared" ca="1" si="30"/>
        <v>1년2개월</v>
      </c>
      <c r="W139" s="15" t="s">
        <v>428</v>
      </c>
      <c r="X139" s="18" t="str">
        <f t="shared" ca="1" si="24"/>
        <v>1년2개월</v>
      </c>
      <c r="Y139" s="17" t="s">
        <v>1591</v>
      </c>
      <c r="Z139" s="17" t="s">
        <v>1014</v>
      </c>
      <c r="AA139" s="14" t="s">
        <v>171</v>
      </c>
      <c r="AB139" s="16">
        <v>45337</v>
      </c>
      <c r="AC139" s="18">
        <f t="shared" ca="1" si="29"/>
        <v>1</v>
      </c>
      <c r="AD139" s="15" t="str">
        <f ca="1">IF($AA139="학사",IF($AC139&lt;=8,"초급",IF($AC139&lt;12,"중급",IF($AC139&lt;15,"고급",IF($AC139&gt;=15,"특급")))))</f>
        <v>초급</v>
      </c>
      <c r="AE139" s="15" t="str">
        <f t="shared" si="23"/>
        <v>미해당</v>
      </c>
      <c r="AF139" s="11"/>
      <c r="AG139" s="16"/>
      <c r="AH139" s="11"/>
      <c r="AI139" s="16"/>
      <c r="AJ139" s="11"/>
      <c r="AK139" s="16"/>
      <c r="AL139" s="19"/>
      <c r="AM139" s="11"/>
      <c r="AN139" s="20"/>
      <c r="AO139" s="21"/>
      <c r="AP139" s="21"/>
      <c r="AQ139" s="22" t="s">
        <v>154</v>
      </c>
      <c r="AR139" s="23" t="s">
        <v>155</v>
      </c>
      <c r="AS139" s="14" t="s">
        <v>137</v>
      </c>
      <c r="AT139" s="14" t="s">
        <v>1625</v>
      </c>
      <c r="AU139" s="24" t="s">
        <v>157</v>
      </c>
      <c r="AV139" s="24" t="s">
        <v>1626</v>
      </c>
      <c r="AW139" s="25" t="s">
        <v>1627</v>
      </c>
      <c r="AX139" s="24" t="s">
        <v>1585</v>
      </c>
      <c r="AY139" s="24" t="s">
        <v>665</v>
      </c>
      <c r="AZ139" s="17"/>
      <c r="BA139" s="17" t="s">
        <v>1628</v>
      </c>
      <c r="BB139" s="26" t="str">
        <f>IFERROR(VLOOKUP($AY139,[1]프로젝트현황!Y:Z,2,0),"기타")</f>
        <v>서북권</v>
      </c>
      <c r="BC139" s="23" t="str">
        <f t="shared" si="21"/>
        <v>서울특별시 마포구 광성로 17, 101동 2102호</v>
      </c>
    </row>
    <row r="140" spans="1:55" ht="15" customHeight="1" x14ac:dyDescent="0.3">
      <c r="A140" s="10">
        <f t="shared" si="25"/>
        <v>138</v>
      </c>
      <c r="B140" s="11">
        <v>241106</v>
      </c>
      <c r="C140" s="11" t="s">
        <v>1629</v>
      </c>
      <c r="D140" s="12">
        <v>45621</v>
      </c>
      <c r="E140" s="12">
        <v>45621</v>
      </c>
      <c r="F140" s="12"/>
      <c r="G140" s="13">
        <v>46053</v>
      </c>
      <c r="H140" s="14" t="s">
        <v>1630</v>
      </c>
      <c r="I140" s="11" t="s">
        <v>1631</v>
      </c>
      <c r="J140" s="15" t="str">
        <f t="shared" si="26"/>
        <v>860401</v>
      </c>
      <c r="K140" s="15" t="str">
        <f t="shared" si="31"/>
        <v>04</v>
      </c>
      <c r="L140" s="15" t="str">
        <f t="shared" si="27"/>
        <v>여자</v>
      </c>
      <c r="M140" s="15">
        <f t="shared" ca="1" si="28"/>
        <v>41</v>
      </c>
      <c r="N140" s="15" t="s">
        <v>111</v>
      </c>
      <c r="O140" s="15" t="s">
        <v>112</v>
      </c>
      <c r="P140" s="11" t="s">
        <v>1632</v>
      </c>
      <c r="Q140" s="11"/>
      <c r="R140" s="11"/>
      <c r="S140" s="16"/>
      <c r="T140" s="15" t="s">
        <v>114</v>
      </c>
      <c r="U140" s="11"/>
      <c r="V140" s="15" t="str">
        <f t="shared" ca="1" si="30"/>
        <v>4년7개월</v>
      </c>
      <c r="W140" s="15" t="s">
        <v>1633</v>
      </c>
      <c r="X140" s="18" t="str">
        <f t="shared" ca="1" si="24"/>
        <v>1년2개월</v>
      </c>
      <c r="Y140" s="17" t="s">
        <v>1220</v>
      </c>
      <c r="Z140" s="17" t="s">
        <v>1634</v>
      </c>
      <c r="AA140" s="14" t="s">
        <v>171</v>
      </c>
      <c r="AB140" s="16">
        <v>44979</v>
      </c>
      <c r="AC140" s="18">
        <f t="shared" ca="1" si="29"/>
        <v>4</v>
      </c>
      <c r="AD140" s="15" t="str">
        <f ca="1">IF($AA140="학사",IF($AC140&lt;=8,"초급",IF($AC140&lt;12,"중급",IF($AC140&lt;15,"고급",IF($AC140&gt;=15,"특급")))))</f>
        <v>초급</v>
      </c>
      <c r="AE140" s="15" t="str">
        <f t="shared" si="23"/>
        <v>미해당</v>
      </c>
      <c r="AF140" s="11"/>
      <c r="AG140" s="16"/>
      <c r="AH140" s="11" t="s">
        <v>87</v>
      </c>
      <c r="AI140" s="16">
        <v>45589</v>
      </c>
      <c r="AJ140" s="11"/>
      <c r="AK140" s="11"/>
      <c r="AL140" s="19"/>
      <c r="AM140" s="11"/>
      <c r="AN140" s="20"/>
      <c r="AO140" s="21"/>
      <c r="AP140" s="21"/>
      <c r="AQ140" s="22" t="s">
        <v>154</v>
      </c>
      <c r="AR140" s="23" t="s">
        <v>155</v>
      </c>
      <c r="AS140" s="14" t="s">
        <v>137</v>
      </c>
      <c r="AT140" s="14" t="s">
        <v>1635</v>
      </c>
      <c r="AU140" s="24" t="s">
        <v>157</v>
      </c>
      <c r="AV140" s="24" t="s">
        <v>1636</v>
      </c>
      <c r="AW140" s="25" t="s">
        <v>1637</v>
      </c>
      <c r="AX140" s="24" t="s">
        <v>141</v>
      </c>
      <c r="AY140" s="24" t="s">
        <v>773</v>
      </c>
      <c r="AZ140" s="17" t="s">
        <v>1638</v>
      </c>
      <c r="BA140" s="17" t="s">
        <v>1639</v>
      </c>
      <c r="BB140" s="26" t="str">
        <f>IFERROR(VLOOKUP($AY140,[1]프로젝트현황!Y:Z,2,0),"기타")</f>
        <v>동남권</v>
      </c>
      <c r="BC140" s="23" t="str">
        <f t="shared" si="21"/>
        <v>경기도 용인시 처인구 포곡읍 포곡로123번길 18-9, 403호 (태영아파트)</v>
      </c>
    </row>
    <row r="141" spans="1:55" ht="15" customHeight="1" x14ac:dyDescent="0.3">
      <c r="A141" s="10">
        <f t="shared" si="25"/>
        <v>139</v>
      </c>
      <c r="B141" s="11">
        <v>241201</v>
      </c>
      <c r="C141" s="11" t="s">
        <v>1640</v>
      </c>
      <c r="D141" s="12">
        <v>45642</v>
      </c>
      <c r="E141" s="12">
        <v>45642</v>
      </c>
      <c r="F141" s="12"/>
      <c r="G141" s="13"/>
      <c r="H141" s="14" t="s">
        <v>1641</v>
      </c>
      <c r="I141" s="11" t="s">
        <v>1642</v>
      </c>
      <c r="J141" s="15" t="str">
        <f t="shared" si="26"/>
        <v>950615</v>
      </c>
      <c r="K141" s="15" t="str">
        <f t="shared" si="31"/>
        <v>06</v>
      </c>
      <c r="L141" s="15" t="str">
        <f t="shared" si="27"/>
        <v>남자</v>
      </c>
      <c r="M141" s="15">
        <f t="shared" ca="1" si="28"/>
        <v>32</v>
      </c>
      <c r="N141" s="15" t="s">
        <v>111</v>
      </c>
      <c r="O141" s="15" t="s">
        <v>112</v>
      </c>
      <c r="P141" s="11" t="s">
        <v>1643</v>
      </c>
      <c r="Q141" s="11"/>
      <c r="R141" s="11"/>
      <c r="S141" s="16"/>
      <c r="T141" s="15" t="s">
        <v>114</v>
      </c>
      <c r="U141" s="11"/>
      <c r="V141" s="15" t="str">
        <f t="shared" ca="1" si="30"/>
        <v>8년2개월</v>
      </c>
      <c r="W141" s="15" t="s">
        <v>1644</v>
      </c>
      <c r="X141" s="18" t="str">
        <f t="shared" ca="1" si="24"/>
        <v>1년1개월</v>
      </c>
      <c r="Y141" s="17" t="s">
        <v>243</v>
      </c>
      <c r="Z141" s="17" t="s">
        <v>1645</v>
      </c>
      <c r="AA141" s="14" t="s">
        <v>116</v>
      </c>
      <c r="AB141" s="16" t="s">
        <v>1646</v>
      </c>
      <c r="AC141" s="18">
        <f t="shared" ca="1" si="29"/>
        <v>8</v>
      </c>
      <c r="AD141" s="15" t="str">
        <f ca="1">IF($AA141="전문학사",IF($AC141&lt;=8,"초급",IF($AC141&lt;12,"중급",IF($AC141&lt;15,"고급",IF($AC141&gt;=15,"특급")))))</f>
        <v>초급</v>
      </c>
      <c r="AE141" s="15" t="str">
        <f t="shared" si="23"/>
        <v>미해당</v>
      </c>
      <c r="AF141" s="11"/>
      <c r="AG141" s="16"/>
      <c r="AH141" s="11"/>
      <c r="AI141" s="16"/>
      <c r="AJ141" s="11"/>
      <c r="AK141" s="11"/>
      <c r="AL141" s="19"/>
      <c r="AM141" s="11"/>
      <c r="AN141" s="20"/>
      <c r="AO141" s="21"/>
      <c r="AP141" s="21"/>
      <c r="AQ141" s="22" t="s">
        <v>154</v>
      </c>
      <c r="AR141" s="23" t="s">
        <v>155</v>
      </c>
      <c r="AS141" s="14" t="s">
        <v>137</v>
      </c>
      <c r="AT141" s="14" t="s">
        <v>1647</v>
      </c>
      <c r="AU141" s="24" t="s">
        <v>157</v>
      </c>
      <c r="AV141" s="24" t="s">
        <v>1648</v>
      </c>
      <c r="AW141" s="25" t="s">
        <v>1649</v>
      </c>
      <c r="AX141" s="24" t="s">
        <v>1585</v>
      </c>
      <c r="AY141" s="24" t="s">
        <v>1419</v>
      </c>
      <c r="AZ141" s="17"/>
      <c r="BA141" s="17" t="s">
        <v>1650</v>
      </c>
      <c r="BB141" s="26" t="str">
        <f>IFERROR(VLOOKUP($AY141,[1]프로젝트현황!Y:Z,2,0),"기타")</f>
        <v>동남권</v>
      </c>
      <c r="BC141" s="23" t="str">
        <f t="shared" si="21"/>
        <v>서울특별시 강동구 상일동 고덕리엔파크, 301-1001호</v>
      </c>
    </row>
    <row r="142" spans="1:55" ht="15" customHeight="1" x14ac:dyDescent="0.3">
      <c r="A142" s="10">
        <f t="shared" si="25"/>
        <v>140</v>
      </c>
      <c r="B142" s="11">
        <v>250101</v>
      </c>
      <c r="C142" s="11" t="s">
        <v>1651</v>
      </c>
      <c r="D142" s="12">
        <v>45659</v>
      </c>
      <c r="E142" s="12">
        <v>45659</v>
      </c>
      <c r="F142" s="12"/>
      <c r="G142" s="13"/>
      <c r="H142" s="14" t="s">
        <v>1652</v>
      </c>
      <c r="I142" s="11" t="s">
        <v>1653</v>
      </c>
      <c r="J142" s="15" t="str">
        <f t="shared" si="26"/>
        <v>941115</v>
      </c>
      <c r="K142" s="15" t="str">
        <f t="shared" si="31"/>
        <v>11</v>
      </c>
      <c r="L142" s="15" t="str">
        <f t="shared" si="27"/>
        <v>남자</v>
      </c>
      <c r="M142" s="15">
        <f t="shared" ca="1" si="28"/>
        <v>33</v>
      </c>
      <c r="N142" s="15" t="s">
        <v>111</v>
      </c>
      <c r="O142" s="15" t="s">
        <v>112</v>
      </c>
      <c r="P142" s="11" t="s">
        <v>1654</v>
      </c>
      <c r="Q142" s="11"/>
      <c r="R142" s="11"/>
      <c r="S142" s="16"/>
      <c r="T142" s="15" t="s">
        <v>114</v>
      </c>
      <c r="U142" s="11"/>
      <c r="V142" s="15" t="str">
        <f t="shared" ca="1" si="30"/>
        <v>1년1개월</v>
      </c>
      <c r="W142" s="15" t="s">
        <v>428</v>
      </c>
      <c r="X142" s="18" t="str">
        <f t="shared" ca="1" si="24"/>
        <v>1년1개월</v>
      </c>
      <c r="Y142" s="17" t="s">
        <v>683</v>
      </c>
      <c r="Z142" s="17" t="s">
        <v>1655</v>
      </c>
      <c r="AA142" s="14" t="s">
        <v>171</v>
      </c>
      <c r="AB142" s="16">
        <v>45527</v>
      </c>
      <c r="AC142" s="18">
        <f t="shared" ca="1" si="29"/>
        <v>1</v>
      </c>
      <c r="AD142" s="15" t="str">
        <f ca="1">IF($AA142="학사",IF($AC142&lt;=8,"초급",IF($AC142&lt;12,"중급",IF($AC142&lt;15,"고급",IF($AC142&gt;=15,"특급")))))</f>
        <v>초급</v>
      </c>
      <c r="AE142" s="15" t="str">
        <f t="shared" si="23"/>
        <v>미해당</v>
      </c>
      <c r="AF142" s="11"/>
      <c r="AG142" s="16"/>
      <c r="AH142" s="11"/>
      <c r="AI142" s="16"/>
      <c r="AJ142" s="11"/>
      <c r="AK142" s="11"/>
      <c r="AL142" s="19"/>
      <c r="AM142" s="11"/>
      <c r="AN142" s="20"/>
      <c r="AO142" s="21"/>
      <c r="AP142" s="21"/>
      <c r="AQ142" s="22" t="s">
        <v>154</v>
      </c>
      <c r="AR142" s="23" t="s">
        <v>155</v>
      </c>
      <c r="AS142" s="14" t="s">
        <v>137</v>
      </c>
      <c r="AT142" s="14" t="s">
        <v>1656</v>
      </c>
      <c r="AU142" s="24"/>
      <c r="AV142" s="24"/>
      <c r="AW142" s="25" t="s">
        <v>1657</v>
      </c>
      <c r="AX142" s="24" t="s">
        <v>141</v>
      </c>
      <c r="AY142" s="24" t="s">
        <v>142</v>
      </c>
      <c r="AZ142" s="17" t="s">
        <v>1658</v>
      </c>
      <c r="BA142" s="17" t="s">
        <v>1659</v>
      </c>
      <c r="BB142" s="26" t="str">
        <f>IFERROR(VLOOKUP($AY142,[1]프로젝트현황!Y:Z,2,0),"기타")</f>
        <v>서북권</v>
      </c>
      <c r="BC142" s="23" t="str">
        <f t="shared" si="21"/>
        <v>경기도 고양시 일산동구 태극로 11</v>
      </c>
    </row>
    <row r="143" spans="1:55" ht="15" customHeight="1" x14ac:dyDescent="0.3">
      <c r="A143" s="10">
        <f t="shared" si="25"/>
        <v>141</v>
      </c>
      <c r="B143" s="11">
        <v>250102</v>
      </c>
      <c r="C143" s="11" t="s">
        <v>1660</v>
      </c>
      <c r="D143" s="12">
        <v>45663</v>
      </c>
      <c r="E143" s="12">
        <v>45663</v>
      </c>
      <c r="F143" s="12"/>
      <c r="G143" s="13"/>
      <c r="H143" s="14" t="s">
        <v>1661</v>
      </c>
      <c r="I143" s="11" t="s">
        <v>1662</v>
      </c>
      <c r="J143" s="15" t="str">
        <f t="shared" si="26"/>
        <v>960328</v>
      </c>
      <c r="K143" s="15" t="str">
        <f t="shared" si="31"/>
        <v>03</v>
      </c>
      <c r="L143" s="15" t="str">
        <f t="shared" si="27"/>
        <v>남자</v>
      </c>
      <c r="M143" s="15">
        <f t="shared" ca="1" si="28"/>
        <v>31</v>
      </c>
      <c r="N143" s="15" t="s">
        <v>111</v>
      </c>
      <c r="O143" s="15" t="s">
        <v>112</v>
      </c>
      <c r="P143" s="11" t="s">
        <v>1663</v>
      </c>
      <c r="Q143" s="11"/>
      <c r="R143" s="11"/>
      <c r="S143" s="16"/>
      <c r="T143" s="15" t="s">
        <v>114</v>
      </c>
      <c r="U143" s="11"/>
      <c r="V143" s="15" t="str">
        <f t="shared" ca="1" si="30"/>
        <v>3년1개월</v>
      </c>
      <c r="W143" s="15" t="s">
        <v>1664</v>
      </c>
      <c r="X143" s="18" t="str">
        <f t="shared" ca="1" si="24"/>
        <v>1년1개월</v>
      </c>
      <c r="Y143" s="17" t="s">
        <v>1665</v>
      </c>
      <c r="Z143" s="17" t="s">
        <v>1210</v>
      </c>
      <c r="AA143" s="14" t="s">
        <v>171</v>
      </c>
      <c r="AB143" s="16">
        <v>44243</v>
      </c>
      <c r="AC143" s="18">
        <f t="shared" ca="1" si="29"/>
        <v>3</v>
      </c>
      <c r="AD143" s="15" t="str">
        <f ca="1">IF($AA143="학사",IF($AC143&lt;=8,"초급",IF($AC143&lt;12,"중급",IF($AC143&lt;15,"고급",IF($AC143&gt;=15,"특급")))))</f>
        <v>초급</v>
      </c>
      <c r="AE143" s="15" t="str">
        <f t="shared" si="23"/>
        <v>미해당</v>
      </c>
      <c r="AF143" s="11"/>
      <c r="AG143" s="16"/>
      <c r="AH143" s="11"/>
      <c r="AI143" s="16"/>
      <c r="AJ143" s="11"/>
      <c r="AK143" s="11"/>
      <c r="AL143" s="19"/>
      <c r="AM143" s="11"/>
      <c r="AN143" s="20"/>
      <c r="AO143" s="21"/>
      <c r="AP143" s="21"/>
      <c r="AQ143" s="22" t="s">
        <v>154</v>
      </c>
      <c r="AR143" s="23" t="s">
        <v>155</v>
      </c>
      <c r="AS143" s="14" t="s">
        <v>137</v>
      </c>
      <c r="AT143" s="14" t="s">
        <v>1666</v>
      </c>
      <c r="AU143" s="24" t="s">
        <v>176</v>
      </c>
      <c r="AV143" s="24" t="s">
        <v>1667</v>
      </c>
      <c r="AW143" s="25" t="s">
        <v>1668</v>
      </c>
      <c r="AX143" s="24" t="s">
        <v>141</v>
      </c>
      <c r="AY143" s="24" t="s">
        <v>773</v>
      </c>
      <c r="AZ143" s="17" t="s">
        <v>774</v>
      </c>
      <c r="BA143" s="17" t="s">
        <v>1669</v>
      </c>
      <c r="BB143" s="26" t="str">
        <f>IFERROR(VLOOKUP($AY143,[1]프로젝트현황!Y:Z,2,0),"기타")</f>
        <v>동남권</v>
      </c>
      <c r="BC143" s="23" t="str">
        <f t="shared" si="21"/>
        <v>경기도 용인시 수지구 수풍로 90, 109동 1101호</v>
      </c>
    </row>
    <row r="144" spans="1:55" ht="15" customHeight="1" x14ac:dyDescent="0.3">
      <c r="A144" s="10">
        <f t="shared" si="25"/>
        <v>142</v>
      </c>
      <c r="B144" s="11">
        <v>250103</v>
      </c>
      <c r="C144" s="11" t="s">
        <v>1670</v>
      </c>
      <c r="D144" s="12">
        <v>45663</v>
      </c>
      <c r="E144" s="12">
        <v>45663</v>
      </c>
      <c r="F144" s="12"/>
      <c r="G144" s="13"/>
      <c r="H144" s="14" t="s">
        <v>1671</v>
      </c>
      <c r="I144" s="11" t="s">
        <v>1672</v>
      </c>
      <c r="J144" s="15" t="str">
        <f t="shared" si="26"/>
        <v>910518</v>
      </c>
      <c r="K144" s="15" t="str">
        <f t="shared" si="31"/>
        <v>05</v>
      </c>
      <c r="L144" s="15" t="str">
        <f t="shared" si="27"/>
        <v>남자</v>
      </c>
      <c r="M144" s="15">
        <f t="shared" ca="1" si="28"/>
        <v>36</v>
      </c>
      <c r="N144" s="15" t="s">
        <v>111</v>
      </c>
      <c r="O144" s="15" t="s">
        <v>112</v>
      </c>
      <c r="P144" s="11" t="s">
        <v>1673</v>
      </c>
      <c r="Q144" s="11"/>
      <c r="R144" s="11"/>
      <c r="S144" s="16"/>
      <c r="T144" s="15" t="s">
        <v>114</v>
      </c>
      <c r="U144" s="11"/>
      <c r="V144" s="15" t="str">
        <f t="shared" ca="1" si="30"/>
        <v>4년5개월</v>
      </c>
      <c r="W144" s="15" t="s">
        <v>1385</v>
      </c>
      <c r="X144" s="18" t="str">
        <f t="shared" ca="1" si="24"/>
        <v>1년1개월</v>
      </c>
      <c r="Y144" s="17" t="s">
        <v>1674</v>
      </c>
      <c r="Z144" s="17" t="s">
        <v>1675</v>
      </c>
      <c r="AA144" s="14" t="s">
        <v>171</v>
      </c>
      <c r="AB144" s="16">
        <v>42419</v>
      </c>
      <c r="AC144" s="18">
        <f t="shared" ca="1" si="29"/>
        <v>4</v>
      </c>
      <c r="AD144" s="15" t="str">
        <f ca="1">IF($AA144="학사",IF($AC144&lt;=8,"초급",IF($AC144&lt;12,"중급",IF($AC144&lt;15,"고급",IF($AC144&gt;=15,"특급")))))</f>
        <v>초급</v>
      </c>
      <c r="AE144" s="15" t="str">
        <f t="shared" si="23"/>
        <v>미해당</v>
      </c>
      <c r="AF144" s="11"/>
      <c r="AG144" s="16"/>
      <c r="AH144" s="11"/>
      <c r="AI144" s="16"/>
      <c r="AJ144" s="11"/>
      <c r="AK144" s="11"/>
      <c r="AL144" s="19"/>
      <c r="AM144" s="11"/>
      <c r="AN144" s="20"/>
      <c r="AO144" s="21"/>
      <c r="AP144" s="21"/>
      <c r="AQ144" s="22" t="s">
        <v>154</v>
      </c>
      <c r="AR144" s="23" t="s">
        <v>155</v>
      </c>
      <c r="AS144" s="14" t="s">
        <v>137</v>
      </c>
      <c r="AT144" s="14" t="s">
        <v>1676</v>
      </c>
      <c r="AU144" s="24" t="s">
        <v>1677</v>
      </c>
      <c r="AV144" s="24" t="s">
        <v>1678</v>
      </c>
      <c r="AW144" s="25" t="s">
        <v>1679</v>
      </c>
      <c r="AX144" s="24" t="s">
        <v>1585</v>
      </c>
      <c r="AY144" s="24" t="s">
        <v>278</v>
      </c>
      <c r="AZ144" s="17"/>
      <c r="BA144" s="17" t="s">
        <v>1680</v>
      </c>
      <c r="BB144" s="26" t="str">
        <f>IFERROR(VLOOKUP($AY144,[1]프로젝트현황!Y:Z,2,0),"기타")</f>
        <v>동남권</v>
      </c>
      <c r="BC144" s="23" t="str">
        <f t="shared" si="21"/>
        <v>서울특별시 서초구 언남길 49, 405호</v>
      </c>
    </row>
    <row r="145" spans="1:55" ht="15" customHeight="1" x14ac:dyDescent="0.3">
      <c r="A145" s="10">
        <f t="shared" si="25"/>
        <v>143</v>
      </c>
      <c r="B145" s="11">
        <v>250104</v>
      </c>
      <c r="C145" s="11" t="s">
        <v>1681</v>
      </c>
      <c r="D145" s="12">
        <v>45663</v>
      </c>
      <c r="E145" s="12">
        <v>45663</v>
      </c>
      <c r="F145" s="12"/>
      <c r="G145" s="13"/>
      <c r="H145" s="14" t="s">
        <v>1682</v>
      </c>
      <c r="I145" s="11" t="s">
        <v>1683</v>
      </c>
      <c r="J145" s="15" t="str">
        <f t="shared" si="26"/>
        <v>801024</v>
      </c>
      <c r="K145" s="15" t="str">
        <f t="shared" si="31"/>
        <v>10</v>
      </c>
      <c r="L145" s="15" t="str">
        <f t="shared" si="27"/>
        <v>남자</v>
      </c>
      <c r="M145" s="15">
        <f t="shared" ca="1" si="28"/>
        <v>47</v>
      </c>
      <c r="N145" s="15" t="s">
        <v>111</v>
      </c>
      <c r="O145" s="15" t="s">
        <v>112</v>
      </c>
      <c r="P145" s="11" t="s">
        <v>1684</v>
      </c>
      <c r="Q145" s="11"/>
      <c r="R145" s="11"/>
      <c r="S145" s="16"/>
      <c r="T145" s="15" t="s">
        <v>114</v>
      </c>
      <c r="U145" s="11"/>
      <c r="V145" s="15" t="str">
        <f t="shared" ca="1" si="30"/>
        <v>16년8개월</v>
      </c>
      <c r="W145" s="15" t="s">
        <v>1685</v>
      </c>
      <c r="X145" s="18" t="str">
        <f t="shared" ca="1" si="24"/>
        <v>1년1개월</v>
      </c>
      <c r="Y145" s="17" t="s">
        <v>582</v>
      </c>
      <c r="Z145" s="17" t="s">
        <v>471</v>
      </c>
      <c r="AA145" s="14" t="s">
        <v>171</v>
      </c>
      <c r="AB145" s="16">
        <v>39136</v>
      </c>
      <c r="AC145" s="18">
        <f t="shared" ca="1" si="29"/>
        <v>16</v>
      </c>
      <c r="AD145" s="15" t="str">
        <f ca="1">IF($AA145="학사",IF($AC145&lt;=8,"초급",IF($AC145&lt;12,"중급",IF($AC145&lt;15,"고급",IF($AC145&gt;=15,"특급")))))</f>
        <v>특급</v>
      </c>
      <c r="AE145" s="15" t="str">
        <f t="shared" si="23"/>
        <v>미해당</v>
      </c>
      <c r="AF145" s="11"/>
      <c r="AG145" s="16"/>
      <c r="AH145" s="11"/>
      <c r="AI145" s="16"/>
      <c r="AJ145" s="11"/>
      <c r="AK145" s="11"/>
      <c r="AL145" s="19"/>
      <c r="AM145" s="11"/>
      <c r="AN145" s="20"/>
      <c r="AO145" s="21"/>
      <c r="AP145" s="21"/>
      <c r="AQ145" s="22" t="s">
        <v>154</v>
      </c>
      <c r="AR145" s="23" t="s">
        <v>155</v>
      </c>
      <c r="AS145" s="14" t="s">
        <v>137</v>
      </c>
      <c r="AT145" s="14" t="s">
        <v>1686</v>
      </c>
      <c r="AU145" s="24"/>
      <c r="AV145" s="24"/>
      <c r="AW145" s="25" t="s">
        <v>1687</v>
      </c>
      <c r="AX145" s="24" t="s">
        <v>141</v>
      </c>
      <c r="AY145" s="24" t="s">
        <v>249</v>
      </c>
      <c r="AZ145" s="17" t="s">
        <v>250</v>
      </c>
      <c r="BA145" s="17" t="s">
        <v>1688</v>
      </c>
      <c r="BB145" s="26" t="str">
        <f>IFERROR(VLOOKUP($AY145,[1]프로젝트현황!Y:Z,2,0),"기타")</f>
        <v>서남권</v>
      </c>
      <c r="BC145" s="23" t="str">
        <f t="shared" ref="BC145:BC208" si="32">(IF(AX145="","",AX145&amp;" "))&amp;(IF(AY145="","",AY145&amp;" "))&amp;(IF(AZ145="","",AZ145&amp;" "))&amp;BA145</f>
        <v>경기도 부천시 원미구 도약로 146, 208동 2005호 (중동, 덕유마을)</v>
      </c>
    </row>
    <row r="146" spans="1:55" ht="15" customHeight="1" x14ac:dyDescent="0.3">
      <c r="A146" s="10">
        <f t="shared" si="25"/>
        <v>144</v>
      </c>
      <c r="B146" s="11">
        <v>250105</v>
      </c>
      <c r="C146" s="11" t="s">
        <v>1689</v>
      </c>
      <c r="D146" s="12">
        <v>45665</v>
      </c>
      <c r="E146" s="12">
        <v>45665</v>
      </c>
      <c r="F146" s="12"/>
      <c r="G146" s="13"/>
      <c r="H146" s="14" t="s">
        <v>1690</v>
      </c>
      <c r="I146" s="11" t="s">
        <v>1691</v>
      </c>
      <c r="J146" s="15" t="str">
        <f t="shared" si="26"/>
        <v>970910</v>
      </c>
      <c r="K146" s="15" t="str">
        <f t="shared" si="31"/>
        <v>09</v>
      </c>
      <c r="L146" s="15" t="str">
        <f t="shared" si="27"/>
        <v>여자</v>
      </c>
      <c r="M146" s="15">
        <f t="shared" ca="1" si="28"/>
        <v>30</v>
      </c>
      <c r="N146" s="15" t="s">
        <v>111</v>
      </c>
      <c r="O146" s="15" t="s">
        <v>112</v>
      </c>
      <c r="P146" s="11" t="s">
        <v>1692</v>
      </c>
      <c r="Q146" s="11"/>
      <c r="R146" s="11"/>
      <c r="S146" s="16"/>
      <c r="T146" s="15" t="s">
        <v>114</v>
      </c>
      <c r="U146" s="11"/>
      <c r="V146" s="15" t="str">
        <f t="shared" ca="1" si="30"/>
        <v>4년4개월</v>
      </c>
      <c r="W146" s="15" t="s">
        <v>1693</v>
      </c>
      <c r="X146" s="18" t="str">
        <f t="shared" ca="1" si="24"/>
        <v>1년1개월</v>
      </c>
      <c r="Y146" s="17" t="s">
        <v>1694</v>
      </c>
      <c r="Z146" s="17" t="s">
        <v>1695</v>
      </c>
      <c r="AA146" s="14" t="s">
        <v>171</v>
      </c>
      <c r="AB146" s="16">
        <v>43882</v>
      </c>
      <c r="AC146" s="18">
        <f t="shared" ca="1" si="29"/>
        <v>4</v>
      </c>
      <c r="AD146" s="15" t="str">
        <f ca="1">IF($AA146="학사",IF($AC146&lt;=8,"초급",IF($AC146&lt;12,"중급",IF($AC146&lt;15,"고급",IF($AC146&gt;=15,"특급")))))</f>
        <v>초급</v>
      </c>
      <c r="AE146" s="15" t="str">
        <f t="shared" si="23"/>
        <v>미해당</v>
      </c>
      <c r="AF146" s="11"/>
      <c r="AG146" s="16"/>
      <c r="AH146" s="11"/>
      <c r="AI146" s="16"/>
      <c r="AJ146" s="11"/>
      <c r="AK146" s="16"/>
      <c r="AL146" s="19"/>
      <c r="AM146" s="11"/>
      <c r="AN146" s="20" t="s">
        <v>1490</v>
      </c>
      <c r="AO146" s="21"/>
      <c r="AP146" s="21"/>
      <c r="AQ146" s="22" t="s">
        <v>154</v>
      </c>
      <c r="AR146" s="23" t="s">
        <v>155</v>
      </c>
      <c r="AS146" s="14" t="s">
        <v>137</v>
      </c>
      <c r="AT146" s="14" t="s">
        <v>1696</v>
      </c>
      <c r="AU146" s="24"/>
      <c r="AV146" s="24"/>
      <c r="AW146" s="25" t="s">
        <v>1697</v>
      </c>
      <c r="AX146" s="24" t="s">
        <v>1585</v>
      </c>
      <c r="AY146" s="24" t="s">
        <v>785</v>
      </c>
      <c r="AZ146" s="17"/>
      <c r="BA146" s="17" t="s">
        <v>1698</v>
      </c>
      <c r="BB146" s="26" t="str">
        <f>IFERROR(VLOOKUP($AY146,[1]프로젝트현황!Y:Z,2,0),"기타")</f>
        <v>서남권</v>
      </c>
      <c r="BC146" s="23" t="str">
        <f t="shared" si="32"/>
        <v>서울특별시 동작구 사당로26길 90, 905호(사당동, 감골)</v>
      </c>
    </row>
    <row r="147" spans="1:55" ht="15" customHeight="1" x14ac:dyDescent="0.3">
      <c r="A147" s="10">
        <f t="shared" si="25"/>
        <v>145</v>
      </c>
      <c r="B147" s="11">
        <v>250106</v>
      </c>
      <c r="C147" s="11" t="s">
        <v>1699</v>
      </c>
      <c r="D147" s="12">
        <v>45672</v>
      </c>
      <c r="E147" s="12">
        <v>45672</v>
      </c>
      <c r="F147" s="12"/>
      <c r="G147" s="13"/>
      <c r="H147" s="14" t="s">
        <v>1700</v>
      </c>
      <c r="I147" s="11" t="s">
        <v>1701</v>
      </c>
      <c r="J147" s="15" t="str">
        <f t="shared" si="26"/>
        <v>980620</v>
      </c>
      <c r="K147" s="15" t="str">
        <f t="shared" si="31"/>
        <v>06</v>
      </c>
      <c r="L147" s="15" t="str">
        <f t="shared" si="27"/>
        <v>남자</v>
      </c>
      <c r="M147" s="15">
        <f t="shared" ca="1" si="28"/>
        <v>29</v>
      </c>
      <c r="N147" s="15" t="s">
        <v>111</v>
      </c>
      <c r="O147" s="15" t="s">
        <v>112</v>
      </c>
      <c r="P147" s="11" t="s">
        <v>1702</v>
      </c>
      <c r="Q147" s="11"/>
      <c r="R147" s="11"/>
      <c r="S147" s="16"/>
      <c r="T147" s="15" t="s">
        <v>114</v>
      </c>
      <c r="U147" s="11"/>
      <c r="V147" s="15" t="str">
        <f t="shared" ca="1" si="30"/>
        <v>3년5개월</v>
      </c>
      <c r="W147" s="15" t="s">
        <v>1703</v>
      </c>
      <c r="X147" s="18" t="str">
        <f t="shared" ca="1" si="24"/>
        <v>1년0개월</v>
      </c>
      <c r="Y147" s="17" t="s">
        <v>1704</v>
      </c>
      <c r="Z147" s="17" t="s">
        <v>1705</v>
      </c>
      <c r="AA147" s="14" t="s">
        <v>116</v>
      </c>
      <c r="AB147" s="16">
        <v>43509</v>
      </c>
      <c r="AC147" s="18">
        <f t="shared" ca="1" si="29"/>
        <v>3</v>
      </c>
      <c r="AD147" s="15" t="str">
        <f ca="1">IF($AA147="전문학사",IF($AC147&lt;=8,"초급",IF($AC147&lt;12,"중급",IF($AC147&lt;15,"고급",IF($AC147&gt;=15,"특급")))))</f>
        <v>초급</v>
      </c>
      <c r="AE147" s="15" t="str">
        <f t="shared" si="23"/>
        <v>미해당</v>
      </c>
      <c r="AF147" s="11"/>
      <c r="AG147" s="16"/>
      <c r="AH147" s="11"/>
      <c r="AI147" s="16"/>
      <c r="AJ147" s="11"/>
      <c r="AK147" s="11"/>
      <c r="AL147" s="19"/>
      <c r="AM147" s="11"/>
      <c r="AN147" s="20" t="s">
        <v>1706</v>
      </c>
      <c r="AO147" s="21"/>
      <c r="AP147" s="21"/>
      <c r="AQ147" s="22" t="s">
        <v>154</v>
      </c>
      <c r="AR147" s="23" t="s">
        <v>155</v>
      </c>
      <c r="AS147" s="14" t="s">
        <v>137</v>
      </c>
      <c r="AT147" s="14" t="s">
        <v>1707</v>
      </c>
      <c r="AU147" s="24"/>
      <c r="AV147" s="24"/>
      <c r="AW147" s="25" t="s">
        <v>1708</v>
      </c>
      <c r="AX147" s="24" t="s">
        <v>1585</v>
      </c>
      <c r="AY147" s="24" t="s">
        <v>1419</v>
      </c>
      <c r="AZ147" s="17"/>
      <c r="BA147" s="17" t="s">
        <v>1709</v>
      </c>
      <c r="BB147" s="26" t="str">
        <f>IFERROR(VLOOKUP($AY147,[1]프로젝트현황!Y:Z,2,0),"기타")</f>
        <v>동남권</v>
      </c>
      <c r="BC147" s="23" t="str">
        <f t="shared" si="32"/>
        <v>서울특별시 강동구 진황도로25길 50, 101호</v>
      </c>
    </row>
    <row r="148" spans="1:55" ht="15" customHeight="1" x14ac:dyDescent="0.3">
      <c r="A148" s="10">
        <f t="shared" si="25"/>
        <v>146</v>
      </c>
      <c r="B148" s="11">
        <v>250203</v>
      </c>
      <c r="C148" s="11" t="s">
        <v>1710</v>
      </c>
      <c r="D148" s="12">
        <v>45694</v>
      </c>
      <c r="E148" s="12">
        <v>45694</v>
      </c>
      <c r="F148" s="12"/>
      <c r="G148" s="13"/>
      <c r="H148" s="14" t="s">
        <v>1711</v>
      </c>
      <c r="I148" s="11" t="s">
        <v>1712</v>
      </c>
      <c r="J148" s="15" t="str">
        <f t="shared" si="26"/>
        <v>890716</v>
      </c>
      <c r="K148" s="15" t="str">
        <f t="shared" si="31"/>
        <v>07</v>
      </c>
      <c r="L148" s="15" t="str">
        <f t="shared" si="27"/>
        <v>여자</v>
      </c>
      <c r="M148" s="15">
        <f t="shared" ca="1" si="28"/>
        <v>38</v>
      </c>
      <c r="N148" s="15" t="s">
        <v>111</v>
      </c>
      <c r="O148" s="15" t="s">
        <v>112</v>
      </c>
      <c r="P148" s="11" t="s">
        <v>1713</v>
      </c>
      <c r="Q148" s="11"/>
      <c r="R148" s="11"/>
      <c r="S148" s="16"/>
      <c r="T148" s="15" t="s">
        <v>114</v>
      </c>
      <c r="U148" s="11"/>
      <c r="V148" s="15" t="str">
        <f t="shared" ca="1" si="30"/>
        <v>12년3개월</v>
      </c>
      <c r="W148" s="15" t="s">
        <v>372</v>
      </c>
      <c r="X148" s="18" t="str">
        <f t="shared" ca="1" si="24"/>
        <v>1년0개월</v>
      </c>
      <c r="Y148" s="17" t="s">
        <v>1714</v>
      </c>
      <c r="Z148" s="17" t="s">
        <v>1715</v>
      </c>
      <c r="AA148" s="14" t="s">
        <v>171</v>
      </c>
      <c r="AB148" s="16">
        <v>40963</v>
      </c>
      <c r="AC148" s="18">
        <f t="shared" ca="1" si="29"/>
        <v>12</v>
      </c>
      <c r="AD148" s="15" t="str">
        <f ca="1">IF($AA148="학사",IF($AC148&lt;=8,"초급",IF($AC148&lt;12,"중급",IF($AC148&lt;15,"고급",IF($AC148&gt;=15,"특급")))))</f>
        <v>고급</v>
      </c>
      <c r="AE148" s="15" t="str">
        <f t="shared" si="23"/>
        <v>미해당</v>
      </c>
      <c r="AF148" s="11"/>
      <c r="AG148" s="16"/>
      <c r="AH148" s="11"/>
      <c r="AI148" s="16"/>
      <c r="AJ148" s="11"/>
      <c r="AK148" s="11"/>
      <c r="AL148" s="19"/>
      <c r="AM148" s="11"/>
      <c r="AN148" s="20"/>
      <c r="AO148" s="21"/>
      <c r="AP148" s="21"/>
      <c r="AQ148" s="22" t="s">
        <v>154</v>
      </c>
      <c r="AR148" s="23" t="s">
        <v>155</v>
      </c>
      <c r="AS148" s="14" t="s">
        <v>137</v>
      </c>
      <c r="AT148" s="14" t="s">
        <v>1716</v>
      </c>
      <c r="AU148" s="24" t="s">
        <v>1717</v>
      </c>
      <c r="AV148" s="24" t="s">
        <v>1718</v>
      </c>
      <c r="AW148" s="25" t="s">
        <v>1719</v>
      </c>
      <c r="AX148" s="24" t="s">
        <v>141</v>
      </c>
      <c r="AY148" s="24" t="s">
        <v>330</v>
      </c>
      <c r="AZ148" s="17" t="s">
        <v>1720</v>
      </c>
      <c r="BA148" s="17" t="s">
        <v>1721</v>
      </c>
      <c r="BB148" s="26" t="str">
        <f>IFERROR(VLOOKUP($AY148,[1]프로젝트현황!Y:Z,2,0),"기타")</f>
        <v>서남권</v>
      </c>
      <c r="BC148" s="23" t="str">
        <f t="shared" si="32"/>
        <v>경기도 안양시 동안구 관평로 212번길 21, 310동 710호 (관양동, 공작부영아파트)</v>
      </c>
    </row>
    <row r="149" spans="1:55" ht="15" customHeight="1" x14ac:dyDescent="0.3">
      <c r="A149" s="10">
        <f t="shared" si="25"/>
        <v>147</v>
      </c>
      <c r="B149" s="11">
        <v>250205</v>
      </c>
      <c r="C149" s="11" t="s">
        <v>1722</v>
      </c>
      <c r="D149" s="12">
        <v>45698</v>
      </c>
      <c r="E149" s="12">
        <v>45698</v>
      </c>
      <c r="F149" s="12"/>
      <c r="G149" s="13"/>
      <c r="H149" s="14" t="s">
        <v>1723</v>
      </c>
      <c r="I149" s="11" t="s">
        <v>1724</v>
      </c>
      <c r="J149" s="15" t="str">
        <f t="shared" si="26"/>
        <v>041129</v>
      </c>
      <c r="K149" s="15" t="str">
        <f t="shared" si="31"/>
        <v>11</v>
      </c>
      <c r="L149" s="15" t="str">
        <f t="shared" si="27"/>
        <v>여자</v>
      </c>
      <c r="M149" s="15">
        <f t="shared" ca="1" si="28"/>
        <v>23</v>
      </c>
      <c r="N149" s="15" t="s">
        <v>111</v>
      </c>
      <c r="O149" s="15" t="s">
        <v>112</v>
      </c>
      <c r="P149" s="11" t="s">
        <v>1725</v>
      </c>
      <c r="Q149" s="11"/>
      <c r="R149" s="11"/>
      <c r="S149" s="16"/>
      <c r="T149" s="15" t="s">
        <v>114</v>
      </c>
      <c r="U149" s="11"/>
      <c r="V149" s="15" t="str">
        <f t="shared" ca="1" si="30"/>
        <v>1년0개월</v>
      </c>
      <c r="W149" s="15" t="s">
        <v>428</v>
      </c>
      <c r="X149" s="18" t="str">
        <f t="shared" ca="1" si="24"/>
        <v>1년0개월</v>
      </c>
      <c r="Y149" s="17" t="s">
        <v>791</v>
      </c>
      <c r="Z149" s="17" t="s">
        <v>1532</v>
      </c>
      <c r="AA149" s="14" t="s">
        <v>116</v>
      </c>
      <c r="AB149" s="16">
        <v>45702</v>
      </c>
      <c r="AC149" s="18">
        <f t="shared" ca="1" si="29"/>
        <v>1</v>
      </c>
      <c r="AD149" s="15" t="str">
        <f ca="1">IF($AA149="전문학사",IF($AC149&lt;=8,"초급",IF($AC149&lt;12,"중급",IF($AC149&lt;15,"고급",IF($AC149&gt;=15,"특급")))))</f>
        <v>초급</v>
      </c>
      <c r="AE149" s="15" t="str">
        <f t="shared" si="23"/>
        <v>미해당</v>
      </c>
      <c r="AF149" s="11"/>
      <c r="AG149" s="16"/>
      <c r="AH149" s="11"/>
      <c r="AI149" s="16"/>
      <c r="AJ149" s="11"/>
      <c r="AK149" s="11"/>
      <c r="AL149" s="19"/>
      <c r="AM149" s="11"/>
      <c r="AN149" s="20"/>
      <c r="AO149" s="21"/>
      <c r="AP149" s="21"/>
      <c r="AQ149" s="22" t="s">
        <v>154</v>
      </c>
      <c r="AR149" s="23" t="s">
        <v>155</v>
      </c>
      <c r="AS149" s="14" t="s">
        <v>137</v>
      </c>
      <c r="AT149" s="14" t="s">
        <v>1726</v>
      </c>
      <c r="AU149" s="24" t="s">
        <v>157</v>
      </c>
      <c r="AV149" s="24" t="s">
        <v>1727</v>
      </c>
      <c r="AW149" s="25" t="s">
        <v>1728</v>
      </c>
      <c r="AX149" s="24" t="s">
        <v>1585</v>
      </c>
      <c r="AY149" s="24" t="s">
        <v>264</v>
      </c>
      <c r="AZ149" s="17"/>
      <c r="BA149" s="17" t="s">
        <v>1729</v>
      </c>
      <c r="BB149" s="26" t="str">
        <f>IFERROR(VLOOKUP($AY149,[1]프로젝트현황!Y:Z,2,0),"기타")</f>
        <v>서남권</v>
      </c>
      <c r="BC149" s="23" t="str">
        <f t="shared" si="32"/>
        <v>서울특별시 관악구 은천로 93, 102동 304호 (봉천동, 벽산블루밍아파트)</v>
      </c>
    </row>
    <row r="150" spans="1:55" ht="15" customHeight="1" x14ac:dyDescent="0.3">
      <c r="A150" s="10">
        <f t="shared" si="25"/>
        <v>148</v>
      </c>
      <c r="B150" s="11">
        <v>250206</v>
      </c>
      <c r="C150" s="11" t="s">
        <v>1730</v>
      </c>
      <c r="D150" s="12">
        <v>45698</v>
      </c>
      <c r="E150" s="12">
        <v>45698</v>
      </c>
      <c r="F150" s="12"/>
      <c r="G150" s="13"/>
      <c r="H150" s="14" t="s">
        <v>1731</v>
      </c>
      <c r="I150" s="11" t="s">
        <v>1732</v>
      </c>
      <c r="J150" s="15" t="str">
        <f t="shared" si="26"/>
        <v>040923</v>
      </c>
      <c r="K150" s="15" t="str">
        <f t="shared" si="31"/>
        <v>09</v>
      </c>
      <c r="L150" s="15" t="str">
        <f t="shared" si="27"/>
        <v>여자</v>
      </c>
      <c r="M150" s="15">
        <f t="shared" ca="1" si="28"/>
        <v>23</v>
      </c>
      <c r="N150" s="15" t="s">
        <v>111</v>
      </c>
      <c r="O150" s="15" t="s">
        <v>112</v>
      </c>
      <c r="P150" s="11" t="s">
        <v>1733</v>
      </c>
      <c r="Q150" s="11"/>
      <c r="R150" s="11"/>
      <c r="S150" s="16"/>
      <c r="T150" s="15" t="s">
        <v>114</v>
      </c>
      <c r="U150" s="11"/>
      <c r="V150" s="15" t="str">
        <f t="shared" ca="1" si="30"/>
        <v>1년0개월</v>
      </c>
      <c r="W150" s="15" t="s">
        <v>428</v>
      </c>
      <c r="X150" s="18" t="str">
        <f t="shared" ca="1" si="24"/>
        <v>1년0개월</v>
      </c>
      <c r="Y150" s="17" t="s">
        <v>791</v>
      </c>
      <c r="Z150" s="17" t="s">
        <v>1532</v>
      </c>
      <c r="AA150" s="14" t="s">
        <v>116</v>
      </c>
      <c r="AB150" s="16">
        <v>45702</v>
      </c>
      <c r="AC150" s="18">
        <f t="shared" ca="1" si="29"/>
        <v>1</v>
      </c>
      <c r="AD150" s="15" t="str">
        <f ca="1">IF($AA150="전문학사",IF($AC150&lt;=8,"초급",IF($AC150&lt;12,"중급",IF($AC150&lt;15,"고급",IF($AC150&gt;=15,"특급")))))</f>
        <v>초급</v>
      </c>
      <c r="AE150" s="15" t="str">
        <f t="shared" si="23"/>
        <v>미해당</v>
      </c>
      <c r="AF150" s="11"/>
      <c r="AG150" s="16"/>
      <c r="AH150" s="11"/>
      <c r="AI150" s="16"/>
      <c r="AJ150" s="11"/>
      <c r="AK150" s="11"/>
      <c r="AL150" s="19"/>
      <c r="AM150" s="11"/>
      <c r="AN150" s="20"/>
      <c r="AO150" s="21"/>
      <c r="AP150" s="21"/>
      <c r="AQ150" s="22" t="s">
        <v>154</v>
      </c>
      <c r="AR150" s="23" t="s">
        <v>155</v>
      </c>
      <c r="AS150" s="14" t="s">
        <v>137</v>
      </c>
      <c r="AT150" s="14" t="s">
        <v>1734</v>
      </c>
      <c r="AU150" s="24" t="s">
        <v>157</v>
      </c>
      <c r="AV150" s="24" t="s">
        <v>1735</v>
      </c>
      <c r="AW150" s="25" t="s">
        <v>1736</v>
      </c>
      <c r="AX150" s="24" t="s">
        <v>1737</v>
      </c>
      <c r="AY150" s="24" t="s">
        <v>462</v>
      </c>
      <c r="AZ150" s="17" t="s">
        <v>1738</v>
      </c>
      <c r="BA150" s="17" t="s">
        <v>1739</v>
      </c>
      <c r="BB150" s="26" t="str">
        <f>IFERROR(VLOOKUP($AY150,[1]프로젝트현황!Y:Z,2,0),"기타")</f>
        <v>서남권</v>
      </c>
      <c r="BC150" s="23" t="str">
        <f t="shared" si="32"/>
        <v>인천광역시 부평구 안남로222번길 30, 202동 307호 (산곡동, 경남아파트)</v>
      </c>
    </row>
    <row r="151" spans="1:55" ht="15" customHeight="1" x14ac:dyDescent="0.3">
      <c r="A151" s="10">
        <f t="shared" si="25"/>
        <v>149</v>
      </c>
      <c r="B151" s="11">
        <v>250207</v>
      </c>
      <c r="C151" s="11" t="s">
        <v>1740</v>
      </c>
      <c r="D151" s="12">
        <v>45698</v>
      </c>
      <c r="E151" s="12">
        <v>45698</v>
      </c>
      <c r="F151" s="12"/>
      <c r="G151" s="13">
        <v>46073</v>
      </c>
      <c r="H151" s="14" t="s">
        <v>1741</v>
      </c>
      <c r="I151" s="11" t="s">
        <v>1742</v>
      </c>
      <c r="J151" s="15" t="str">
        <f t="shared" si="26"/>
        <v>040320</v>
      </c>
      <c r="K151" s="15" t="str">
        <f t="shared" si="31"/>
        <v>03</v>
      </c>
      <c r="L151" s="15" t="str">
        <f t="shared" si="27"/>
        <v>여자</v>
      </c>
      <c r="M151" s="15">
        <f t="shared" ca="1" si="28"/>
        <v>23</v>
      </c>
      <c r="N151" s="15" t="s">
        <v>111</v>
      </c>
      <c r="O151" s="15" t="s">
        <v>112</v>
      </c>
      <c r="P151" s="11" t="s">
        <v>1743</v>
      </c>
      <c r="Q151" s="11"/>
      <c r="R151" s="11"/>
      <c r="S151" s="16"/>
      <c r="T151" s="15" t="s">
        <v>114</v>
      </c>
      <c r="U151" s="11"/>
      <c r="V151" s="15" t="str">
        <f t="shared" ca="1" si="30"/>
        <v>1년0개월</v>
      </c>
      <c r="W151" s="15" t="s">
        <v>428</v>
      </c>
      <c r="X151" s="18" t="str">
        <f t="shared" ca="1" si="24"/>
        <v>1년0개월</v>
      </c>
      <c r="Y151" s="17" t="s">
        <v>791</v>
      </c>
      <c r="Z151" s="17" t="s">
        <v>1532</v>
      </c>
      <c r="AA151" s="14" t="s">
        <v>116</v>
      </c>
      <c r="AB151" s="16">
        <v>45702</v>
      </c>
      <c r="AC151" s="18">
        <f t="shared" ca="1" si="29"/>
        <v>1</v>
      </c>
      <c r="AD151" s="15" t="str">
        <f ca="1">IF($AA151="전문학사",IF($AC151&lt;=8,"초급",IF($AC151&lt;12,"중급",IF($AC151&lt;15,"고급",IF($AC151&gt;=15,"특급")))))</f>
        <v>초급</v>
      </c>
      <c r="AE151" s="15" t="str">
        <f t="shared" si="23"/>
        <v>미해당</v>
      </c>
      <c r="AF151" s="11"/>
      <c r="AG151" s="16"/>
      <c r="AH151" s="11"/>
      <c r="AI151" s="16"/>
      <c r="AJ151" s="11"/>
      <c r="AK151" s="11"/>
      <c r="AL151" s="19"/>
      <c r="AM151" s="11"/>
      <c r="AN151" s="20"/>
      <c r="AO151" s="21"/>
      <c r="AP151" s="21"/>
      <c r="AQ151" s="22" t="s">
        <v>154</v>
      </c>
      <c r="AR151" s="23" t="s">
        <v>155</v>
      </c>
      <c r="AS151" s="14" t="s">
        <v>137</v>
      </c>
      <c r="AT151" s="14" t="s">
        <v>1744</v>
      </c>
      <c r="AU151" s="24" t="s">
        <v>157</v>
      </c>
      <c r="AV151" s="24" t="s">
        <v>1745</v>
      </c>
      <c r="AW151" s="25" t="s">
        <v>1746</v>
      </c>
      <c r="AX151" s="24" t="s">
        <v>1585</v>
      </c>
      <c r="AY151" s="24" t="s">
        <v>1472</v>
      </c>
      <c r="AZ151" s="17"/>
      <c r="BA151" s="17" t="s">
        <v>1747</v>
      </c>
      <c r="BB151" s="26" t="str">
        <f>IFERROR(VLOOKUP($AY151,[1]프로젝트현황!Y:Z,2,0),"기타")</f>
        <v>서북권</v>
      </c>
      <c r="BC151" s="23" t="str">
        <f t="shared" si="32"/>
        <v>서울특별시 은평구 백련산로2길 19, 110동 1303호 (응암동, 백련산 힐스테이트1차)</v>
      </c>
    </row>
    <row r="152" spans="1:55" ht="15" customHeight="1" x14ac:dyDescent="0.3">
      <c r="A152" s="10">
        <f t="shared" si="25"/>
        <v>150</v>
      </c>
      <c r="B152" s="11">
        <v>250208</v>
      </c>
      <c r="C152" s="11" t="s">
        <v>1748</v>
      </c>
      <c r="D152" s="12">
        <v>45698</v>
      </c>
      <c r="E152" s="12">
        <v>45698</v>
      </c>
      <c r="F152" s="12"/>
      <c r="G152" s="13"/>
      <c r="H152" s="14" t="s">
        <v>1749</v>
      </c>
      <c r="I152" s="11" t="s">
        <v>1750</v>
      </c>
      <c r="J152" s="15" t="str">
        <f t="shared" si="26"/>
        <v>040909</v>
      </c>
      <c r="K152" s="15" t="str">
        <f t="shared" si="31"/>
        <v>09</v>
      </c>
      <c r="L152" s="15" t="str">
        <f t="shared" si="27"/>
        <v>여자</v>
      </c>
      <c r="M152" s="15">
        <f t="shared" ca="1" si="28"/>
        <v>23</v>
      </c>
      <c r="N152" s="15" t="s">
        <v>111</v>
      </c>
      <c r="O152" s="15" t="s">
        <v>112</v>
      </c>
      <c r="P152" s="11" t="s">
        <v>1751</v>
      </c>
      <c r="Q152" s="11"/>
      <c r="R152" s="11"/>
      <c r="S152" s="16"/>
      <c r="T152" s="15" t="s">
        <v>114</v>
      </c>
      <c r="U152" s="11"/>
      <c r="V152" s="15" t="str">
        <f t="shared" ca="1" si="30"/>
        <v>1년0개월</v>
      </c>
      <c r="W152" s="15" t="s">
        <v>428</v>
      </c>
      <c r="X152" s="18" t="str">
        <f t="shared" ca="1" si="24"/>
        <v>1년0개월</v>
      </c>
      <c r="Y152" s="17" t="s">
        <v>791</v>
      </c>
      <c r="Z152" s="17" t="s">
        <v>1532</v>
      </c>
      <c r="AA152" s="14" t="s">
        <v>116</v>
      </c>
      <c r="AB152" s="16">
        <v>45702</v>
      </c>
      <c r="AC152" s="18">
        <f t="shared" ca="1" si="29"/>
        <v>1</v>
      </c>
      <c r="AD152" s="15" t="str">
        <f ca="1">IF($AA152="전문학사",IF($AC152&lt;=8,"초급",IF($AC152&lt;12,"중급",IF($AC152&lt;15,"고급",IF($AC152&gt;=15,"특급")))))</f>
        <v>초급</v>
      </c>
      <c r="AE152" s="15" t="str">
        <f t="shared" si="23"/>
        <v>미해당</v>
      </c>
      <c r="AF152" s="11"/>
      <c r="AG152" s="16"/>
      <c r="AH152" s="11"/>
      <c r="AI152" s="16"/>
      <c r="AJ152" s="11"/>
      <c r="AK152" s="11"/>
      <c r="AL152" s="19"/>
      <c r="AM152" s="11"/>
      <c r="AN152" s="20"/>
      <c r="AO152" s="21"/>
      <c r="AP152" s="21"/>
      <c r="AQ152" s="22" t="s">
        <v>154</v>
      </c>
      <c r="AR152" s="23" t="s">
        <v>155</v>
      </c>
      <c r="AS152" s="14" t="s">
        <v>137</v>
      </c>
      <c r="AT152" s="14" t="s">
        <v>1752</v>
      </c>
      <c r="AU152" s="24"/>
      <c r="AV152" s="24"/>
      <c r="AW152" s="25" t="s">
        <v>1753</v>
      </c>
      <c r="AX152" s="24" t="s">
        <v>141</v>
      </c>
      <c r="AY152" s="24" t="s">
        <v>342</v>
      </c>
      <c r="AZ152" s="17" t="s">
        <v>1754</v>
      </c>
      <c r="BA152" s="17" t="s">
        <v>1755</v>
      </c>
      <c r="BB152" s="26" t="str">
        <f>IFERROR(VLOOKUP($AY152,[1]프로젝트현황!Y:Z,2,0),"기타")</f>
        <v>서북권</v>
      </c>
      <c r="BC152" s="23" t="str">
        <f t="shared" si="32"/>
        <v>경기도 파주시 책향기로 337, 302동 901호 (문발동, 숲속길마을 동문굿모닝힐)</v>
      </c>
    </row>
    <row r="153" spans="1:55" ht="15" customHeight="1" x14ac:dyDescent="0.3">
      <c r="A153" s="10">
        <f t="shared" si="25"/>
        <v>151</v>
      </c>
      <c r="B153" s="11">
        <v>250211</v>
      </c>
      <c r="C153" s="11" t="s">
        <v>1756</v>
      </c>
      <c r="D153" s="12">
        <v>45705</v>
      </c>
      <c r="E153" s="12">
        <v>45705</v>
      </c>
      <c r="F153" s="12"/>
      <c r="G153" s="13"/>
      <c r="H153" s="14" t="s">
        <v>1757</v>
      </c>
      <c r="I153" s="11" t="s">
        <v>1758</v>
      </c>
      <c r="J153" s="15" t="str">
        <f t="shared" si="26"/>
        <v>950427</v>
      </c>
      <c r="K153" s="15" t="str">
        <f t="shared" si="31"/>
        <v>04</v>
      </c>
      <c r="L153" s="15" t="str">
        <f t="shared" si="27"/>
        <v>남자</v>
      </c>
      <c r="M153" s="15">
        <f t="shared" ca="1" si="28"/>
        <v>32</v>
      </c>
      <c r="N153" s="15" t="s">
        <v>111</v>
      </c>
      <c r="O153" s="15" t="s">
        <v>112</v>
      </c>
      <c r="P153" s="11" t="s">
        <v>1759</v>
      </c>
      <c r="Q153" s="11"/>
      <c r="R153" s="11"/>
      <c r="S153" s="16"/>
      <c r="T153" s="15" t="s">
        <v>114</v>
      </c>
      <c r="U153" s="11"/>
      <c r="V153" s="15" t="str">
        <f t="shared" ca="1" si="30"/>
        <v>2년5개월</v>
      </c>
      <c r="W153" s="15" t="s">
        <v>1760</v>
      </c>
      <c r="X153" s="18" t="str">
        <f t="shared" ca="1" si="24"/>
        <v>0년11개월</v>
      </c>
      <c r="Y153" s="17" t="s">
        <v>1761</v>
      </c>
      <c r="Z153" s="17" t="s">
        <v>471</v>
      </c>
      <c r="AA153" s="14" t="s">
        <v>171</v>
      </c>
      <c r="AB153" s="16">
        <v>44974</v>
      </c>
      <c r="AC153" s="18">
        <f t="shared" ca="1" si="29"/>
        <v>2</v>
      </c>
      <c r="AD153" s="15" t="str">
        <f ca="1">IF($AA153="학사",IF($AC153&lt;=8,"초급",IF($AC153&lt;12,"중급",IF($AC153&lt;15,"고급",IF($AC153&gt;=15,"특급")))))</f>
        <v>초급</v>
      </c>
      <c r="AE153" s="15" t="str">
        <f t="shared" si="23"/>
        <v>미해당</v>
      </c>
      <c r="AF153" s="11"/>
      <c r="AG153" s="16"/>
      <c r="AH153" s="11"/>
      <c r="AI153" s="16"/>
      <c r="AJ153" s="11"/>
      <c r="AK153" s="11"/>
      <c r="AL153" s="19"/>
      <c r="AM153" s="11"/>
      <c r="AN153" s="20"/>
      <c r="AO153" s="21"/>
      <c r="AP153" s="21"/>
      <c r="AQ153" s="22" t="s">
        <v>154</v>
      </c>
      <c r="AR153" s="23" t="s">
        <v>155</v>
      </c>
      <c r="AS153" s="14" t="s">
        <v>137</v>
      </c>
      <c r="AT153" s="14" t="s">
        <v>1762</v>
      </c>
      <c r="AU153" s="24" t="s">
        <v>157</v>
      </c>
      <c r="AV153" s="24" t="s">
        <v>1763</v>
      </c>
      <c r="AW153" s="25" t="s">
        <v>1764</v>
      </c>
      <c r="AX153" s="24" t="s">
        <v>1585</v>
      </c>
      <c r="AY153" s="24" t="s">
        <v>608</v>
      </c>
      <c r="AZ153" s="17"/>
      <c r="BA153" s="17" t="s">
        <v>1765</v>
      </c>
      <c r="BB153" s="26" t="str">
        <f>IFERROR(VLOOKUP($AY153,[1]프로젝트현황!Y:Z,2,0),"기타")</f>
        <v>동북권</v>
      </c>
      <c r="BC153" s="23" t="str">
        <f t="shared" si="32"/>
        <v>서울특별시 중랑구 신내로 155, 808동 1308호 (신내동, 화성아파트)</v>
      </c>
    </row>
    <row r="154" spans="1:55" ht="15" customHeight="1" x14ac:dyDescent="0.3">
      <c r="A154" s="10">
        <f t="shared" si="25"/>
        <v>152</v>
      </c>
      <c r="B154" s="11">
        <v>250212</v>
      </c>
      <c r="C154" s="11" t="s">
        <v>1766</v>
      </c>
      <c r="D154" s="12">
        <v>45713</v>
      </c>
      <c r="E154" s="12">
        <v>45713</v>
      </c>
      <c r="F154" s="12"/>
      <c r="G154" s="13"/>
      <c r="H154" s="14" t="s">
        <v>1767</v>
      </c>
      <c r="I154" s="11" t="s">
        <v>1768</v>
      </c>
      <c r="J154" s="15" t="str">
        <f t="shared" si="26"/>
        <v>961217</v>
      </c>
      <c r="K154" s="15" t="str">
        <f t="shared" si="31"/>
        <v>12</v>
      </c>
      <c r="L154" s="15" t="str">
        <f t="shared" si="27"/>
        <v>여자</v>
      </c>
      <c r="M154" s="15">
        <f t="shared" ca="1" si="28"/>
        <v>31</v>
      </c>
      <c r="N154" s="15" t="s">
        <v>111</v>
      </c>
      <c r="O154" s="15" t="s">
        <v>112</v>
      </c>
      <c r="P154" s="11" t="s">
        <v>1769</v>
      </c>
      <c r="Q154" s="11"/>
      <c r="R154" s="11"/>
      <c r="S154" s="16"/>
      <c r="T154" s="15" t="s">
        <v>114</v>
      </c>
      <c r="U154" s="11"/>
      <c r="V154" s="15" t="str">
        <f t="shared" ca="1" si="30"/>
        <v>3년0개월</v>
      </c>
      <c r="W154" s="15" t="s">
        <v>1365</v>
      </c>
      <c r="X154" s="18" t="str">
        <f t="shared" ca="1" si="24"/>
        <v>0년11개월</v>
      </c>
      <c r="Y154" s="17" t="s">
        <v>1770</v>
      </c>
      <c r="Z154" s="17" t="s">
        <v>1501</v>
      </c>
      <c r="AA154" s="14" t="s">
        <v>116</v>
      </c>
      <c r="AB154" s="16">
        <v>42775</v>
      </c>
      <c r="AC154" s="18">
        <f t="shared" ca="1" si="29"/>
        <v>3</v>
      </c>
      <c r="AD154" s="15" t="str">
        <f ca="1">IF($AA154="전문학사",IF($AC154&lt;=8,"초급",IF($AC154&lt;12,"중급",IF($AC154&lt;15,"고급",IF($AC154&gt;=15,"특급")))))</f>
        <v>초급</v>
      </c>
      <c r="AE154" s="15" t="str">
        <f t="shared" si="23"/>
        <v>미해당</v>
      </c>
      <c r="AF154" s="11"/>
      <c r="AG154" s="16"/>
      <c r="AH154" s="11"/>
      <c r="AI154" s="16"/>
      <c r="AJ154" s="11"/>
      <c r="AK154" s="11"/>
      <c r="AL154" s="19"/>
      <c r="AM154" s="11"/>
      <c r="AN154" s="20"/>
      <c r="AO154" s="21"/>
      <c r="AP154" s="21"/>
      <c r="AQ154" s="22" t="s">
        <v>154</v>
      </c>
      <c r="AR154" s="23" t="s">
        <v>155</v>
      </c>
      <c r="AS154" s="14" t="s">
        <v>137</v>
      </c>
      <c r="AT154" s="14" t="s">
        <v>1771</v>
      </c>
      <c r="AU154" s="24" t="s">
        <v>157</v>
      </c>
      <c r="AV154" s="24" t="s">
        <v>1772</v>
      </c>
      <c r="AW154" s="25" t="s">
        <v>1773</v>
      </c>
      <c r="AX154" s="24" t="s">
        <v>1585</v>
      </c>
      <c r="AY154" s="24" t="s">
        <v>688</v>
      </c>
      <c r="AZ154" s="17"/>
      <c r="BA154" s="17" t="s">
        <v>1774</v>
      </c>
      <c r="BB154" s="26" t="str">
        <f>IFERROR(VLOOKUP($AY154,[1]프로젝트현황!Y:Z,2,0),"기타")</f>
        <v>서북권</v>
      </c>
      <c r="BC154" s="23" t="str">
        <f t="shared" si="32"/>
        <v>서울특별시 중구 쌍림동 151-70, 301호</v>
      </c>
    </row>
    <row r="155" spans="1:55" ht="15" customHeight="1" x14ac:dyDescent="0.3">
      <c r="A155" s="10">
        <f t="shared" si="25"/>
        <v>153</v>
      </c>
      <c r="B155" s="11">
        <v>250301</v>
      </c>
      <c r="C155" s="11" t="s">
        <v>1775</v>
      </c>
      <c r="D155" s="12">
        <v>45720</v>
      </c>
      <c r="E155" s="12">
        <v>45720</v>
      </c>
      <c r="F155" s="12"/>
      <c r="G155" s="13"/>
      <c r="H155" s="14" t="s">
        <v>1776</v>
      </c>
      <c r="I155" s="11" t="s">
        <v>1777</v>
      </c>
      <c r="J155" s="15" t="str">
        <f t="shared" si="26"/>
        <v>960626</v>
      </c>
      <c r="K155" s="15" t="str">
        <f t="shared" si="31"/>
        <v>06</v>
      </c>
      <c r="L155" s="15" t="str">
        <f t="shared" si="27"/>
        <v>남자</v>
      </c>
      <c r="M155" s="15">
        <f t="shared" ca="1" si="28"/>
        <v>31</v>
      </c>
      <c r="N155" s="15" t="s">
        <v>111</v>
      </c>
      <c r="O155" s="15" t="s">
        <v>112</v>
      </c>
      <c r="P155" s="11" t="s">
        <v>1778</v>
      </c>
      <c r="Q155" s="11"/>
      <c r="R155" s="11"/>
      <c r="S155" s="16"/>
      <c r="T155" s="15" t="s">
        <v>114</v>
      </c>
      <c r="U155" s="11"/>
      <c r="V155" s="15" t="str">
        <f t="shared" ca="1" si="30"/>
        <v>5년2개월</v>
      </c>
      <c r="W155" s="15" t="s">
        <v>1779</v>
      </c>
      <c r="X155" s="18" t="str">
        <f t="shared" ca="1" si="24"/>
        <v>0년11개월</v>
      </c>
      <c r="Y155" s="17" t="s">
        <v>429</v>
      </c>
      <c r="Z155" s="17" t="s">
        <v>1780</v>
      </c>
      <c r="AA155" s="14" t="s">
        <v>171</v>
      </c>
      <c r="AB155" s="16">
        <v>44607</v>
      </c>
      <c r="AC155" s="18">
        <f t="shared" ca="1" si="29"/>
        <v>5</v>
      </c>
      <c r="AD155" s="15" t="str">
        <f ca="1">IF($AA155="학사",IF($AC155&lt;=8,"초급",IF($AC155&lt;12,"중급",IF($AC155&lt;15,"고급",IF($AC155&gt;=15,"특급")))))</f>
        <v>초급</v>
      </c>
      <c r="AE155" s="15" t="str">
        <f t="shared" si="23"/>
        <v>미해당</v>
      </c>
      <c r="AF155" s="11"/>
      <c r="AG155" s="16"/>
      <c r="AH155" s="11"/>
      <c r="AI155" s="16"/>
      <c r="AJ155" s="11"/>
      <c r="AK155" s="11"/>
      <c r="AL155" s="19"/>
      <c r="AM155" s="11"/>
      <c r="AN155" s="20"/>
      <c r="AO155" s="21"/>
      <c r="AP155" s="21"/>
      <c r="AQ155" s="22" t="s">
        <v>154</v>
      </c>
      <c r="AR155" s="23" t="s">
        <v>155</v>
      </c>
      <c r="AS155" s="14" t="s">
        <v>137</v>
      </c>
      <c r="AT155" s="14" t="s">
        <v>1781</v>
      </c>
      <c r="AU155" s="24" t="s">
        <v>458</v>
      </c>
      <c r="AV155" s="24" t="s">
        <v>1782</v>
      </c>
      <c r="AW155" s="25" t="s">
        <v>1783</v>
      </c>
      <c r="AX155" s="24" t="s">
        <v>141</v>
      </c>
      <c r="AY155" s="24" t="s">
        <v>330</v>
      </c>
      <c r="AZ155" s="17" t="s">
        <v>688</v>
      </c>
      <c r="BA155" s="17" t="s">
        <v>1784</v>
      </c>
      <c r="BB155" s="26" t="str">
        <f>IFERROR(VLOOKUP($AY155,[1]프로젝트현황!Y:Z,2,0),"기타")</f>
        <v>서남권</v>
      </c>
      <c r="BC155" s="23" t="str">
        <f t="shared" si="32"/>
        <v>경기도 안양시 중구 관악대로359번길 10-18, 802호 (관양동, 신송프라자)</v>
      </c>
    </row>
    <row r="156" spans="1:55" ht="15" customHeight="1" x14ac:dyDescent="0.3">
      <c r="A156" s="10">
        <f t="shared" si="25"/>
        <v>154</v>
      </c>
      <c r="B156" s="11">
        <v>250302</v>
      </c>
      <c r="C156" s="11" t="s">
        <v>1785</v>
      </c>
      <c r="D156" s="12">
        <v>45728</v>
      </c>
      <c r="E156" s="12">
        <v>45728</v>
      </c>
      <c r="F156" s="12"/>
      <c r="G156" s="13"/>
      <c r="H156" s="14" t="s">
        <v>1786</v>
      </c>
      <c r="I156" s="11" t="s">
        <v>1787</v>
      </c>
      <c r="J156" s="15" t="str">
        <f t="shared" si="26"/>
        <v>951229</v>
      </c>
      <c r="K156" s="15" t="str">
        <f t="shared" si="31"/>
        <v>12</v>
      </c>
      <c r="L156" s="15" t="str">
        <f t="shared" si="27"/>
        <v>남자</v>
      </c>
      <c r="M156" s="15">
        <f t="shared" ca="1" si="28"/>
        <v>32</v>
      </c>
      <c r="N156" s="15" t="s">
        <v>111</v>
      </c>
      <c r="O156" s="15" t="s">
        <v>112</v>
      </c>
      <c r="P156" s="11" t="s">
        <v>1788</v>
      </c>
      <c r="Q156" s="11"/>
      <c r="R156" s="11"/>
      <c r="S156" s="16"/>
      <c r="T156" s="15" t="s">
        <v>114</v>
      </c>
      <c r="U156" s="11"/>
      <c r="V156" s="15" t="str">
        <f t="shared" ca="1" si="30"/>
        <v>2년10개월</v>
      </c>
      <c r="W156" s="15" t="s">
        <v>1664</v>
      </c>
      <c r="X156" s="18" t="str">
        <f t="shared" ca="1" si="24"/>
        <v>0년10개월</v>
      </c>
      <c r="Y156" s="17" t="s">
        <v>1789</v>
      </c>
      <c r="Z156" s="17" t="s">
        <v>217</v>
      </c>
      <c r="AA156" s="14" t="s">
        <v>116</v>
      </c>
      <c r="AB156" s="16">
        <v>39856</v>
      </c>
      <c r="AC156" s="18">
        <f t="shared" ca="1" si="29"/>
        <v>2</v>
      </c>
      <c r="AD156" s="15" t="str">
        <f ca="1">IF($AA156="전문학사",IF($AC156&lt;=8,"초급",IF($AC156&lt;12,"중급",IF($AC156&lt;15,"고급",IF($AC156&gt;=15,"특급")))))</f>
        <v>초급</v>
      </c>
      <c r="AE156" s="15" t="str">
        <f t="shared" si="23"/>
        <v>미해당</v>
      </c>
      <c r="AF156" s="11"/>
      <c r="AG156" s="16"/>
      <c r="AH156" s="11"/>
      <c r="AI156" s="16"/>
      <c r="AJ156" s="11"/>
      <c r="AK156" s="11"/>
      <c r="AL156" s="19"/>
      <c r="AM156" s="11"/>
      <c r="AN156" s="20"/>
      <c r="AO156" s="21"/>
      <c r="AP156" s="21"/>
      <c r="AQ156" s="22" t="s">
        <v>154</v>
      </c>
      <c r="AR156" s="23" t="s">
        <v>155</v>
      </c>
      <c r="AS156" s="14" t="s">
        <v>137</v>
      </c>
      <c r="AT156" s="14" t="s">
        <v>1790</v>
      </c>
      <c r="AU156" s="24" t="s">
        <v>157</v>
      </c>
      <c r="AV156" s="24" t="s">
        <v>1791</v>
      </c>
      <c r="AW156" s="25" t="s">
        <v>1792</v>
      </c>
      <c r="AX156" s="24" t="s">
        <v>1737</v>
      </c>
      <c r="AY156" s="24" t="s">
        <v>597</v>
      </c>
      <c r="AZ156" s="17"/>
      <c r="BA156" s="17" t="s">
        <v>1793</v>
      </c>
      <c r="BB156" s="26" t="str">
        <f>IFERROR(VLOOKUP($AY156,[1]프로젝트현황!Y:Z,2,0),"기타")</f>
        <v>서남권</v>
      </c>
      <c r="BC156" s="23" t="str">
        <f t="shared" si="32"/>
        <v>인천광역시 연수구 원인재로 59, 6동 501호</v>
      </c>
    </row>
    <row r="157" spans="1:55" ht="15" customHeight="1" x14ac:dyDescent="0.3">
      <c r="A157" s="10">
        <f t="shared" si="25"/>
        <v>155</v>
      </c>
      <c r="B157" s="11">
        <v>250303</v>
      </c>
      <c r="C157" s="11" t="s">
        <v>1794</v>
      </c>
      <c r="D157" s="12">
        <v>45733</v>
      </c>
      <c r="E157" s="12">
        <v>45733</v>
      </c>
      <c r="F157" s="12"/>
      <c r="G157" s="13"/>
      <c r="H157" s="14" t="s">
        <v>1795</v>
      </c>
      <c r="I157" s="11" t="s">
        <v>1796</v>
      </c>
      <c r="J157" s="15" t="str">
        <f t="shared" si="26"/>
        <v>960207</v>
      </c>
      <c r="K157" s="15" t="str">
        <f t="shared" si="31"/>
        <v>02</v>
      </c>
      <c r="L157" s="15" t="str">
        <f t="shared" si="27"/>
        <v>여자</v>
      </c>
      <c r="M157" s="15">
        <f t="shared" ca="1" si="28"/>
        <v>31</v>
      </c>
      <c r="N157" s="15" t="s">
        <v>111</v>
      </c>
      <c r="O157" s="15" t="s">
        <v>112</v>
      </c>
      <c r="P157" s="11" t="s">
        <v>1797</v>
      </c>
      <c r="Q157" s="11"/>
      <c r="R157" s="11"/>
      <c r="S157" s="16"/>
      <c r="T157" s="15" t="s">
        <v>114</v>
      </c>
      <c r="U157" s="11"/>
      <c r="V157" s="15" t="str">
        <f t="shared" ca="1" si="30"/>
        <v>7년0개월</v>
      </c>
      <c r="W157" s="15" t="s">
        <v>1607</v>
      </c>
      <c r="X157" s="18" t="str">
        <f t="shared" ca="1" si="24"/>
        <v>0년10개월</v>
      </c>
      <c r="Y157" s="17" t="s">
        <v>298</v>
      </c>
      <c r="Z157" s="17" t="s">
        <v>1798</v>
      </c>
      <c r="AA157" s="14" t="s">
        <v>116</v>
      </c>
      <c r="AB157" s="16">
        <v>43504</v>
      </c>
      <c r="AC157" s="18">
        <f t="shared" ca="1" si="29"/>
        <v>7</v>
      </c>
      <c r="AD157" s="15" t="str">
        <f ca="1">IF($AA157="전문학사",IF($AC157&lt;=8,"초급",IF($AC157&lt;12,"중급",IF($AC157&lt;15,"고급",IF($AC157&gt;=15,"특급")))))</f>
        <v>초급</v>
      </c>
      <c r="AE157" s="15" t="str">
        <f t="shared" si="23"/>
        <v>미해당</v>
      </c>
      <c r="AF157" s="11"/>
      <c r="AG157" s="16"/>
      <c r="AH157" s="11"/>
      <c r="AI157" s="16"/>
      <c r="AJ157" s="11"/>
      <c r="AK157" s="11"/>
      <c r="AL157" s="19"/>
      <c r="AM157" s="11"/>
      <c r="AN157" s="20"/>
      <c r="AO157" s="21"/>
      <c r="AP157" s="21"/>
      <c r="AQ157" s="22" t="s">
        <v>154</v>
      </c>
      <c r="AR157" s="23" t="s">
        <v>155</v>
      </c>
      <c r="AS157" s="14" t="s">
        <v>137</v>
      </c>
      <c r="AT157" s="14" t="s">
        <v>1799</v>
      </c>
      <c r="AU157" s="24" t="s">
        <v>157</v>
      </c>
      <c r="AV157" s="24" t="s">
        <v>1800</v>
      </c>
      <c r="AW157" s="25" t="s">
        <v>1801</v>
      </c>
      <c r="AX157" s="24" t="s">
        <v>141</v>
      </c>
      <c r="AY157" s="24" t="s">
        <v>773</v>
      </c>
      <c r="AZ157" s="17" t="s">
        <v>774</v>
      </c>
      <c r="BA157" s="17" t="s">
        <v>1802</v>
      </c>
      <c r="BB157" s="26" t="str">
        <f>IFERROR(VLOOKUP($AY157,[1]프로젝트현황!Y:Z,2,0),"기타")</f>
        <v>동남권</v>
      </c>
      <c r="BC157" s="23" t="str">
        <f t="shared" si="32"/>
        <v>경기도 용인시 수지구 성복1로 62, 103동 303호</v>
      </c>
    </row>
    <row r="158" spans="1:55" ht="15" customHeight="1" x14ac:dyDescent="0.3">
      <c r="A158" s="10">
        <f t="shared" si="25"/>
        <v>156</v>
      </c>
      <c r="B158" s="11">
        <v>250304</v>
      </c>
      <c r="C158" s="11" t="s">
        <v>1803</v>
      </c>
      <c r="D158" s="12">
        <v>45733</v>
      </c>
      <c r="E158" s="12">
        <v>45733</v>
      </c>
      <c r="F158" s="12"/>
      <c r="G158" s="13"/>
      <c r="H158" s="14" t="s">
        <v>1804</v>
      </c>
      <c r="I158" s="11" t="s">
        <v>1805</v>
      </c>
      <c r="J158" s="15" t="str">
        <f t="shared" si="26"/>
        <v>970329</v>
      </c>
      <c r="K158" s="15" t="str">
        <f t="shared" si="31"/>
        <v>03</v>
      </c>
      <c r="L158" s="15" t="str">
        <f t="shared" si="27"/>
        <v>여자</v>
      </c>
      <c r="M158" s="15">
        <f t="shared" ca="1" si="28"/>
        <v>30</v>
      </c>
      <c r="N158" s="15" t="s">
        <v>111</v>
      </c>
      <c r="O158" s="15" t="s">
        <v>112</v>
      </c>
      <c r="P158" s="11" t="s">
        <v>1806</v>
      </c>
      <c r="Q158" s="11"/>
      <c r="R158" s="11"/>
      <c r="S158" s="16"/>
      <c r="T158" s="15" t="s">
        <v>114</v>
      </c>
      <c r="U158" s="11"/>
      <c r="V158" s="15" t="str">
        <f t="shared" ca="1" si="30"/>
        <v>3년5개월</v>
      </c>
      <c r="W158" s="15" t="s">
        <v>1807</v>
      </c>
      <c r="X158" s="18" t="str">
        <f t="shared" ca="1" si="24"/>
        <v>0년10개월</v>
      </c>
      <c r="Y158" s="17" t="s">
        <v>1808</v>
      </c>
      <c r="Z158" s="17" t="s">
        <v>1809</v>
      </c>
      <c r="AA158" s="14" t="s">
        <v>171</v>
      </c>
      <c r="AB158" s="16">
        <v>44060</v>
      </c>
      <c r="AC158" s="18">
        <f t="shared" ca="1" si="29"/>
        <v>3</v>
      </c>
      <c r="AD158" s="15" t="str">
        <f ca="1">IF($AA158="학사",IF($AC158&lt;=8,"초급",IF($AC158&lt;12,"중급",IF($AC158&lt;15,"고급",IF($AC158&gt;=15,"특급")))))</f>
        <v>초급</v>
      </c>
      <c r="AE158" s="15" t="str">
        <f t="shared" si="23"/>
        <v>미해당</v>
      </c>
      <c r="AF158" s="11"/>
      <c r="AG158" s="16"/>
      <c r="AH158" s="11"/>
      <c r="AI158" s="16"/>
      <c r="AJ158" s="11"/>
      <c r="AK158" s="11"/>
      <c r="AL158" s="19"/>
      <c r="AM158" s="11"/>
      <c r="AN158" s="20"/>
      <c r="AO158" s="21"/>
      <c r="AP158" s="21"/>
      <c r="AQ158" s="22" t="s">
        <v>154</v>
      </c>
      <c r="AR158" s="23" t="s">
        <v>155</v>
      </c>
      <c r="AS158" s="14" t="s">
        <v>137</v>
      </c>
      <c r="AT158" s="14" t="s">
        <v>1810</v>
      </c>
      <c r="AU158" s="24"/>
      <c r="AV158" s="24"/>
      <c r="AW158" s="25" t="s">
        <v>1811</v>
      </c>
      <c r="AX158" s="24" t="s">
        <v>1737</v>
      </c>
      <c r="AY158" s="24" t="s">
        <v>653</v>
      </c>
      <c r="AZ158" s="17" t="s">
        <v>1812</v>
      </c>
      <c r="BA158" s="17" t="s">
        <v>1813</v>
      </c>
      <c r="BB158" s="26" t="str">
        <f>IFERROR(VLOOKUP($AY158,[1]프로젝트현황!Y:Z,2,0),"기타")</f>
        <v>서남권</v>
      </c>
      <c r="BC158" s="23" t="str">
        <f t="shared" si="32"/>
        <v>인천광역시 서구 중봉대로586번길 22, 103동 2006호 (청라동, 청라엑슬루타워)</v>
      </c>
    </row>
    <row r="159" spans="1:55" ht="15" customHeight="1" x14ac:dyDescent="0.3">
      <c r="A159" s="10">
        <f t="shared" si="25"/>
        <v>157</v>
      </c>
      <c r="B159" s="11">
        <v>250305</v>
      </c>
      <c r="C159" s="11" t="s">
        <v>1814</v>
      </c>
      <c r="D159" s="12">
        <v>45740</v>
      </c>
      <c r="E159" s="12">
        <v>45740</v>
      </c>
      <c r="F159" s="12"/>
      <c r="G159" s="13"/>
      <c r="H159" s="14" t="s">
        <v>1767</v>
      </c>
      <c r="I159" s="11" t="s">
        <v>1815</v>
      </c>
      <c r="J159" s="15" t="str">
        <f t="shared" si="26"/>
        <v>040714</v>
      </c>
      <c r="K159" s="15" t="str">
        <f t="shared" si="31"/>
        <v>07</v>
      </c>
      <c r="L159" s="15" t="str">
        <f t="shared" si="27"/>
        <v>여자</v>
      </c>
      <c r="M159" s="15">
        <f t="shared" ca="1" si="28"/>
        <v>23</v>
      </c>
      <c r="N159" s="15" t="s">
        <v>111</v>
      </c>
      <c r="O159" s="15" t="s">
        <v>112</v>
      </c>
      <c r="P159" s="11" t="s">
        <v>1816</v>
      </c>
      <c r="Q159" s="11"/>
      <c r="R159" s="11"/>
      <c r="S159" s="16"/>
      <c r="T159" s="15" t="s">
        <v>114</v>
      </c>
      <c r="U159" s="11"/>
      <c r="V159" s="15" t="str">
        <f t="shared" ca="1" si="30"/>
        <v>0년10개월</v>
      </c>
      <c r="W159" s="15" t="s">
        <v>428</v>
      </c>
      <c r="X159" s="18" t="str">
        <f t="shared" ca="1" si="24"/>
        <v>0년10개월</v>
      </c>
      <c r="Y159" s="17" t="s">
        <v>791</v>
      </c>
      <c r="Z159" s="17" t="s">
        <v>1532</v>
      </c>
      <c r="AA159" s="14" t="s">
        <v>116</v>
      </c>
      <c r="AB159" s="16">
        <v>45702</v>
      </c>
      <c r="AC159" s="18">
        <f t="shared" ca="1" si="29"/>
        <v>0</v>
      </c>
      <c r="AD159" s="15" t="str">
        <f ca="1">IF($AA159="전문학사",IF($AC159&lt;=8,"초급",IF($AC159&lt;12,"중급",IF($AC159&lt;15,"고급",IF($AC159&gt;=15,"특급")))))</f>
        <v>초급</v>
      </c>
      <c r="AE159" s="15" t="str">
        <f t="shared" si="23"/>
        <v>미해당</v>
      </c>
      <c r="AF159" s="11"/>
      <c r="AG159" s="16"/>
      <c r="AH159" s="11"/>
      <c r="AI159" s="16"/>
      <c r="AJ159" s="11"/>
      <c r="AK159" s="11"/>
      <c r="AL159" s="19"/>
      <c r="AM159" s="11"/>
      <c r="AN159" s="20"/>
      <c r="AO159" s="21"/>
      <c r="AP159" s="21"/>
      <c r="AQ159" s="22" t="s">
        <v>154</v>
      </c>
      <c r="AR159" s="23" t="s">
        <v>155</v>
      </c>
      <c r="AS159" s="14" t="s">
        <v>137</v>
      </c>
      <c r="AT159" s="14" t="s">
        <v>1817</v>
      </c>
      <c r="AU159" s="24" t="s">
        <v>176</v>
      </c>
      <c r="AV159" s="24" t="s">
        <v>1818</v>
      </c>
      <c r="AW159" s="25" t="s">
        <v>1819</v>
      </c>
      <c r="AX159" s="24" t="s">
        <v>1585</v>
      </c>
      <c r="AY159" s="24" t="s">
        <v>264</v>
      </c>
      <c r="AZ159" s="17"/>
      <c r="BA159" s="17" t="s">
        <v>1820</v>
      </c>
      <c r="BB159" s="26" t="str">
        <f>IFERROR(VLOOKUP($AY159,[1]프로젝트현황!Y:Z,2,0),"기타")</f>
        <v>서남권</v>
      </c>
      <c r="BC159" s="23" t="str">
        <f t="shared" si="32"/>
        <v>서울특별시 관악구 난곡로16길 27 (신림동)</v>
      </c>
    </row>
    <row r="160" spans="1:55" ht="15" customHeight="1" x14ac:dyDescent="0.3">
      <c r="A160" s="10">
        <f t="shared" si="25"/>
        <v>158</v>
      </c>
      <c r="B160" s="11">
        <v>250306</v>
      </c>
      <c r="C160" s="11" t="s">
        <v>1821</v>
      </c>
      <c r="D160" s="12">
        <v>45740</v>
      </c>
      <c r="E160" s="12">
        <v>45740</v>
      </c>
      <c r="F160" s="12"/>
      <c r="G160" s="13"/>
      <c r="H160" s="14" t="s">
        <v>1822</v>
      </c>
      <c r="I160" s="11" t="s">
        <v>1823</v>
      </c>
      <c r="J160" s="15" t="str">
        <f t="shared" si="26"/>
        <v>890317</v>
      </c>
      <c r="K160" s="15" t="str">
        <f t="shared" si="31"/>
        <v>03</v>
      </c>
      <c r="L160" s="15" t="str">
        <f t="shared" si="27"/>
        <v>남자</v>
      </c>
      <c r="M160" s="15">
        <f t="shared" ca="1" si="28"/>
        <v>38</v>
      </c>
      <c r="N160" s="15" t="s">
        <v>111</v>
      </c>
      <c r="O160" s="15" t="s">
        <v>112</v>
      </c>
      <c r="P160" s="11" t="s">
        <v>1824</v>
      </c>
      <c r="Q160" s="11"/>
      <c r="R160" s="11"/>
      <c r="S160" s="16"/>
      <c r="T160" s="15" t="s">
        <v>114</v>
      </c>
      <c r="U160" s="11"/>
      <c r="V160" s="15" t="str">
        <f t="shared" ca="1" si="30"/>
        <v>9년5개월</v>
      </c>
      <c r="W160" s="15" t="s">
        <v>1825</v>
      </c>
      <c r="X160" s="18" t="str">
        <f t="shared" ca="1" si="24"/>
        <v>0년10개월</v>
      </c>
      <c r="Y160" s="17" t="s">
        <v>1826</v>
      </c>
      <c r="Z160" s="17" t="s">
        <v>1111</v>
      </c>
      <c r="AA160" s="14" t="s">
        <v>171</v>
      </c>
      <c r="AB160" s="16">
        <v>42422</v>
      </c>
      <c r="AC160" s="18">
        <f t="shared" ca="1" si="29"/>
        <v>9</v>
      </c>
      <c r="AD160" s="15" t="str">
        <f ca="1">IF($AA160="학사",IF($AC160&lt;=8,"초급",IF($AC160&lt;12,"중급",IF($AC160&lt;15,"고급",IF($AC160&gt;=15,"특급")))))</f>
        <v>중급</v>
      </c>
      <c r="AE160" s="15" t="str">
        <f t="shared" si="23"/>
        <v>미해당</v>
      </c>
      <c r="AF160" s="11"/>
      <c r="AG160" s="16"/>
      <c r="AH160" s="11"/>
      <c r="AI160" s="16"/>
      <c r="AJ160" s="11"/>
      <c r="AK160" s="11"/>
      <c r="AL160" s="19"/>
      <c r="AM160" s="11"/>
      <c r="AN160" s="20"/>
      <c r="AO160" s="21"/>
      <c r="AP160" s="21"/>
      <c r="AQ160" s="22" t="s">
        <v>154</v>
      </c>
      <c r="AR160" s="23" t="s">
        <v>155</v>
      </c>
      <c r="AS160" s="14" t="s">
        <v>137</v>
      </c>
      <c r="AT160" s="14" t="s">
        <v>1827</v>
      </c>
      <c r="AU160" s="24" t="s">
        <v>157</v>
      </c>
      <c r="AV160" s="24" t="s">
        <v>1828</v>
      </c>
      <c r="AW160" s="25" t="s">
        <v>1829</v>
      </c>
      <c r="AX160" s="24" t="s">
        <v>1585</v>
      </c>
      <c r="AY160" s="24" t="s">
        <v>543</v>
      </c>
      <c r="AZ160" s="17"/>
      <c r="BA160" s="17" t="s">
        <v>1830</v>
      </c>
      <c r="BB160" s="26" t="str">
        <f>IFERROR(VLOOKUP($AY160,[1]프로젝트현황!Y:Z,2,0),"기타")</f>
        <v>서남권</v>
      </c>
      <c r="BC160" s="23" t="str">
        <f t="shared" si="32"/>
        <v>서울특별시 양천구 곰달래로13길 8 (신월동)</v>
      </c>
    </row>
    <row r="161" spans="1:55" ht="15" customHeight="1" x14ac:dyDescent="0.3">
      <c r="A161" s="10">
        <f t="shared" si="25"/>
        <v>159</v>
      </c>
      <c r="B161" s="11">
        <v>250307</v>
      </c>
      <c r="C161" s="11" t="s">
        <v>1831</v>
      </c>
      <c r="D161" s="12">
        <v>45741</v>
      </c>
      <c r="E161" s="12">
        <v>45741</v>
      </c>
      <c r="F161" s="12"/>
      <c r="G161" s="13"/>
      <c r="H161" s="14" t="s">
        <v>1832</v>
      </c>
      <c r="I161" s="11" t="s">
        <v>1833</v>
      </c>
      <c r="J161" s="15" t="str">
        <f t="shared" si="26"/>
        <v>910712</v>
      </c>
      <c r="K161" s="15" t="str">
        <f t="shared" si="31"/>
        <v>07</v>
      </c>
      <c r="L161" s="15" t="str">
        <f t="shared" si="27"/>
        <v>남자</v>
      </c>
      <c r="M161" s="15">
        <f t="shared" ca="1" si="28"/>
        <v>36</v>
      </c>
      <c r="N161" s="15" t="s">
        <v>111</v>
      </c>
      <c r="O161" s="15" t="s">
        <v>112</v>
      </c>
      <c r="P161" s="11" t="s">
        <v>1834</v>
      </c>
      <c r="Q161" s="11"/>
      <c r="R161" s="11"/>
      <c r="S161" s="16"/>
      <c r="T161" s="15" t="s">
        <v>114</v>
      </c>
      <c r="U161" s="11"/>
      <c r="V161" s="15" t="str">
        <f t="shared" ca="1" si="30"/>
        <v>5년8개월</v>
      </c>
      <c r="W161" s="15" t="s">
        <v>1835</v>
      </c>
      <c r="X161" s="18" t="str">
        <f t="shared" ca="1" si="24"/>
        <v>0년10개월</v>
      </c>
      <c r="Y161" s="17" t="s">
        <v>1836</v>
      </c>
      <c r="Z161" s="17" t="s">
        <v>593</v>
      </c>
      <c r="AA161" s="14" t="s">
        <v>171</v>
      </c>
      <c r="AB161" s="16">
        <v>42598</v>
      </c>
      <c r="AC161" s="18">
        <f t="shared" ca="1" si="29"/>
        <v>5</v>
      </c>
      <c r="AD161" s="15" t="str">
        <f ca="1">IF($AA161="학사",IF($AC161&lt;=8,"초급",IF($AC161&lt;12,"중급",IF($AC161&lt;15,"고급",IF($AC161&gt;=15,"특급")))))</f>
        <v>초급</v>
      </c>
      <c r="AE161" s="15" t="str">
        <f t="shared" si="23"/>
        <v>미해당</v>
      </c>
      <c r="AF161" s="11"/>
      <c r="AG161" s="16"/>
      <c r="AH161" s="11"/>
      <c r="AI161" s="16"/>
      <c r="AJ161" s="11"/>
      <c r="AK161" s="11"/>
      <c r="AL161" s="19"/>
      <c r="AM161" s="11"/>
      <c r="AN161" s="20"/>
      <c r="AO161" s="21"/>
      <c r="AP161" s="21"/>
      <c r="AQ161" s="22" t="s">
        <v>154</v>
      </c>
      <c r="AR161" s="23" t="s">
        <v>155</v>
      </c>
      <c r="AS161" s="14" t="s">
        <v>137</v>
      </c>
      <c r="AT161" s="14" t="s">
        <v>1837</v>
      </c>
      <c r="AU161" s="24"/>
      <c r="AV161" s="24"/>
      <c r="AW161" s="25" t="s">
        <v>1838</v>
      </c>
      <c r="AX161" s="24" t="s">
        <v>1585</v>
      </c>
      <c r="AY161" s="24" t="s">
        <v>236</v>
      </c>
      <c r="AZ161" s="17"/>
      <c r="BA161" s="17" t="s">
        <v>1839</v>
      </c>
      <c r="BB161" s="26" t="str">
        <f>IFERROR(VLOOKUP($AY161,[1]프로젝트현황!Y:Z,2,0),"기타")</f>
        <v>서남권</v>
      </c>
      <c r="BC161" s="23" t="str">
        <f t="shared" si="32"/>
        <v>서울특별시 구로구 도림로20길 30, 가동 810호 (구로동, 성락아파트)</v>
      </c>
    </row>
    <row r="162" spans="1:55" ht="15" customHeight="1" x14ac:dyDescent="0.3">
      <c r="A162" s="10">
        <v>208</v>
      </c>
      <c r="B162" s="11">
        <v>250308</v>
      </c>
      <c r="C162" s="11" t="s">
        <v>1840</v>
      </c>
      <c r="D162" s="12">
        <v>45742</v>
      </c>
      <c r="E162" s="12">
        <v>45742</v>
      </c>
      <c r="F162" s="12"/>
      <c r="G162" s="13"/>
      <c r="H162" s="14" t="s">
        <v>1841</v>
      </c>
      <c r="I162" s="11" t="s">
        <v>1842</v>
      </c>
      <c r="J162" s="15" t="str">
        <f t="shared" si="26"/>
        <v>810119</v>
      </c>
      <c r="K162" s="15" t="str">
        <f t="shared" si="31"/>
        <v>01</v>
      </c>
      <c r="L162" s="15" t="str">
        <f t="shared" si="27"/>
        <v>남자</v>
      </c>
      <c r="M162" s="15">
        <f t="shared" ca="1" si="28"/>
        <v>46</v>
      </c>
      <c r="N162" s="15" t="s">
        <v>111</v>
      </c>
      <c r="O162" s="15" t="s">
        <v>112</v>
      </c>
      <c r="P162" s="11" t="s">
        <v>1843</v>
      </c>
      <c r="Q162" s="11"/>
      <c r="R162" s="11"/>
      <c r="S162" s="16"/>
      <c r="T162" s="15" t="s">
        <v>114</v>
      </c>
      <c r="U162" s="11"/>
      <c r="V162" s="15" t="str">
        <f t="shared" ca="1" si="30"/>
        <v>19년9개월</v>
      </c>
      <c r="W162" s="15" t="s">
        <v>1844</v>
      </c>
      <c r="X162" s="18" t="str">
        <f t="shared" ca="1" si="24"/>
        <v>0년10개월</v>
      </c>
      <c r="Y162" s="17" t="s">
        <v>1845</v>
      </c>
      <c r="Z162" s="17" t="s">
        <v>593</v>
      </c>
      <c r="AA162" s="14" t="s">
        <v>171</v>
      </c>
      <c r="AB162" s="16">
        <v>38766</v>
      </c>
      <c r="AC162" s="18">
        <f t="shared" ca="1" si="29"/>
        <v>19</v>
      </c>
      <c r="AD162" s="15" t="str">
        <f ca="1">IF($AA162="학사",IF($AC162&lt;=8,"초급",IF($AC162&lt;12,"중급",IF($AC162&lt;15,"고급",IF($AC162&gt;=15,"특급")))))</f>
        <v>특급</v>
      </c>
      <c r="AE162" s="15" t="str">
        <f t="shared" si="23"/>
        <v>미해당</v>
      </c>
      <c r="AF162" s="11"/>
      <c r="AG162" s="16"/>
      <c r="AH162" s="11"/>
      <c r="AI162" s="16"/>
      <c r="AJ162" s="11"/>
      <c r="AK162" s="11"/>
      <c r="AL162" s="19"/>
      <c r="AM162" s="11"/>
      <c r="AN162" s="20"/>
      <c r="AO162" s="21"/>
      <c r="AP162" s="21"/>
      <c r="AQ162" s="22" t="s">
        <v>154</v>
      </c>
      <c r="AR162" s="23" t="s">
        <v>155</v>
      </c>
      <c r="AS162" s="14" t="s">
        <v>137</v>
      </c>
      <c r="AT162" s="14" t="s">
        <v>1846</v>
      </c>
      <c r="AU162" s="24" t="s">
        <v>1563</v>
      </c>
      <c r="AV162" s="24" t="s">
        <v>1847</v>
      </c>
      <c r="AW162" s="25" t="s">
        <v>1848</v>
      </c>
      <c r="AX162" s="24" t="s">
        <v>1585</v>
      </c>
      <c r="AY162" s="24" t="s">
        <v>532</v>
      </c>
      <c r="AZ162" s="17"/>
      <c r="BA162" s="17" t="s">
        <v>1849</v>
      </c>
      <c r="BB162" s="26" t="str">
        <f>IFERROR(VLOOKUP($AY162,[1]프로젝트현황!Y:Z,2,0),"기타")</f>
        <v>동북권</v>
      </c>
      <c r="BC162" s="23" t="str">
        <f t="shared" si="32"/>
        <v>서울특별시 광진구 천호대로134길 46, 602호</v>
      </c>
    </row>
    <row r="163" spans="1:55" ht="15" customHeight="1" x14ac:dyDescent="0.3">
      <c r="A163" s="10">
        <f t="shared" ref="A163:A226" si="33">ROW()-2</f>
        <v>161</v>
      </c>
      <c r="B163" s="11">
        <v>250401</v>
      </c>
      <c r="C163" s="11" t="s">
        <v>1850</v>
      </c>
      <c r="D163" s="12">
        <v>45748</v>
      </c>
      <c r="E163" s="12">
        <v>45748</v>
      </c>
      <c r="F163" s="12"/>
      <c r="G163" s="13"/>
      <c r="H163" s="14" t="s">
        <v>1851</v>
      </c>
      <c r="I163" s="11" t="s">
        <v>1852</v>
      </c>
      <c r="J163" s="15" t="str">
        <f t="shared" si="26"/>
        <v>851119</v>
      </c>
      <c r="K163" s="15" t="str">
        <f t="shared" si="31"/>
        <v>11</v>
      </c>
      <c r="L163" s="15" t="str">
        <f t="shared" si="27"/>
        <v>남자</v>
      </c>
      <c r="M163" s="15">
        <f t="shared" ca="1" si="28"/>
        <v>42</v>
      </c>
      <c r="N163" s="15" t="s">
        <v>111</v>
      </c>
      <c r="O163" s="15" t="s">
        <v>112</v>
      </c>
      <c r="P163" s="11" t="s">
        <v>1853</v>
      </c>
      <c r="Q163" s="11"/>
      <c r="R163" s="11"/>
      <c r="S163" s="16"/>
      <c r="T163" s="15" t="s">
        <v>114</v>
      </c>
      <c r="U163" s="11"/>
      <c r="V163" s="15" t="str">
        <f t="shared" ca="1" si="30"/>
        <v>13년4개월</v>
      </c>
      <c r="W163" s="15" t="s">
        <v>1854</v>
      </c>
      <c r="X163" s="18" t="str">
        <f t="shared" ca="1" si="24"/>
        <v>0년10개월</v>
      </c>
      <c r="Y163" s="17" t="s">
        <v>337</v>
      </c>
      <c r="Z163" s="17" t="s">
        <v>1469</v>
      </c>
      <c r="AA163" s="14" t="s">
        <v>116</v>
      </c>
      <c r="AB163" s="16">
        <v>40220</v>
      </c>
      <c r="AC163" s="18">
        <f t="shared" ca="1" si="29"/>
        <v>13</v>
      </c>
      <c r="AD163" s="15" t="str">
        <f ca="1">IF($AA163="전문학사",IF($AC163&lt;=8,"초급",IF($AC163&lt;12,"중급",IF($AC163&lt;15,"고급",IF($AC163&gt;=15,"특급")))))</f>
        <v>고급</v>
      </c>
      <c r="AE163" s="15" t="str">
        <f t="shared" si="23"/>
        <v>미해당</v>
      </c>
      <c r="AF163" s="11"/>
      <c r="AG163" s="16"/>
      <c r="AH163" s="11"/>
      <c r="AI163" s="16"/>
      <c r="AJ163" s="11"/>
      <c r="AK163" s="11"/>
      <c r="AL163" s="19"/>
      <c r="AM163" s="11"/>
      <c r="AN163" s="20"/>
      <c r="AO163" s="21"/>
      <c r="AP163" s="21"/>
      <c r="AQ163" s="22" t="s">
        <v>154</v>
      </c>
      <c r="AR163" s="23" t="s">
        <v>155</v>
      </c>
      <c r="AS163" s="14" t="s">
        <v>137</v>
      </c>
      <c r="AT163" s="14" t="s">
        <v>1855</v>
      </c>
      <c r="AU163" s="24"/>
      <c r="AV163" s="24"/>
      <c r="AW163" s="25" t="s">
        <v>1856</v>
      </c>
      <c r="AX163" s="24" t="s">
        <v>1585</v>
      </c>
      <c r="AY163" s="24" t="s">
        <v>785</v>
      </c>
      <c r="AZ163" s="17"/>
      <c r="BA163" s="17" t="s">
        <v>1857</v>
      </c>
      <c r="BB163" s="26" t="str">
        <f>IFERROR(VLOOKUP($AY163,[1]프로젝트현황!Y:Z,2,0),"기타")</f>
        <v>서남권</v>
      </c>
      <c r="BC163" s="23" t="str">
        <f t="shared" si="32"/>
        <v>서울특별시 동작구 신대방14가길 7-3, 303호 (신대방동, 대방아트빌)</v>
      </c>
    </row>
    <row r="164" spans="1:55" ht="15" customHeight="1" x14ac:dyDescent="0.3">
      <c r="A164" s="10">
        <f t="shared" si="33"/>
        <v>162</v>
      </c>
      <c r="B164" s="11">
        <v>250402</v>
      </c>
      <c r="C164" s="11" t="s">
        <v>1858</v>
      </c>
      <c r="D164" s="12">
        <v>45754</v>
      </c>
      <c r="E164" s="12">
        <v>45754</v>
      </c>
      <c r="F164" s="12"/>
      <c r="G164" s="13"/>
      <c r="H164" s="14" t="s">
        <v>1859</v>
      </c>
      <c r="I164" s="11" t="s">
        <v>1860</v>
      </c>
      <c r="J164" s="15" t="str">
        <f t="shared" si="26"/>
        <v>960503</v>
      </c>
      <c r="K164" s="15" t="str">
        <f t="shared" si="31"/>
        <v>05</v>
      </c>
      <c r="L164" s="15" t="str">
        <f t="shared" si="27"/>
        <v>남자</v>
      </c>
      <c r="M164" s="15">
        <f t="shared" ca="1" si="28"/>
        <v>31</v>
      </c>
      <c r="N164" s="15" t="s">
        <v>111</v>
      </c>
      <c r="O164" s="15" t="s">
        <v>112</v>
      </c>
      <c r="P164" s="11" t="s">
        <v>1861</v>
      </c>
      <c r="Q164" s="11"/>
      <c r="R164" s="11"/>
      <c r="S164" s="16"/>
      <c r="T164" s="15" t="s">
        <v>114</v>
      </c>
      <c r="U164" s="11"/>
      <c r="V164" s="15" t="str">
        <f t="shared" ca="1" si="30"/>
        <v>2년9개월</v>
      </c>
      <c r="W164" s="15" t="s">
        <v>1862</v>
      </c>
      <c r="X164" s="18" t="str">
        <f t="shared" ca="1" si="24"/>
        <v>0년10개월</v>
      </c>
      <c r="Y164" s="17" t="s">
        <v>1863</v>
      </c>
      <c r="Z164" s="17" t="s">
        <v>1864</v>
      </c>
      <c r="AA164" s="14" t="s">
        <v>171</v>
      </c>
      <c r="AB164" s="16">
        <v>44608</v>
      </c>
      <c r="AC164" s="18">
        <f t="shared" ca="1" si="29"/>
        <v>2</v>
      </c>
      <c r="AD164" s="15" t="str">
        <f ca="1">IF($AA164="학사",IF($AC164&lt;=8,"초급",IF($AC164&lt;12,"중급",IF($AC164&lt;15,"고급",IF($AC164&gt;=15,"특급")))))</f>
        <v>초급</v>
      </c>
      <c r="AE164" s="15" t="str">
        <f t="shared" si="23"/>
        <v>미해당</v>
      </c>
      <c r="AF164" s="11"/>
      <c r="AG164" s="16"/>
      <c r="AH164" s="11"/>
      <c r="AI164" s="16"/>
      <c r="AJ164" s="11"/>
      <c r="AK164" s="11"/>
      <c r="AL164" s="19"/>
      <c r="AM164" s="11"/>
      <c r="AN164" s="20"/>
      <c r="AO164" s="21"/>
      <c r="AP164" s="21"/>
      <c r="AQ164" s="22" t="s">
        <v>154</v>
      </c>
      <c r="AR164" s="23" t="s">
        <v>155</v>
      </c>
      <c r="AS164" s="14" t="s">
        <v>137</v>
      </c>
      <c r="AT164" s="14" t="s">
        <v>1865</v>
      </c>
      <c r="AU164" s="24" t="s">
        <v>157</v>
      </c>
      <c r="AV164" s="24" t="s">
        <v>1866</v>
      </c>
      <c r="AW164" s="25" t="s">
        <v>1867</v>
      </c>
      <c r="AX164" s="24" t="s">
        <v>1585</v>
      </c>
      <c r="AY164" s="24" t="s">
        <v>264</v>
      </c>
      <c r="AZ164" s="17"/>
      <c r="BA164" s="17" t="s">
        <v>1868</v>
      </c>
      <c r="BB164" s="26" t="str">
        <f>IFERROR(VLOOKUP($AY164,[1]프로젝트현황!Y:Z,2,0),"기타")</f>
        <v>서남권</v>
      </c>
      <c r="BC164" s="23" t="str">
        <f t="shared" si="32"/>
        <v>서울특별시 관악구 조원로13길 66, 204호 (신림동, 로얄럭스시티)</v>
      </c>
    </row>
    <row r="165" spans="1:55" ht="15" customHeight="1" x14ac:dyDescent="0.3">
      <c r="A165" s="10">
        <f t="shared" si="33"/>
        <v>163</v>
      </c>
      <c r="B165" s="11">
        <v>250404</v>
      </c>
      <c r="C165" s="11" t="s">
        <v>1869</v>
      </c>
      <c r="D165" s="12">
        <v>45768</v>
      </c>
      <c r="E165" s="12">
        <v>45768</v>
      </c>
      <c r="F165" s="12"/>
      <c r="G165" s="13"/>
      <c r="H165" s="14" t="s">
        <v>1870</v>
      </c>
      <c r="I165" s="11" t="s">
        <v>1871</v>
      </c>
      <c r="J165" s="15" t="str">
        <f t="shared" si="26"/>
        <v>910831</v>
      </c>
      <c r="K165" s="15" t="str">
        <f t="shared" si="31"/>
        <v>08</v>
      </c>
      <c r="L165" s="15" t="str">
        <f t="shared" si="27"/>
        <v>남자</v>
      </c>
      <c r="M165" s="15">
        <f t="shared" ca="1" si="28"/>
        <v>36</v>
      </c>
      <c r="N165" s="15" t="s">
        <v>111</v>
      </c>
      <c r="O165" s="15" t="s">
        <v>112</v>
      </c>
      <c r="P165" s="11" t="s">
        <v>1872</v>
      </c>
      <c r="Q165" s="11"/>
      <c r="R165" s="11"/>
      <c r="S165" s="16"/>
      <c r="T165" s="15" t="s">
        <v>114</v>
      </c>
      <c r="U165" s="11"/>
      <c r="V165" s="15" t="str">
        <f t="shared" ca="1" si="30"/>
        <v>0년9개월</v>
      </c>
      <c r="W165" s="15" t="s">
        <v>428</v>
      </c>
      <c r="X165" s="18" t="str">
        <f t="shared" ca="1" si="24"/>
        <v>0년9개월</v>
      </c>
      <c r="Y165" s="17" t="s">
        <v>429</v>
      </c>
      <c r="Z165" s="17" t="s">
        <v>1873</v>
      </c>
      <c r="AA165" s="14" t="s">
        <v>116</v>
      </c>
      <c r="AB165" s="16">
        <v>41683</v>
      </c>
      <c r="AC165" s="18">
        <f t="shared" ca="1" si="29"/>
        <v>0</v>
      </c>
      <c r="AD165" s="15" t="str">
        <f ca="1">IF($AA165="전문학사",IF($AC165&lt;=8,"초급",IF($AC165&lt;12,"중급",IF($AC165&lt;15,"고급",IF($AC165&gt;=15,"특급")))))</f>
        <v>초급</v>
      </c>
      <c r="AE165" s="15" t="str">
        <f t="shared" si="23"/>
        <v>미해당</v>
      </c>
      <c r="AF165" s="11"/>
      <c r="AG165" s="16"/>
      <c r="AH165" s="11"/>
      <c r="AI165" s="16"/>
      <c r="AJ165" s="11"/>
      <c r="AK165" s="11"/>
      <c r="AL165" s="19"/>
      <c r="AM165" s="11"/>
      <c r="AN165" s="20"/>
      <c r="AO165" s="21"/>
      <c r="AP165" s="21"/>
      <c r="AQ165" s="22" t="s">
        <v>154</v>
      </c>
      <c r="AR165" s="23" t="s">
        <v>155</v>
      </c>
      <c r="AS165" s="14" t="s">
        <v>137</v>
      </c>
      <c r="AT165" s="14" t="s">
        <v>1874</v>
      </c>
      <c r="AU165" s="24" t="s">
        <v>176</v>
      </c>
      <c r="AV165" s="24" t="s">
        <v>1875</v>
      </c>
      <c r="AW165" s="25" t="s">
        <v>1876</v>
      </c>
      <c r="AX165" s="24" t="s">
        <v>1585</v>
      </c>
      <c r="AY165" s="24" t="s">
        <v>236</v>
      </c>
      <c r="AZ165" s="17"/>
      <c r="BA165" s="17" t="s">
        <v>1877</v>
      </c>
      <c r="BB165" s="26" t="str">
        <f>IFERROR(VLOOKUP($AY165,[1]프로젝트현황!Y:Z,2,0),"기타")</f>
        <v>서남권</v>
      </c>
      <c r="BC165" s="23" t="str">
        <f t="shared" si="32"/>
        <v>서울특별시 구로구 구로중앙로12길 13-15 (구로동)</v>
      </c>
    </row>
    <row r="166" spans="1:55" ht="15" customHeight="1" x14ac:dyDescent="0.3">
      <c r="A166" s="10">
        <f t="shared" si="33"/>
        <v>164</v>
      </c>
      <c r="B166" s="11">
        <v>250501</v>
      </c>
      <c r="C166" s="11" t="s">
        <v>1878</v>
      </c>
      <c r="D166" s="12">
        <v>45779</v>
      </c>
      <c r="E166" s="12">
        <v>45779</v>
      </c>
      <c r="F166" s="12"/>
      <c r="G166" s="13"/>
      <c r="H166" s="14" t="s">
        <v>1879</v>
      </c>
      <c r="I166" s="11" t="s">
        <v>1880</v>
      </c>
      <c r="J166" s="15" t="str">
        <f t="shared" si="26"/>
        <v>980704</v>
      </c>
      <c r="K166" s="15" t="str">
        <f t="shared" si="31"/>
        <v>07</v>
      </c>
      <c r="L166" s="15" t="str">
        <f t="shared" si="27"/>
        <v>여자</v>
      </c>
      <c r="M166" s="15">
        <f t="shared" ca="1" si="28"/>
        <v>29</v>
      </c>
      <c r="N166" s="15" t="s">
        <v>111</v>
      </c>
      <c r="O166" s="15" t="s">
        <v>112</v>
      </c>
      <c r="P166" s="11" t="s">
        <v>1881</v>
      </c>
      <c r="Q166" s="11"/>
      <c r="R166" s="11"/>
      <c r="S166" s="16"/>
      <c r="T166" s="15" t="s">
        <v>114</v>
      </c>
      <c r="U166" s="11"/>
      <c r="V166" s="15" t="str">
        <f t="shared" ca="1" si="30"/>
        <v>6년3개월</v>
      </c>
      <c r="W166" s="15" t="s">
        <v>1882</v>
      </c>
      <c r="X166" s="18" t="str">
        <f t="shared" ca="1" si="24"/>
        <v>0년9개월</v>
      </c>
      <c r="Y166" s="17" t="s">
        <v>791</v>
      </c>
      <c r="Z166" s="17" t="s">
        <v>1014</v>
      </c>
      <c r="AA166" s="14" t="s">
        <v>171</v>
      </c>
      <c r="AB166" s="16">
        <v>44246</v>
      </c>
      <c r="AC166" s="18">
        <f t="shared" ca="1" si="29"/>
        <v>6</v>
      </c>
      <c r="AD166" s="15" t="str">
        <f ca="1">IF($AA166="학사",IF($AC166&lt;=8,"초급",IF($AC166&lt;12,"중급",IF($AC166&lt;15,"고급",IF($AC166&gt;=15,"특급")))))</f>
        <v>초급</v>
      </c>
      <c r="AE166" s="15" t="str">
        <f t="shared" si="23"/>
        <v>미해당</v>
      </c>
      <c r="AF166" s="11"/>
      <c r="AG166" s="16"/>
      <c r="AH166" s="11"/>
      <c r="AI166" s="16"/>
      <c r="AJ166" s="11"/>
      <c r="AK166" s="11"/>
      <c r="AL166" s="19"/>
      <c r="AM166" s="11"/>
      <c r="AN166" s="20"/>
      <c r="AO166" s="21"/>
      <c r="AP166" s="21"/>
      <c r="AQ166" s="22" t="s">
        <v>154</v>
      </c>
      <c r="AR166" s="23" t="s">
        <v>155</v>
      </c>
      <c r="AS166" s="14" t="s">
        <v>137</v>
      </c>
      <c r="AT166" s="14" t="s">
        <v>1883</v>
      </c>
      <c r="AU166" s="24" t="s">
        <v>157</v>
      </c>
      <c r="AV166" s="24" t="s">
        <v>1884</v>
      </c>
      <c r="AW166" s="25" t="s">
        <v>1885</v>
      </c>
      <c r="AX166" s="24" t="s">
        <v>1585</v>
      </c>
      <c r="AY166" s="24" t="s">
        <v>505</v>
      </c>
      <c r="AZ166" s="17"/>
      <c r="BA166" s="17" t="s">
        <v>1886</v>
      </c>
      <c r="BB166" s="26" t="str">
        <f>IFERROR(VLOOKUP($AY166,[1]프로젝트현황!Y:Z,2,0),"기타")</f>
        <v>동북권</v>
      </c>
      <c r="BC166" s="23" t="str">
        <f t="shared" si="32"/>
        <v>서울특별시 강북구 덕릉로 193-11</v>
      </c>
    </row>
    <row r="167" spans="1:55" ht="15" customHeight="1" x14ac:dyDescent="0.3">
      <c r="A167" s="10">
        <f t="shared" si="33"/>
        <v>165</v>
      </c>
      <c r="B167" s="11">
        <v>250502</v>
      </c>
      <c r="C167" s="11" t="s">
        <v>1887</v>
      </c>
      <c r="D167" s="12">
        <v>45789</v>
      </c>
      <c r="E167" s="12">
        <v>45789</v>
      </c>
      <c r="F167" s="12"/>
      <c r="G167" s="13"/>
      <c r="H167" s="14" t="s">
        <v>1888</v>
      </c>
      <c r="I167" s="11" t="s">
        <v>1889</v>
      </c>
      <c r="J167" s="15" t="str">
        <f t="shared" si="26"/>
        <v>861122</v>
      </c>
      <c r="K167" s="15" t="str">
        <f t="shared" si="31"/>
        <v>11</v>
      </c>
      <c r="L167" s="15" t="str">
        <f t="shared" si="27"/>
        <v>남자</v>
      </c>
      <c r="M167" s="15">
        <f t="shared" ca="1" si="28"/>
        <v>41</v>
      </c>
      <c r="N167" s="15" t="s">
        <v>111</v>
      </c>
      <c r="O167" s="15" t="s">
        <v>112</v>
      </c>
      <c r="P167" s="11" t="s">
        <v>1890</v>
      </c>
      <c r="Q167" s="11"/>
      <c r="R167" s="11"/>
      <c r="S167" s="16"/>
      <c r="T167" s="15" t="s">
        <v>114</v>
      </c>
      <c r="U167" s="11"/>
      <c r="V167" s="15" t="str">
        <f t="shared" ca="1" si="30"/>
        <v>11년11개월</v>
      </c>
      <c r="W167" s="15" t="s">
        <v>372</v>
      </c>
      <c r="X167" s="18" t="str">
        <f t="shared" ca="1" si="24"/>
        <v>0년8개월</v>
      </c>
      <c r="Y167" s="17" t="s">
        <v>285</v>
      </c>
      <c r="Z167" s="17" t="s">
        <v>1891</v>
      </c>
      <c r="AA167" s="14" t="s">
        <v>116</v>
      </c>
      <c r="AB167" s="16">
        <v>40592</v>
      </c>
      <c r="AC167" s="18">
        <f t="shared" ca="1" si="29"/>
        <v>11</v>
      </c>
      <c r="AD167" s="15" t="str">
        <f ca="1">IF($AA167="전문학사",IF($AC167&lt;=8,"초급",IF($AC167&lt;12,"중급",IF($AC167&lt;15,"고급",IF($AC167&gt;=15,"특급")))))</f>
        <v>중급</v>
      </c>
      <c r="AE167" s="15" t="str">
        <f t="shared" si="23"/>
        <v>미해당</v>
      </c>
      <c r="AF167" s="11"/>
      <c r="AG167" s="16"/>
      <c r="AH167" s="11"/>
      <c r="AI167" s="16"/>
      <c r="AJ167" s="11"/>
      <c r="AK167" s="11"/>
      <c r="AL167" s="19"/>
      <c r="AM167" s="11"/>
      <c r="AN167" s="20"/>
      <c r="AO167" s="21"/>
      <c r="AP167" s="21"/>
      <c r="AQ167" s="22" t="s">
        <v>154</v>
      </c>
      <c r="AR167" s="23" t="s">
        <v>155</v>
      </c>
      <c r="AS167" s="14" t="s">
        <v>137</v>
      </c>
      <c r="AT167" s="14" t="s">
        <v>1892</v>
      </c>
      <c r="AU167" s="24" t="s">
        <v>1563</v>
      </c>
      <c r="AV167" s="24" t="s">
        <v>1893</v>
      </c>
      <c r="AW167" s="25" t="s">
        <v>1894</v>
      </c>
      <c r="AX167" s="24" t="s">
        <v>1585</v>
      </c>
      <c r="AY167" s="24" t="s">
        <v>532</v>
      </c>
      <c r="AZ167" s="17"/>
      <c r="BA167" s="17" t="s">
        <v>1895</v>
      </c>
      <c r="BB167" s="26" t="str">
        <f>IFERROR(VLOOKUP($AY167,[1]프로젝트현황!Y:Z,2,0),"기타")</f>
        <v>동북권</v>
      </c>
      <c r="BC167" s="23" t="str">
        <f t="shared" si="32"/>
        <v>서울특별시 광진구 자양로44길 45, 402호 (구의동)</v>
      </c>
    </row>
    <row r="168" spans="1:55" ht="15" customHeight="1" x14ac:dyDescent="0.3">
      <c r="A168" s="10">
        <f t="shared" si="33"/>
        <v>166</v>
      </c>
      <c r="B168" s="11">
        <v>250503</v>
      </c>
      <c r="C168" s="11" t="s">
        <v>1896</v>
      </c>
      <c r="D168" s="12">
        <v>45789</v>
      </c>
      <c r="E168" s="12">
        <v>45789</v>
      </c>
      <c r="F168" s="12"/>
      <c r="G168" s="13"/>
      <c r="H168" s="14" t="s">
        <v>1897</v>
      </c>
      <c r="I168" s="11" t="s">
        <v>1898</v>
      </c>
      <c r="J168" s="15" t="str">
        <f t="shared" si="26"/>
        <v>941012</v>
      </c>
      <c r="K168" s="15" t="str">
        <f t="shared" si="31"/>
        <v>10</v>
      </c>
      <c r="L168" s="15" t="str">
        <f t="shared" si="27"/>
        <v>남자</v>
      </c>
      <c r="M168" s="15">
        <f t="shared" ca="1" si="28"/>
        <v>33</v>
      </c>
      <c r="N168" s="15" t="s">
        <v>111</v>
      </c>
      <c r="O168" s="15" t="s">
        <v>112</v>
      </c>
      <c r="P168" s="11" t="s">
        <v>1899</v>
      </c>
      <c r="Q168" s="11"/>
      <c r="R168" s="11"/>
      <c r="S168" s="16"/>
      <c r="T168" s="15" t="s">
        <v>114</v>
      </c>
      <c r="U168" s="11"/>
      <c r="V168" s="15" t="str">
        <f t="shared" ca="1" si="30"/>
        <v>3년2개월</v>
      </c>
      <c r="W168" s="15" t="s">
        <v>1900</v>
      </c>
      <c r="X168" s="18" t="str">
        <f t="shared" ca="1" si="24"/>
        <v>0년8개월</v>
      </c>
      <c r="Y168" s="17" t="s">
        <v>1039</v>
      </c>
      <c r="Z168" s="17" t="s">
        <v>387</v>
      </c>
      <c r="AA168" s="14" t="s">
        <v>171</v>
      </c>
      <c r="AB168" s="16">
        <v>44071</v>
      </c>
      <c r="AC168" s="18">
        <f t="shared" ca="1" si="29"/>
        <v>3</v>
      </c>
      <c r="AD168" s="15" t="str">
        <f ca="1">IF($AA168="학사",IF($AC168&lt;=8,"초급",IF($AC168&lt;12,"중급",IF($AC168&lt;15,"고급",IF($AC168&gt;=15,"특급")))))</f>
        <v>초급</v>
      </c>
      <c r="AE168" s="15" t="str">
        <f t="shared" si="23"/>
        <v>미해당</v>
      </c>
      <c r="AF168" s="11"/>
      <c r="AG168" s="16"/>
      <c r="AH168" s="11" t="s">
        <v>87</v>
      </c>
      <c r="AI168" s="16">
        <v>2021.03</v>
      </c>
      <c r="AJ168" s="11"/>
      <c r="AK168" s="11"/>
      <c r="AL168" s="19"/>
      <c r="AM168" s="11"/>
      <c r="AN168" s="20"/>
      <c r="AO168" s="21"/>
      <c r="AP168" s="21"/>
      <c r="AQ168" s="22" t="s">
        <v>154</v>
      </c>
      <c r="AR168" s="23" t="s">
        <v>155</v>
      </c>
      <c r="AS168" s="14" t="s">
        <v>137</v>
      </c>
      <c r="AT168" s="14" t="s">
        <v>1901</v>
      </c>
      <c r="AU168" s="24" t="s">
        <v>157</v>
      </c>
      <c r="AV168" s="24" t="s">
        <v>1902</v>
      </c>
      <c r="AW168" s="25" t="s">
        <v>1903</v>
      </c>
      <c r="AX168" s="24" t="s">
        <v>1585</v>
      </c>
      <c r="AY168" s="24" t="s">
        <v>1115</v>
      </c>
      <c r="AZ168" s="17"/>
      <c r="BA168" s="17" t="s">
        <v>1904</v>
      </c>
      <c r="BB168" s="26" t="str">
        <f>IFERROR(VLOOKUP($AY168,[1]프로젝트현황!Y:Z,2,0),"기타")</f>
        <v>동남권</v>
      </c>
      <c r="BC168" s="23" t="str">
        <f t="shared" si="32"/>
        <v>서울특별시 송파구 오금로20길 4-4, 203동 (송파동)</v>
      </c>
    </row>
    <row r="169" spans="1:55" ht="15" customHeight="1" x14ac:dyDescent="0.3">
      <c r="A169" s="10">
        <f t="shared" si="33"/>
        <v>167</v>
      </c>
      <c r="B169" s="11">
        <v>250504</v>
      </c>
      <c r="C169" s="11" t="s">
        <v>1905</v>
      </c>
      <c r="D169" s="12">
        <v>45789</v>
      </c>
      <c r="E169" s="12">
        <v>45789</v>
      </c>
      <c r="F169" s="12"/>
      <c r="G169" s="13"/>
      <c r="H169" s="14" t="s">
        <v>1906</v>
      </c>
      <c r="I169" s="11" t="s">
        <v>1907</v>
      </c>
      <c r="J169" s="15" t="str">
        <f t="shared" si="26"/>
        <v>941120</v>
      </c>
      <c r="K169" s="15" t="str">
        <f t="shared" si="31"/>
        <v>11</v>
      </c>
      <c r="L169" s="15" t="str">
        <f t="shared" si="27"/>
        <v>남자</v>
      </c>
      <c r="M169" s="15">
        <f t="shared" ca="1" si="28"/>
        <v>33</v>
      </c>
      <c r="N169" s="15" t="s">
        <v>111</v>
      </c>
      <c r="O169" s="15" t="s">
        <v>112</v>
      </c>
      <c r="P169" s="11" t="s">
        <v>1908</v>
      </c>
      <c r="Q169" s="11"/>
      <c r="R169" s="11"/>
      <c r="S169" s="16"/>
      <c r="T169" s="15" t="s">
        <v>114</v>
      </c>
      <c r="U169" s="11"/>
      <c r="V169" s="15" t="str">
        <f t="shared" ca="1" si="30"/>
        <v>0년8개월</v>
      </c>
      <c r="W169" s="15" t="s">
        <v>428</v>
      </c>
      <c r="X169" s="18" t="str">
        <f t="shared" ca="1" si="24"/>
        <v>0년8개월</v>
      </c>
      <c r="Y169" s="17" t="s">
        <v>1909</v>
      </c>
      <c r="Z169" s="17" t="s">
        <v>1910</v>
      </c>
      <c r="AA169" s="14" t="s">
        <v>258</v>
      </c>
      <c r="AB169" s="16">
        <v>41312</v>
      </c>
      <c r="AC169" s="18">
        <f t="shared" ca="1" si="29"/>
        <v>0</v>
      </c>
      <c r="AD169" s="15" t="str">
        <f ca="1">IF($AA169="고졸",IF($AC169&lt;=11,"초급",IF($AC169&lt;=14,"중급",IF($AC169&lt;=17,"고급",IF($AC169&gt;=18,"특급")))))</f>
        <v>초급</v>
      </c>
      <c r="AE169" s="15" t="str">
        <f t="shared" si="23"/>
        <v>미해당</v>
      </c>
      <c r="AF169" s="11"/>
      <c r="AG169" s="16"/>
      <c r="AH169" s="11"/>
      <c r="AI169" s="16"/>
      <c r="AJ169" s="11"/>
      <c r="AK169" s="11"/>
      <c r="AL169" s="19"/>
      <c r="AM169" s="11"/>
      <c r="AN169" s="20"/>
      <c r="AO169" s="21"/>
      <c r="AP169" s="21"/>
      <c r="AQ169" s="22" t="s">
        <v>154</v>
      </c>
      <c r="AR169" s="23" t="s">
        <v>155</v>
      </c>
      <c r="AS169" s="14" t="s">
        <v>137</v>
      </c>
      <c r="AT169" s="14" t="s">
        <v>1911</v>
      </c>
      <c r="AU169" s="24" t="s">
        <v>176</v>
      </c>
      <c r="AV169" s="24" t="s">
        <v>1912</v>
      </c>
      <c r="AW169" s="25" t="s">
        <v>1913</v>
      </c>
      <c r="AX169" s="24" t="s">
        <v>141</v>
      </c>
      <c r="AY169" s="24" t="s">
        <v>142</v>
      </c>
      <c r="AZ169" s="17" t="s">
        <v>1914</v>
      </c>
      <c r="BA169" s="17" t="s">
        <v>1915</v>
      </c>
      <c r="BB169" s="26" t="str">
        <f>IFERROR(VLOOKUP($AY169,[1]프로젝트현황!Y:Z,2,0),"기타")</f>
        <v>서북권</v>
      </c>
      <c r="BC169" s="23" t="str">
        <f t="shared" si="32"/>
        <v>경기도 고양시 덕양구 고만로 48, 902동 705호</v>
      </c>
    </row>
    <row r="170" spans="1:55" ht="15" customHeight="1" x14ac:dyDescent="0.3">
      <c r="A170" s="10">
        <f t="shared" si="33"/>
        <v>168</v>
      </c>
      <c r="B170" s="11">
        <v>250505</v>
      </c>
      <c r="C170" s="11" t="s">
        <v>1916</v>
      </c>
      <c r="D170" s="12">
        <v>45789</v>
      </c>
      <c r="E170" s="12">
        <v>45789</v>
      </c>
      <c r="F170" s="12"/>
      <c r="G170" s="13"/>
      <c r="H170" s="14" t="s">
        <v>1917</v>
      </c>
      <c r="I170" s="11" t="s">
        <v>1918</v>
      </c>
      <c r="J170" s="15" t="str">
        <f t="shared" si="26"/>
        <v>961101</v>
      </c>
      <c r="K170" s="15" t="str">
        <f t="shared" si="31"/>
        <v>11</v>
      </c>
      <c r="L170" s="15" t="str">
        <f t="shared" si="27"/>
        <v>여자</v>
      </c>
      <c r="M170" s="15">
        <f t="shared" ca="1" si="28"/>
        <v>31</v>
      </c>
      <c r="N170" s="15" t="s">
        <v>111</v>
      </c>
      <c r="O170" s="15" t="s">
        <v>112</v>
      </c>
      <c r="P170" s="11" t="s">
        <v>1919</v>
      </c>
      <c r="Q170" s="11"/>
      <c r="R170" s="11"/>
      <c r="S170" s="16"/>
      <c r="T170" s="15" t="s">
        <v>114</v>
      </c>
      <c r="U170" s="11"/>
      <c r="V170" s="15" t="str">
        <f t="shared" ca="1" si="30"/>
        <v>2년8개월</v>
      </c>
      <c r="W170" s="15" t="s">
        <v>1664</v>
      </c>
      <c r="X170" s="18" t="str">
        <f t="shared" ca="1" si="24"/>
        <v>0년8개월</v>
      </c>
      <c r="Y170" s="17" t="s">
        <v>243</v>
      </c>
      <c r="Z170" s="17" t="s">
        <v>1920</v>
      </c>
      <c r="AA170" s="14" t="s">
        <v>171</v>
      </c>
      <c r="AB170" s="16">
        <v>43140</v>
      </c>
      <c r="AC170" s="18">
        <f t="shared" ca="1" si="29"/>
        <v>2</v>
      </c>
      <c r="AD170" s="15" t="str">
        <f ca="1">IF($AA170="학사",IF($AC170&lt;=8,"초급",IF($AC170&lt;12,"중급",IF($AC170&lt;15,"고급",IF($AC170&gt;=15,"특급")))))</f>
        <v>초급</v>
      </c>
      <c r="AE170" s="15" t="str">
        <f t="shared" si="23"/>
        <v>미해당</v>
      </c>
      <c r="AF170" s="11"/>
      <c r="AG170" s="16"/>
      <c r="AH170" s="11"/>
      <c r="AI170" s="16"/>
      <c r="AJ170" s="11"/>
      <c r="AK170" s="11"/>
      <c r="AL170" s="19"/>
      <c r="AM170" s="11"/>
      <c r="AN170" s="20"/>
      <c r="AO170" s="21"/>
      <c r="AP170" s="21"/>
      <c r="AQ170" s="22" t="s">
        <v>154</v>
      </c>
      <c r="AR170" s="23" t="s">
        <v>155</v>
      </c>
      <c r="AS170" s="14" t="s">
        <v>137</v>
      </c>
      <c r="AT170" s="14" t="s">
        <v>1921</v>
      </c>
      <c r="AU170" s="24" t="s">
        <v>1922</v>
      </c>
      <c r="AV170" s="24" t="s">
        <v>1923</v>
      </c>
      <c r="AW170" s="25" t="s">
        <v>1924</v>
      </c>
      <c r="AX170" s="24" t="s">
        <v>141</v>
      </c>
      <c r="AY170" s="24" t="s">
        <v>773</v>
      </c>
      <c r="AZ170" s="17" t="s">
        <v>829</v>
      </c>
      <c r="BA170" s="17" t="s">
        <v>1925</v>
      </c>
      <c r="BB170" s="26" t="str">
        <f>IFERROR(VLOOKUP($AY170,[1]프로젝트현황!Y:Z,2,0),"기타")</f>
        <v>동남권</v>
      </c>
      <c r="BC170" s="23" t="str">
        <f t="shared" si="32"/>
        <v>경기도 용인시 기흥구 한보라2로 168, 707동 203호 (공세동, 한보라마을 휴먼시아)</v>
      </c>
    </row>
    <row r="171" spans="1:55" ht="15" customHeight="1" x14ac:dyDescent="0.3">
      <c r="A171" s="10">
        <f t="shared" si="33"/>
        <v>169</v>
      </c>
      <c r="B171" s="11">
        <v>250506</v>
      </c>
      <c r="C171" s="11" t="s">
        <v>1926</v>
      </c>
      <c r="D171" s="12">
        <v>45791</v>
      </c>
      <c r="E171" s="12">
        <v>45791</v>
      </c>
      <c r="F171" s="12"/>
      <c r="G171" s="13"/>
      <c r="H171" s="14" t="s">
        <v>1927</v>
      </c>
      <c r="I171" s="11" t="s">
        <v>1928</v>
      </c>
      <c r="J171" s="15" t="str">
        <f t="shared" si="26"/>
        <v>981124</v>
      </c>
      <c r="K171" s="15" t="str">
        <f t="shared" si="31"/>
        <v>11</v>
      </c>
      <c r="L171" s="15" t="str">
        <f t="shared" si="27"/>
        <v>여자</v>
      </c>
      <c r="M171" s="15">
        <f t="shared" ca="1" si="28"/>
        <v>29</v>
      </c>
      <c r="N171" s="15" t="s">
        <v>111</v>
      </c>
      <c r="O171" s="15" t="s">
        <v>112</v>
      </c>
      <c r="P171" s="11" t="s">
        <v>1929</v>
      </c>
      <c r="Q171" s="11"/>
      <c r="R171" s="11"/>
      <c r="S171" s="16"/>
      <c r="T171" s="15" t="s">
        <v>114</v>
      </c>
      <c r="U171" s="11"/>
      <c r="V171" s="15" t="str">
        <f t="shared" ca="1" si="30"/>
        <v>6년0개월</v>
      </c>
      <c r="W171" s="15" t="s">
        <v>1930</v>
      </c>
      <c r="X171" s="18" t="str">
        <f t="shared" ca="1" si="24"/>
        <v>0년8개월</v>
      </c>
      <c r="Y171" s="17" t="s">
        <v>836</v>
      </c>
      <c r="Z171" s="17" t="s">
        <v>217</v>
      </c>
      <c r="AA171" s="14" t="s">
        <v>116</v>
      </c>
      <c r="AB171" s="16">
        <v>43510</v>
      </c>
      <c r="AC171" s="18">
        <f t="shared" ca="1" si="29"/>
        <v>6</v>
      </c>
      <c r="AD171" s="15" t="str">
        <f ca="1">IF($AA171="전문학사",IF($AC171&lt;=8,"초급",IF($AC171&lt;12,"중급",IF($AC171&lt;15,"고급",IF($AC171&gt;=15,"특급")))))</f>
        <v>초급</v>
      </c>
      <c r="AE171" s="15" t="str">
        <f t="shared" si="23"/>
        <v>미해당</v>
      </c>
      <c r="AF171" s="11"/>
      <c r="AG171" s="16"/>
      <c r="AH171" s="11"/>
      <c r="AI171" s="16"/>
      <c r="AJ171" s="11"/>
      <c r="AK171" s="11"/>
      <c r="AL171" s="19"/>
      <c r="AM171" s="11"/>
      <c r="AN171" s="20"/>
      <c r="AO171" s="21"/>
      <c r="AP171" s="21"/>
      <c r="AQ171" s="22" t="s">
        <v>154</v>
      </c>
      <c r="AR171" s="23" t="s">
        <v>155</v>
      </c>
      <c r="AS171" s="14" t="s">
        <v>1230</v>
      </c>
      <c r="AT171" s="14" t="s">
        <v>1931</v>
      </c>
      <c r="AU171" s="24" t="s">
        <v>176</v>
      </c>
      <c r="AV171" s="24" t="s">
        <v>1932</v>
      </c>
      <c r="AW171" s="25" t="s">
        <v>1933</v>
      </c>
      <c r="AX171" s="24" t="s">
        <v>141</v>
      </c>
      <c r="AY171" s="24" t="s">
        <v>179</v>
      </c>
      <c r="AZ171" s="17" t="s">
        <v>1436</v>
      </c>
      <c r="BA171" s="17" t="s">
        <v>1934</v>
      </c>
      <c r="BB171" s="26" t="str">
        <f>IFERROR(VLOOKUP($AY171,[1]프로젝트현황!Y:Z,2,0),"기타")</f>
        <v>서남권</v>
      </c>
      <c r="BC171" s="23" t="str">
        <f t="shared" si="32"/>
        <v>경기도 안산시 상록구 샘골로7길 22, 502호 (본오동, 크리스탈타운)</v>
      </c>
    </row>
    <row r="172" spans="1:55" ht="15" customHeight="1" x14ac:dyDescent="0.3">
      <c r="A172" s="10">
        <f t="shared" si="33"/>
        <v>170</v>
      </c>
      <c r="B172" s="11">
        <v>250508</v>
      </c>
      <c r="C172" s="11" t="s">
        <v>1935</v>
      </c>
      <c r="D172" s="12">
        <v>45796</v>
      </c>
      <c r="E172" s="12">
        <v>45796</v>
      </c>
      <c r="F172" s="12"/>
      <c r="G172" s="13"/>
      <c r="H172" s="14" t="s">
        <v>1936</v>
      </c>
      <c r="I172" s="11" t="s">
        <v>1937</v>
      </c>
      <c r="J172" s="15" t="str">
        <f t="shared" si="26"/>
        <v>910810</v>
      </c>
      <c r="K172" s="15" t="str">
        <f t="shared" si="31"/>
        <v>08</v>
      </c>
      <c r="L172" s="15" t="str">
        <f t="shared" si="27"/>
        <v>여자</v>
      </c>
      <c r="M172" s="15">
        <f t="shared" ca="1" si="28"/>
        <v>36</v>
      </c>
      <c r="N172" s="15" t="s">
        <v>111</v>
      </c>
      <c r="O172" s="15" t="s">
        <v>112</v>
      </c>
      <c r="P172" s="11" t="s">
        <v>1938</v>
      </c>
      <c r="Q172" s="11"/>
      <c r="R172" s="11"/>
      <c r="S172" s="16"/>
      <c r="T172" s="15" t="s">
        <v>114</v>
      </c>
      <c r="U172" s="11"/>
      <c r="V172" s="15" t="str">
        <f t="shared" ca="1" si="30"/>
        <v>2년1개월</v>
      </c>
      <c r="W172" s="15" t="s">
        <v>1939</v>
      </c>
      <c r="X172" s="18" t="str">
        <f t="shared" ca="1" si="24"/>
        <v>0년8개월</v>
      </c>
      <c r="Y172" s="17" t="s">
        <v>582</v>
      </c>
      <c r="Z172" s="17" t="s">
        <v>1940</v>
      </c>
      <c r="AA172" s="14" t="s">
        <v>171</v>
      </c>
      <c r="AB172" s="16">
        <v>43706</v>
      </c>
      <c r="AC172" s="18">
        <f t="shared" ca="1" si="29"/>
        <v>2</v>
      </c>
      <c r="AD172" s="15" t="str">
        <f ca="1">IF($AA172="학사",IF($AC172&lt;=8,"초급",IF($AC172&lt;12,"중급",IF($AC172&lt;15,"고급",IF($AC172&gt;=15,"특급")))))</f>
        <v>초급</v>
      </c>
      <c r="AE172" s="15" t="str">
        <f t="shared" si="23"/>
        <v>미해당</v>
      </c>
      <c r="AF172" s="11"/>
      <c r="AG172" s="16"/>
      <c r="AH172" s="11"/>
      <c r="AI172" s="16"/>
      <c r="AJ172" s="11"/>
      <c r="AK172" s="11"/>
      <c r="AL172" s="19"/>
      <c r="AM172" s="11"/>
      <c r="AN172" s="20"/>
      <c r="AO172" s="21"/>
      <c r="AP172" s="21"/>
      <c r="AQ172" s="22" t="s">
        <v>154</v>
      </c>
      <c r="AR172" s="23" t="s">
        <v>155</v>
      </c>
      <c r="AS172" s="14" t="s">
        <v>137</v>
      </c>
      <c r="AT172" s="14" t="s">
        <v>1941</v>
      </c>
      <c r="AU172" s="24" t="s">
        <v>176</v>
      </c>
      <c r="AV172" s="24" t="s">
        <v>1942</v>
      </c>
      <c r="AW172" s="25" t="s">
        <v>1943</v>
      </c>
      <c r="AX172" s="24" t="s">
        <v>141</v>
      </c>
      <c r="AY172" s="24" t="s">
        <v>773</v>
      </c>
      <c r="AZ172" s="17" t="s">
        <v>774</v>
      </c>
      <c r="BA172" s="17" t="s">
        <v>1944</v>
      </c>
      <c r="BB172" s="26" t="str">
        <f>IFERROR(VLOOKUP($AY172,[1]프로젝트현황!Y:Z,2,0),"기타")</f>
        <v>동남권</v>
      </c>
      <c r="BC172" s="23" t="str">
        <f t="shared" si="32"/>
        <v>경기도 용인시 수지구 상현로 142, 1005동 102호 (상현동, 성복역 아이파크)</v>
      </c>
    </row>
    <row r="173" spans="1:55" ht="15" customHeight="1" x14ac:dyDescent="0.3">
      <c r="A173" s="10">
        <f t="shared" si="33"/>
        <v>171</v>
      </c>
      <c r="B173" s="11">
        <v>250509</v>
      </c>
      <c r="C173" s="11" t="s">
        <v>1945</v>
      </c>
      <c r="D173" s="12">
        <v>45805</v>
      </c>
      <c r="E173" s="12">
        <v>45805</v>
      </c>
      <c r="F173" s="12"/>
      <c r="G173" s="13"/>
      <c r="H173" s="14" t="s">
        <v>1946</v>
      </c>
      <c r="I173" s="11" t="s">
        <v>1947</v>
      </c>
      <c r="J173" s="15" t="str">
        <f t="shared" si="26"/>
        <v>980316</v>
      </c>
      <c r="K173" s="15" t="str">
        <f t="shared" si="31"/>
        <v>03</v>
      </c>
      <c r="L173" s="15" t="str">
        <f t="shared" si="27"/>
        <v>여자</v>
      </c>
      <c r="M173" s="15">
        <f t="shared" ca="1" si="28"/>
        <v>29</v>
      </c>
      <c r="N173" s="15" t="s">
        <v>111</v>
      </c>
      <c r="O173" s="15" t="s">
        <v>112</v>
      </c>
      <c r="P173" s="11" t="s">
        <v>1948</v>
      </c>
      <c r="Q173" s="11"/>
      <c r="R173" s="11"/>
      <c r="S173" s="16"/>
      <c r="T173" s="15" t="s">
        <v>114</v>
      </c>
      <c r="U173" s="11"/>
      <c r="V173" s="15" t="str">
        <f t="shared" ca="1" si="30"/>
        <v>3년0개월</v>
      </c>
      <c r="W173" s="15" t="s">
        <v>1949</v>
      </c>
      <c r="X173" s="18" t="str">
        <f t="shared" ca="1" si="24"/>
        <v>0년8개월</v>
      </c>
      <c r="Y173" s="17" t="s">
        <v>1026</v>
      </c>
      <c r="Z173" s="17" t="s">
        <v>1950</v>
      </c>
      <c r="AA173" s="14" t="s">
        <v>171</v>
      </c>
      <c r="AB173" s="16">
        <v>44603</v>
      </c>
      <c r="AC173" s="18">
        <f t="shared" ca="1" si="29"/>
        <v>3</v>
      </c>
      <c r="AD173" s="15" t="str">
        <f ca="1">IF($AA173="학사",IF($AC173&lt;=8,"초급",IF($AC173&lt;12,"중급",IF($AC173&lt;15,"고급",IF($AC173&gt;=15,"특급")))))</f>
        <v>초급</v>
      </c>
      <c r="AE173" s="15" t="str">
        <f t="shared" si="23"/>
        <v>미해당</v>
      </c>
      <c r="AF173" s="11"/>
      <c r="AG173" s="16"/>
      <c r="AH173" s="11"/>
      <c r="AI173" s="16"/>
      <c r="AJ173" s="11"/>
      <c r="AK173" s="11"/>
      <c r="AL173" s="19"/>
      <c r="AM173" s="11"/>
      <c r="AN173" s="20"/>
      <c r="AO173" s="21"/>
      <c r="AP173" s="21"/>
      <c r="AQ173" s="22" t="s">
        <v>136</v>
      </c>
      <c r="AR173" s="23" t="s">
        <v>136</v>
      </c>
      <c r="AS173" s="14" t="s">
        <v>137</v>
      </c>
      <c r="AT173" s="14" t="s">
        <v>1951</v>
      </c>
      <c r="AU173" s="24"/>
      <c r="AV173" s="24"/>
      <c r="AW173" s="25" t="s">
        <v>1952</v>
      </c>
      <c r="AX173" s="24" t="s">
        <v>1585</v>
      </c>
      <c r="AY173" s="24" t="s">
        <v>236</v>
      </c>
      <c r="AZ173" s="17"/>
      <c r="BA173" s="17" t="s">
        <v>1953</v>
      </c>
      <c r="BB173" s="26" t="str">
        <f>IFERROR(VLOOKUP($AY173,[1]프로젝트현황!Y:Z,2,0),"기타")</f>
        <v>서남권</v>
      </c>
      <c r="BC173" s="23" t="str">
        <f t="shared" si="32"/>
        <v>서울특별시 구로구 경인로 232, 207호(오류동, 칸타빌레 9차)</v>
      </c>
    </row>
    <row r="174" spans="1:55" ht="15" customHeight="1" x14ac:dyDescent="0.3">
      <c r="A174" s="10">
        <f t="shared" si="33"/>
        <v>172</v>
      </c>
      <c r="B174" s="11">
        <v>250601</v>
      </c>
      <c r="C174" s="11" t="s">
        <v>1954</v>
      </c>
      <c r="D174" s="12">
        <v>45810</v>
      </c>
      <c r="E174" s="12">
        <v>45810</v>
      </c>
      <c r="F174" s="12"/>
      <c r="G174" s="13"/>
      <c r="H174" s="14" t="s">
        <v>1955</v>
      </c>
      <c r="I174" s="11" t="s">
        <v>1956</v>
      </c>
      <c r="J174" s="15" t="str">
        <f t="shared" si="26"/>
        <v>000410</v>
      </c>
      <c r="K174" s="15" t="str">
        <f t="shared" si="31"/>
        <v>04</v>
      </c>
      <c r="L174" s="15" t="str">
        <f t="shared" si="27"/>
        <v>남자</v>
      </c>
      <c r="M174" s="15">
        <f t="shared" ca="1" si="28"/>
        <v>27</v>
      </c>
      <c r="N174" s="15" t="s">
        <v>111</v>
      </c>
      <c r="O174" s="15" t="s">
        <v>112</v>
      </c>
      <c r="P174" s="11" t="s">
        <v>1957</v>
      </c>
      <c r="Q174" s="11"/>
      <c r="R174" s="11"/>
      <c r="S174" s="16"/>
      <c r="T174" s="15" t="s">
        <v>114</v>
      </c>
      <c r="U174" s="11"/>
      <c r="V174" s="15" t="str">
        <f t="shared" ca="1" si="30"/>
        <v>4년2개월</v>
      </c>
      <c r="W174" s="15" t="s">
        <v>483</v>
      </c>
      <c r="X174" s="18" t="str">
        <f t="shared" ca="1" si="24"/>
        <v>0년8개월</v>
      </c>
      <c r="Y174" s="17" t="s">
        <v>696</v>
      </c>
      <c r="Z174" s="17" t="s">
        <v>1348</v>
      </c>
      <c r="AA174" s="14" t="s">
        <v>258</v>
      </c>
      <c r="AB174" s="16">
        <v>46433</v>
      </c>
      <c r="AC174" s="18">
        <f t="shared" ca="1" si="29"/>
        <v>4</v>
      </c>
      <c r="AD174" s="15" t="str">
        <f ca="1">IF($AA174="고졸",IF($AC174&lt;=11,"초급",IF($AC174&lt;=14,"중급",IF($AC174&lt;=17,"고급",IF($AC174&gt;=18,"특급")))))</f>
        <v>초급</v>
      </c>
      <c r="AE174" s="15" t="str">
        <f t="shared" si="23"/>
        <v>미해당</v>
      </c>
      <c r="AF174" s="11"/>
      <c r="AG174" s="16"/>
      <c r="AH174" s="11"/>
      <c r="AI174" s="16"/>
      <c r="AJ174" s="11"/>
      <c r="AK174" s="11"/>
      <c r="AL174" s="19"/>
      <c r="AM174" s="11"/>
      <c r="AN174" s="20"/>
      <c r="AO174" s="21"/>
      <c r="AP174" s="21"/>
      <c r="AQ174" s="22" t="s">
        <v>154</v>
      </c>
      <c r="AR174" s="23" t="s">
        <v>155</v>
      </c>
      <c r="AS174" s="14" t="s">
        <v>137</v>
      </c>
      <c r="AT174" s="14" t="s">
        <v>1958</v>
      </c>
      <c r="AU174" s="24" t="s">
        <v>157</v>
      </c>
      <c r="AV174" s="24" t="s">
        <v>1959</v>
      </c>
      <c r="AW174" s="25" t="s">
        <v>1960</v>
      </c>
      <c r="AX174" s="24" t="s">
        <v>1585</v>
      </c>
      <c r="AY174" s="24" t="s">
        <v>1961</v>
      </c>
      <c r="AZ174" s="17"/>
      <c r="BA174" s="17" t="s">
        <v>1962</v>
      </c>
      <c r="BB174" s="26" t="str">
        <f>IFERROR(VLOOKUP($AY174,[1]프로젝트현황!Y:Z,2,0),"기타")</f>
        <v>동북권</v>
      </c>
      <c r="BC174" s="23" t="str">
        <f t="shared" si="32"/>
        <v>서울특별시 동대문구 망우로14가길 25, 201호 (휘경동, 동성네스트빌2차)</v>
      </c>
    </row>
    <row r="175" spans="1:55" ht="15" customHeight="1" x14ac:dyDescent="0.3">
      <c r="A175" s="10">
        <f t="shared" si="33"/>
        <v>173</v>
      </c>
      <c r="B175" s="11">
        <v>250602</v>
      </c>
      <c r="C175" s="11" t="s">
        <v>1963</v>
      </c>
      <c r="D175" s="12">
        <v>45810</v>
      </c>
      <c r="E175" s="12">
        <v>45810</v>
      </c>
      <c r="F175" s="12"/>
      <c r="G175" s="13"/>
      <c r="H175" s="14" t="s">
        <v>1964</v>
      </c>
      <c r="I175" s="11" t="s">
        <v>1965</v>
      </c>
      <c r="J175" s="15" t="str">
        <f t="shared" si="26"/>
        <v>790921</v>
      </c>
      <c r="K175" s="15" t="str">
        <f t="shared" si="31"/>
        <v>09</v>
      </c>
      <c r="L175" s="15" t="str">
        <f t="shared" si="27"/>
        <v>남자</v>
      </c>
      <c r="M175" s="15">
        <f t="shared" ca="1" si="28"/>
        <v>48</v>
      </c>
      <c r="N175" s="15" t="s">
        <v>111</v>
      </c>
      <c r="O175" s="15" t="s">
        <v>112</v>
      </c>
      <c r="P175" s="11" t="s">
        <v>1966</v>
      </c>
      <c r="Q175" s="11"/>
      <c r="R175" s="11"/>
      <c r="S175" s="16"/>
      <c r="T175" s="15" t="s">
        <v>114</v>
      </c>
      <c r="U175" s="11"/>
      <c r="V175" s="15" t="str">
        <f t="shared" ca="1" si="30"/>
        <v>19년2개월</v>
      </c>
      <c r="W175" s="15" t="s">
        <v>1967</v>
      </c>
      <c r="X175" s="18" t="str">
        <f t="shared" ca="1" si="24"/>
        <v>0년8개월</v>
      </c>
      <c r="Y175" s="17" t="s">
        <v>1863</v>
      </c>
      <c r="Z175" s="17" t="s">
        <v>593</v>
      </c>
      <c r="AA175" s="14" t="s">
        <v>171</v>
      </c>
      <c r="AB175" s="16">
        <v>38408</v>
      </c>
      <c r="AC175" s="18">
        <f t="shared" ca="1" si="29"/>
        <v>19</v>
      </c>
      <c r="AD175" s="15" t="str">
        <f ca="1">IF($AA175="학사",IF($AC175&lt;=8,"초급",IF($AC175&lt;12,"중급",IF($AC175&lt;15,"고급",IF($AC175&gt;=15,"특급")))))</f>
        <v>특급</v>
      </c>
      <c r="AE175" s="15" t="str">
        <f t="shared" si="23"/>
        <v>미해당</v>
      </c>
      <c r="AF175" s="11"/>
      <c r="AG175" s="16"/>
      <c r="AH175" s="11"/>
      <c r="AI175" s="16"/>
      <c r="AJ175" s="11"/>
      <c r="AK175" s="11"/>
      <c r="AL175" s="19"/>
      <c r="AM175" s="11"/>
      <c r="AN175" s="20"/>
      <c r="AO175" s="21"/>
      <c r="AP175" s="21"/>
      <c r="AQ175" s="22" t="s">
        <v>154</v>
      </c>
      <c r="AR175" s="23" t="s">
        <v>155</v>
      </c>
      <c r="AS175" s="14" t="s">
        <v>137</v>
      </c>
      <c r="AT175" s="14" t="s">
        <v>1968</v>
      </c>
      <c r="AU175" s="24" t="s">
        <v>176</v>
      </c>
      <c r="AV175" s="24" t="s">
        <v>1969</v>
      </c>
      <c r="AW175" s="25" t="s">
        <v>1970</v>
      </c>
      <c r="AX175" s="24" t="s">
        <v>1971</v>
      </c>
      <c r="AY175" s="24" t="s">
        <v>1972</v>
      </c>
      <c r="AZ175" s="17" t="s">
        <v>1973</v>
      </c>
      <c r="BA175" s="17" t="s">
        <v>1974</v>
      </c>
      <c r="BB175" s="26" t="str">
        <f>IFERROR(VLOOKUP($AY175,[1]프로젝트현황!Y:Z,2,0),"기타")</f>
        <v>기타</v>
      </c>
      <c r="BC175" s="23" t="str">
        <f t="shared" si="32"/>
        <v>대전광역시 유성구 노은로 416(송림마을5단지아파트) 510동 1104호</v>
      </c>
    </row>
    <row r="176" spans="1:55" ht="15" customHeight="1" x14ac:dyDescent="0.3">
      <c r="A176" s="10">
        <f t="shared" si="33"/>
        <v>174</v>
      </c>
      <c r="B176" s="11">
        <v>250603</v>
      </c>
      <c r="C176" s="11" t="s">
        <v>1975</v>
      </c>
      <c r="D176" s="12">
        <v>45818</v>
      </c>
      <c r="E176" s="12">
        <v>45818</v>
      </c>
      <c r="F176" s="12"/>
      <c r="G176" s="13"/>
      <c r="H176" s="14" t="s">
        <v>1976</v>
      </c>
      <c r="I176" s="11" t="s">
        <v>1977</v>
      </c>
      <c r="J176" s="15" t="str">
        <f t="shared" si="26"/>
        <v>801224</v>
      </c>
      <c r="K176" s="15" t="str">
        <f t="shared" si="31"/>
        <v>12</v>
      </c>
      <c r="L176" s="15" t="str">
        <f t="shared" si="27"/>
        <v>여자</v>
      </c>
      <c r="M176" s="15">
        <f t="shared" ca="1" si="28"/>
        <v>47</v>
      </c>
      <c r="N176" s="15" t="s">
        <v>111</v>
      </c>
      <c r="O176" s="15" t="s">
        <v>112</v>
      </c>
      <c r="P176" s="11" t="s">
        <v>1978</v>
      </c>
      <c r="Q176" s="11"/>
      <c r="R176" s="11"/>
      <c r="S176" s="16"/>
      <c r="T176" s="15" t="s">
        <v>114</v>
      </c>
      <c r="U176" s="11"/>
      <c r="V176" s="15" t="str">
        <f t="shared" ca="1" si="30"/>
        <v>0년8개월</v>
      </c>
      <c r="W176" s="15" t="s">
        <v>428</v>
      </c>
      <c r="X176" s="18" t="str">
        <f t="shared" ca="1" si="24"/>
        <v>0년8개월</v>
      </c>
      <c r="Y176" s="17" t="s">
        <v>1979</v>
      </c>
      <c r="Z176" s="17" t="s">
        <v>1980</v>
      </c>
      <c r="AA176" s="14" t="s">
        <v>171</v>
      </c>
      <c r="AB176" s="16">
        <v>38037</v>
      </c>
      <c r="AC176" s="18">
        <f t="shared" ca="1" si="29"/>
        <v>0</v>
      </c>
      <c r="AD176" s="15" t="str">
        <f ca="1">IF($AA176="학사",IF($AC176&lt;=8,"초급",IF($AC176&lt;12,"중급",IF($AC176&lt;15,"고급",IF($AC176&gt;=15,"특급")))))</f>
        <v>초급</v>
      </c>
      <c r="AE176" s="15" t="str">
        <f t="shared" si="23"/>
        <v>미해당</v>
      </c>
      <c r="AF176" s="11"/>
      <c r="AG176" s="16"/>
      <c r="AH176" s="11"/>
      <c r="AI176" s="16"/>
      <c r="AJ176" s="11"/>
      <c r="AK176" s="11"/>
      <c r="AL176" s="19"/>
      <c r="AM176" s="11"/>
      <c r="AN176" s="20"/>
      <c r="AO176" s="21"/>
      <c r="AP176" s="21"/>
      <c r="AQ176" s="22" t="s">
        <v>154</v>
      </c>
      <c r="AR176" s="23" t="s">
        <v>155</v>
      </c>
      <c r="AS176" s="14" t="s">
        <v>137</v>
      </c>
      <c r="AT176" s="14" t="s">
        <v>1981</v>
      </c>
      <c r="AU176" s="24" t="s">
        <v>1717</v>
      </c>
      <c r="AV176" s="24" t="s">
        <v>1982</v>
      </c>
      <c r="AW176" s="25" t="s">
        <v>1983</v>
      </c>
      <c r="AX176" s="24" t="s">
        <v>1585</v>
      </c>
      <c r="AY176" s="24" t="s">
        <v>1077</v>
      </c>
      <c r="AZ176" s="17"/>
      <c r="BA176" s="17" t="s">
        <v>1984</v>
      </c>
      <c r="BB176" s="26" t="str">
        <f>IFERROR(VLOOKUP($AY176,[1]프로젝트현황!Y:Z,2,0),"기타")</f>
        <v>동북권</v>
      </c>
      <c r="BC176" s="23" t="str">
        <f t="shared" si="32"/>
        <v>서울특별시 노원구 한글비석로 479, 104동 1508호 (상계동, 보람아파트)</v>
      </c>
    </row>
    <row r="177" spans="1:55" ht="15" customHeight="1" x14ac:dyDescent="0.3">
      <c r="A177" s="10">
        <f t="shared" si="33"/>
        <v>175</v>
      </c>
      <c r="B177" s="11">
        <v>250604</v>
      </c>
      <c r="C177" s="11" t="s">
        <v>1985</v>
      </c>
      <c r="D177" s="12">
        <v>45818</v>
      </c>
      <c r="E177" s="12">
        <v>45818</v>
      </c>
      <c r="F177" s="12"/>
      <c r="G177" s="13"/>
      <c r="H177" s="14" t="s">
        <v>1986</v>
      </c>
      <c r="I177" s="11" t="s">
        <v>1987</v>
      </c>
      <c r="J177" s="15" t="str">
        <f t="shared" si="26"/>
        <v>780628</v>
      </c>
      <c r="K177" s="15" t="str">
        <f t="shared" si="31"/>
        <v>06</v>
      </c>
      <c r="L177" s="15" t="str">
        <f t="shared" si="27"/>
        <v>여자</v>
      </c>
      <c r="M177" s="15">
        <f t="shared" ca="1" si="28"/>
        <v>49</v>
      </c>
      <c r="N177" s="15" t="s">
        <v>111</v>
      </c>
      <c r="O177" s="15" t="s">
        <v>112</v>
      </c>
      <c r="P177" s="11" t="s">
        <v>1988</v>
      </c>
      <c r="Q177" s="11"/>
      <c r="R177" s="11"/>
      <c r="S177" s="16"/>
      <c r="T177" s="15" t="s">
        <v>114</v>
      </c>
      <c r="U177" s="11"/>
      <c r="V177" s="15" t="str">
        <f t="shared" ca="1" si="30"/>
        <v>0년8개월</v>
      </c>
      <c r="W177" s="15" t="s">
        <v>428</v>
      </c>
      <c r="X177" s="18" t="str">
        <f t="shared" ca="1" si="24"/>
        <v>0년8개월</v>
      </c>
      <c r="Y177" s="17" t="s">
        <v>1989</v>
      </c>
      <c r="Z177" s="17" t="s">
        <v>661</v>
      </c>
      <c r="AA177" s="14" t="s">
        <v>171</v>
      </c>
      <c r="AB177" s="16">
        <v>38037</v>
      </c>
      <c r="AC177" s="18">
        <f t="shared" ca="1" si="29"/>
        <v>0</v>
      </c>
      <c r="AD177" s="15" t="str">
        <f ca="1">IF($AA177="학사",IF($AC177&lt;=8,"초급",IF($AC177&lt;12,"중급",IF($AC177&lt;15,"고급",IF($AC177&gt;=15,"특급")))))</f>
        <v>초급</v>
      </c>
      <c r="AE177" s="15" t="str">
        <f t="shared" si="23"/>
        <v>미해당</v>
      </c>
      <c r="AF177" s="11"/>
      <c r="AG177" s="16"/>
      <c r="AH177" s="11"/>
      <c r="AI177" s="16"/>
      <c r="AJ177" s="11"/>
      <c r="AK177" s="11"/>
      <c r="AL177" s="19"/>
      <c r="AM177" s="11"/>
      <c r="AN177" s="20"/>
      <c r="AO177" s="21"/>
      <c r="AP177" s="21"/>
      <c r="AQ177" s="22" t="s">
        <v>154</v>
      </c>
      <c r="AR177" s="23" t="s">
        <v>155</v>
      </c>
      <c r="AS177" s="14" t="s">
        <v>137</v>
      </c>
      <c r="AT177" s="14" t="s">
        <v>1990</v>
      </c>
      <c r="AU177" s="24" t="s">
        <v>1717</v>
      </c>
      <c r="AV177" s="24" t="s">
        <v>1991</v>
      </c>
      <c r="AW177" s="25" t="s">
        <v>1992</v>
      </c>
      <c r="AX177" s="24" t="s">
        <v>1585</v>
      </c>
      <c r="AY177" s="24" t="s">
        <v>665</v>
      </c>
      <c r="AZ177" s="17"/>
      <c r="BA177" s="17" t="s">
        <v>1993</v>
      </c>
      <c r="BB177" s="26" t="str">
        <f>IFERROR(VLOOKUP($AY177,[1]프로젝트현황!Y:Z,2,0),"기타")</f>
        <v>서북권</v>
      </c>
      <c r="BC177" s="23" t="str">
        <f t="shared" si="32"/>
        <v>서울특별시 마포구 월드컵북로 502-7, 1207동 403호 (상암동, 상암월드컵파크12단지)</v>
      </c>
    </row>
    <row r="178" spans="1:55" ht="15" customHeight="1" x14ac:dyDescent="0.3">
      <c r="A178" s="10">
        <f t="shared" si="33"/>
        <v>176</v>
      </c>
      <c r="B178" s="11">
        <v>250606</v>
      </c>
      <c r="C178" s="11" t="s">
        <v>1994</v>
      </c>
      <c r="D178" s="12">
        <v>45819</v>
      </c>
      <c r="E178" s="12">
        <v>45819</v>
      </c>
      <c r="F178" s="12"/>
      <c r="G178" s="13"/>
      <c r="H178" s="14" t="s">
        <v>1995</v>
      </c>
      <c r="I178" s="11" t="s">
        <v>1996</v>
      </c>
      <c r="J178" s="15" t="str">
        <f t="shared" si="26"/>
        <v>920211</v>
      </c>
      <c r="K178" s="15" t="str">
        <f t="shared" si="31"/>
        <v>02</v>
      </c>
      <c r="L178" s="15" t="str">
        <f t="shared" si="27"/>
        <v>남자</v>
      </c>
      <c r="M178" s="15">
        <f t="shared" ca="1" si="28"/>
        <v>35</v>
      </c>
      <c r="N178" s="15" t="s">
        <v>111</v>
      </c>
      <c r="O178" s="15" t="s">
        <v>112</v>
      </c>
      <c r="P178" s="11" t="s">
        <v>1997</v>
      </c>
      <c r="Q178" s="11"/>
      <c r="R178" s="11"/>
      <c r="S178" s="16"/>
      <c r="T178" s="15" t="s">
        <v>114</v>
      </c>
      <c r="U178" s="11"/>
      <c r="V178" s="15" t="str">
        <f t="shared" ca="1" si="30"/>
        <v>0년7개월</v>
      </c>
      <c r="W178" s="15" t="s">
        <v>428</v>
      </c>
      <c r="X178" s="18" t="str">
        <f t="shared" ca="1" si="24"/>
        <v>0년7개월</v>
      </c>
      <c r="Y178" s="17" t="s">
        <v>1998</v>
      </c>
      <c r="Z178" s="17" t="s">
        <v>1910</v>
      </c>
      <c r="AA178" s="14" t="s">
        <v>258</v>
      </c>
      <c r="AB178" s="16">
        <v>40218</v>
      </c>
      <c r="AC178" s="18">
        <f t="shared" ca="1" si="29"/>
        <v>0</v>
      </c>
      <c r="AD178" s="15" t="str">
        <f ca="1">IF($AA178="고졸",IF($AC178&lt;=11,"초급",IF($AC178&lt;=14,"중급",IF($AC178&lt;=17,"고급",IF($AC178&gt;=18,"특급")))))</f>
        <v>초급</v>
      </c>
      <c r="AE178" s="15" t="str">
        <f t="shared" si="23"/>
        <v>미해당</v>
      </c>
      <c r="AF178" s="11"/>
      <c r="AG178" s="16"/>
      <c r="AH178" s="11"/>
      <c r="AI178" s="16"/>
      <c r="AJ178" s="11"/>
      <c r="AK178" s="11"/>
      <c r="AL178" s="19"/>
      <c r="AM178" s="11"/>
      <c r="AN178" s="20"/>
      <c r="AO178" s="21"/>
      <c r="AP178" s="21"/>
      <c r="AQ178" s="22" t="s">
        <v>154</v>
      </c>
      <c r="AR178" s="23" t="s">
        <v>155</v>
      </c>
      <c r="AS178" s="14" t="s">
        <v>137</v>
      </c>
      <c r="AT178" s="14" t="s">
        <v>1999</v>
      </c>
      <c r="AU178" s="24" t="s">
        <v>157</v>
      </c>
      <c r="AV178" s="24" t="s">
        <v>2000</v>
      </c>
      <c r="AW178" s="25" t="s">
        <v>2001</v>
      </c>
      <c r="AX178" s="24" t="s">
        <v>1585</v>
      </c>
      <c r="AY178" s="24" t="s">
        <v>236</v>
      </c>
      <c r="AZ178" s="17"/>
      <c r="BA178" s="17" t="s">
        <v>2002</v>
      </c>
      <c r="BB178" s="26" t="str">
        <f>IFERROR(VLOOKUP($AY178,[1]프로젝트현황!Y:Z,2,0),"기타")</f>
        <v>서남권</v>
      </c>
      <c r="BC178" s="23" t="str">
        <f t="shared" si="32"/>
        <v>서울특별시 구로구 도림로 107, 1동 808호 (구로동, 럭키아파트)</v>
      </c>
    </row>
    <row r="179" spans="1:55" ht="15" customHeight="1" x14ac:dyDescent="0.3">
      <c r="A179" s="10">
        <f t="shared" si="33"/>
        <v>177</v>
      </c>
      <c r="B179" s="11">
        <v>250607</v>
      </c>
      <c r="C179" s="11" t="s">
        <v>2003</v>
      </c>
      <c r="D179" s="12">
        <v>45824</v>
      </c>
      <c r="E179" s="12">
        <v>45931</v>
      </c>
      <c r="F179" s="12"/>
      <c r="G179" s="13"/>
      <c r="H179" s="14" t="s">
        <v>2004</v>
      </c>
      <c r="I179" s="11" t="s">
        <v>2005</v>
      </c>
      <c r="J179" s="15" t="str">
        <f t="shared" si="26"/>
        <v>850924</v>
      </c>
      <c r="K179" s="15" t="str">
        <f t="shared" si="31"/>
        <v>09</v>
      </c>
      <c r="L179" s="15" t="str">
        <f t="shared" si="27"/>
        <v>남자</v>
      </c>
      <c r="M179" s="15">
        <f t="shared" ca="1" si="28"/>
        <v>42</v>
      </c>
      <c r="N179" s="15" t="s">
        <v>111</v>
      </c>
      <c r="O179" s="15" t="s">
        <v>112</v>
      </c>
      <c r="P179" s="11" t="s">
        <v>2006</v>
      </c>
      <c r="Q179" s="11"/>
      <c r="R179" s="11"/>
      <c r="S179" s="16"/>
      <c r="T179" s="15" t="s">
        <v>114</v>
      </c>
      <c r="U179" s="11"/>
      <c r="V179" s="15" t="str">
        <f t="shared" ca="1" si="30"/>
        <v>8년7개월</v>
      </c>
      <c r="W179" s="15" t="s">
        <v>2007</v>
      </c>
      <c r="X179" s="18" t="str">
        <f t="shared" ca="1" si="24"/>
        <v>0년7개월</v>
      </c>
      <c r="Y179" s="17" t="s">
        <v>2008</v>
      </c>
      <c r="Z179" s="17" t="s">
        <v>2009</v>
      </c>
      <c r="AA179" s="14" t="s">
        <v>116</v>
      </c>
      <c r="AB179" s="16">
        <v>39856</v>
      </c>
      <c r="AC179" s="18">
        <f t="shared" ca="1" si="29"/>
        <v>8</v>
      </c>
      <c r="AD179" s="15" t="str">
        <f ca="1">IF($AA179="전문학사",IF($AC179&lt;=8,"초급",IF($AC179&lt;12,"중급",IF($AC179&lt;15,"고급",IF($AC179&gt;=15,"특급")))))</f>
        <v>초급</v>
      </c>
      <c r="AE179" s="15" t="str">
        <f t="shared" si="23"/>
        <v>미해당</v>
      </c>
      <c r="AF179" s="11"/>
      <c r="AG179" s="16"/>
      <c r="AH179" s="11"/>
      <c r="AI179" s="16"/>
      <c r="AJ179" s="11"/>
      <c r="AK179" s="11"/>
      <c r="AL179" s="19"/>
      <c r="AM179" s="11"/>
      <c r="AN179" s="20"/>
      <c r="AO179" s="21"/>
      <c r="AP179" s="21"/>
      <c r="AQ179" s="22" t="s">
        <v>154</v>
      </c>
      <c r="AR179" s="23" t="s">
        <v>155</v>
      </c>
      <c r="AS179" s="14" t="s">
        <v>137</v>
      </c>
      <c r="AT179" s="14" t="s">
        <v>2010</v>
      </c>
      <c r="AU179" s="24"/>
      <c r="AV179" s="24"/>
      <c r="AW179" s="25" t="s">
        <v>2011</v>
      </c>
      <c r="AX179" s="24" t="s">
        <v>2012</v>
      </c>
      <c r="AY179" s="24" t="s">
        <v>462</v>
      </c>
      <c r="AZ179" s="17" t="s">
        <v>2013</v>
      </c>
      <c r="BA179" s="17" t="s">
        <v>2014</v>
      </c>
      <c r="BB179" s="26" t="str">
        <f>IFERROR(VLOOKUP($AY179,[1]프로젝트현황!Y:Z,2,0),"기타")</f>
        <v>서남권</v>
      </c>
      <c r="BC179" s="23" t="str">
        <f t="shared" si="32"/>
        <v>인천 부평구 부평동 열우물로 90, 111동 3203호 (십정동, 더샵부평센트럴시티)</v>
      </c>
    </row>
    <row r="180" spans="1:55" ht="15" customHeight="1" x14ac:dyDescent="0.3">
      <c r="A180" s="10">
        <f t="shared" si="33"/>
        <v>178</v>
      </c>
      <c r="B180" s="11">
        <v>250609</v>
      </c>
      <c r="C180" s="11" t="s">
        <v>2015</v>
      </c>
      <c r="D180" s="12">
        <v>45870</v>
      </c>
      <c r="E180" s="12">
        <v>45870</v>
      </c>
      <c r="F180" s="12"/>
      <c r="G180" s="13"/>
      <c r="H180" s="14" t="s">
        <v>2016</v>
      </c>
      <c r="I180" s="11" t="s">
        <v>2017</v>
      </c>
      <c r="J180" s="15" t="str">
        <f t="shared" si="26"/>
        <v>840603</v>
      </c>
      <c r="K180" s="15" t="str">
        <f t="shared" si="31"/>
        <v>06</v>
      </c>
      <c r="L180" s="15" t="str">
        <f t="shared" si="27"/>
        <v>남자</v>
      </c>
      <c r="M180" s="15">
        <f t="shared" ca="1" si="28"/>
        <v>43</v>
      </c>
      <c r="N180" s="15" t="s">
        <v>111</v>
      </c>
      <c r="O180" s="15" t="s">
        <v>112</v>
      </c>
      <c r="P180" s="11" t="s">
        <v>2018</v>
      </c>
      <c r="Q180" s="11"/>
      <c r="R180" s="11"/>
      <c r="S180" s="16"/>
      <c r="T180" s="15" t="s">
        <v>114</v>
      </c>
      <c r="U180" s="11"/>
      <c r="V180" s="15" t="str">
        <f t="shared" ca="1" si="30"/>
        <v>16년2개월</v>
      </c>
      <c r="W180" s="15" t="s">
        <v>2019</v>
      </c>
      <c r="X180" s="18" t="str">
        <f t="shared" ca="1" si="24"/>
        <v>0년6개월</v>
      </c>
      <c r="Y180" s="17" t="s">
        <v>814</v>
      </c>
      <c r="Z180" s="17" t="s">
        <v>1337</v>
      </c>
      <c r="AA180" s="14" t="s">
        <v>171</v>
      </c>
      <c r="AB180" s="16">
        <v>41516</v>
      </c>
      <c r="AC180" s="18">
        <f t="shared" ca="1" si="29"/>
        <v>16</v>
      </c>
      <c r="AD180" s="15" t="str">
        <f ca="1">IF($AA180="학사",IF($AC180&lt;=8,"초급",IF($AC180&lt;12,"중급",IF($AC180&lt;15,"고급",IF($AC180&gt;=15,"특급")))))</f>
        <v>특급</v>
      </c>
      <c r="AE180" s="15" t="str">
        <f t="shared" si="23"/>
        <v>미해당</v>
      </c>
      <c r="AF180" s="11"/>
      <c r="AG180" s="16"/>
      <c r="AH180" s="11"/>
      <c r="AI180" s="16"/>
      <c r="AJ180" s="11"/>
      <c r="AK180" s="11"/>
      <c r="AL180" s="19"/>
      <c r="AM180" s="11"/>
      <c r="AN180" s="20"/>
      <c r="AO180" s="21"/>
      <c r="AP180" s="21"/>
      <c r="AQ180" s="22" t="s">
        <v>154</v>
      </c>
      <c r="AR180" s="23" t="s">
        <v>155</v>
      </c>
      <c r="AS180" s="14" t="s">
        <v>137</v>
      </c>
      <c r="AT180" s="14" t="s">
        <v>2020</v>
      </c>
      <c r="AU180" s="24"/>
      <c r="AV180" s="24"/>
      <c r="AW180" s="25" t="s">
        <v>2021</v>
      </c>
      <c r="AX180" s="24" t="s">
        <v>141</v>
      </c>
      <c r="AY180" s="24" t="s">
        <v>564</v>
      </c>
      <c r="AZ180" s="17"/>
      <c r="BA180" s="17" t="s">
        <v>2022</v>
      </c>
      <c r="BB180" s="26" t="str">
        <f>IFERROR(VLOOKUP($AY180,[1]프로젝트현황!Y:Z,2,0),"기타")</f>
        <v>서남권</v>
      </c>
      <c r="BC180" s="23" t="str">
        <f t="shared" si="32"/>
        <v>경기도 김포시 김포한강1로 10, 205동 702호 (장기동, 초당마을 우미린아파트)</v>
      </c>
    </row>
    <row r="181" spans="1:55" ht="15" customHeight="1" x14ac:dyDescent="0.3">
      <c r="A181" s="10">
        <f t="shared" si="33"/>
        <v>179</v>
      </c>
      <c r="B181" s="11">
        <v>250701</v>
      </c>
      <c r="C181" s="11" t="s">
        <v>2023</v>
      </c>
      <c r="D181" s="12">
        <v>45839</v>
      </c>
      <c r="E181" s="12">
        <v>45931</v>
      </c>
      <c r="F181" s="12"/>
      <c r="G181" s="13"/>
      <c r="H181" s="14" t="s">
        <v>2024</v>
      </c>
      <c r="I181" s="11" t="s">
        <v>2025</v>
      </c>
      <c r="J181" s="15" t="str">
        <f t="shared" si="26"/>
        <v>901008</v>
      </c>
      <c r="K181" s="15" t="str">
        <f t="shared" si="31"/>
        <v>10</v>
      </c>
      <c r="L181" s="15" t="str">
        <f t="shared" si="27"/>
        <v>남자</v>
      </c>
      <c r="M181" s="15">
        <f t="shared" ca="1" si="28"/>
        <v>37</v>
      </c>
      <c r="N181" s="15" t="s">
        <v>111</v>
      </c>
      <c r="O181" s="15" t="s">
        <v>112</v>
      </c>
      <c r="P181" s="11" t="s">
        <v>2026</v>
      </c>
      <c r="Q181" s="11"/>
      <c r="R181" s="11"/>
      <c r="S181" s="16"/>
      <c r="T181" s="15" t="s">
        <v>114</v>
      </c>
      <c r="U181" s="11"/>
      <c r="V181" s="15" t="str">
        <f t="shared" ca="1" si="30"/>
        <v>1년7개월</v>
      </c>
      <c r="W181" s="15" t="s">
        <v>326</v>
      </c>
      <c r="X181" s="18" t="str">
        <f t="shared" ca="1" si="24"/>
        <v>0년7개월</v>
      </c>
      <c r="Y181" s="17" t="s">
        <v>2027</v>
      </c>
      <c r="Z181" s="17" t="s">
        <v>803</v>
      </c>
      <c r="AA181" s="14" t="s">
        <v>258</v>
      </c>
      <c r="AB181" s="16" t="s">
        <v>1910</v>
      </c>
      <c r="AC181" s="18">
        <f t="shared" ca="1" si="29"/>
        <v>1</v>
      </c>
      <c r="AD181" s="15" t="str">
        <f ca="1">IF($AA181="고졸",IF($AC181&lt;=11,"초급",IF($AC181&lt;=14,"중급",IF($AC181&lt;=17,"고급",IF($AC181&gt;=18,"특급")))))</f>
        <v>초급</v>
      </c>
      <c r="AE181" s="15" t="str">
        <f t="shared" si="23"/>
        <v>미해당</v>
      </c>
      <c r="AF181" s="11"/>
      <c r="AG181" s="16"/>
      <c r="AH181" s="11" t="s">
        <v>2028</v>
      </c>
      <c r="AI181" s="16">
        <v>45786</v>
      </c>
      <c r="AJ181" s="11"/>
      <c r="AK181" s="11"/>
      <c r="AL181" s="19"/>
      <c r="AM181" s="11"/>
      <c r="AN181" s="20"/>
      <c r="AO181" s="21"/>
      <c r="AP181" s="21"/>
      <c r="AQ181" s="22" t="s">
        <v>154</v>
      </c>
      <c r="AR181" s="23" t="s">
        <v>155</v>
      </c>
      <c r="AS181" s="14" t="s">
        <v>137</v>
      </c>
      <c r="AT181" s="14" t="s">
        <v>2029</v>
      </c>
      <c r="AU181" s="24"/>
      <c r="AV181" s="24"/>
      <c r="AW181" s="25" t="s">
        <v>2030</v>
      </c>
      <c r="AX181" s="24" t="s">
        <v>1585</v>
      </c>
      <c r="AY181" s="24" t="s">
        <v>1115</v>
      </c>
      <c r="AZ181" s="17"/>
      <c r="BA181" s="17" t="s">
        <v>2031</v>
      </c>
      <c r="BB181" s="26" t="str">
        <f>IFERROR(VLOOKUP($AY181,[1]프로젝트현황!Y:Z,2,0),"기타")</f>
        <v>동남권</v>
      </c>
      <c r="BC181" s="23" t="str">
        <f t="shared" si="32"/>
        <v>서울특별시 송파구 오금로53길 39-10, 503호 (거여동, 팰리스힐)</v>
      </c>
    </row>
    <row r="182" spans="1:55" ht="15" customHeight="1" x14ac:dyDescent="0.3">
      <c r="A182" s="10">
        <f t="shared" si="33"/>
        <v>180</v>
      </c>
      <c r="B182" s="11">
        <v>250702</v>
      </c>
      <c r="C182" s="11" t="s">
        <v>2032</v>
      </c>
      <c r="D182" s="12">
        <v>45839</v>
      </c>
      <c r="E182" s="12">
        <v>45839</v>
      </c>
      <c r="F182" s="12"/>
      <c r="G182" s="13"/>
      <c r="H182" s="14" t="s">
        <v>2033</v>
      </c>
      <c r="I182" s="11" t="s">
        <v>2034</v>
      </c>
      <c r="J182" s="15" t="str">
        <f t="shared" si="26"/>
        <v>970218</v>
      </c>
      <c r="K182" s="15" t="str">
        <f t="shared" si="31"/>
        <v>02</v>
      </c>
      <c r="L182" s="15" t="str">
        <f t="shared" si="27"/>
        <v>남자</v>
      </c>
      <c r="M182" s="15">
        <f t="shared" ca="1" si="28"/>
        <v>30</v>
      </c>
      <c r="N182" s="15" t="s">
        <v>111</v>
      </c>
      <c r="O182" s="15" t="s">
        <v>112</v>
      </c>
      <c r="P182" s="11" t="s">
        <v>2035</v>
      </c>
      <c r="Q182" s="11"/>
      <c r="R182" s="11"/>
      <c r="S182" s="16"/>
      <c r="T182" s="15" t="s">
        <v>114</v>
      </c>
      <c r="U182" s="11"/>
      <c r="V182" s="15" t="str">
        <f t="shared" ca="1" si="30"/>
        <v>3년7개월</v>
      </c>
      <c r="W182" s="15" t="s">
        <v>2036</v>
      </c>
      <c r="X182" s="18" t="str">
        <f t="shared" ca="1" si="24"/>
        <v>0년7개월</v>
      </c>
      <c r="Y182" s="17" t="s">
        <v>2008</v>
      </c>
      <c r="Z182" s="17" t="s">
        <v>2037</v>
      </c>
      <c r="AA182" s="14" t="s">
        <v>171</v>
      </c>
      <c r="AB182" s="16">
        <v>44244</v>
      </c>
      <c r="AC182" s="18">
        <f t="shared" ca="1" si="29"/>
        <v>3</v>
      </c>
      <c r="AD182" s="15" t="str">
        <f ca="1">IF($AA182="학사",IF($AC182&lt;=8,"초급",IF($AC182&lt;12,"중급",IF($AC182&lt;15,"고급",IF($AC182&gt;=15,"특급")))))</f>
        <v>초급</v>
      </c>
      <c r="AE182" s="15" t="str">
        <f t="shared" ref="AE182:AE241" si="34">IF(ISNUMBER(SEARCH("산업기사",$AL182)),IF($AC182&gt;=13,"특급",IF($AC182&gt;=10,"고급",IF($AC182&gt;=7,"중급","초급"))),IF(ISNUMBER(SEARCH("기사",$AJ182)),IF($AC182&gt;=10,"특급",IF($AC182&gt;=7,"고급",IF($AC182&gt;=4,"중급","초급"))),"미해당"))</f>
        <v>미해당</v>
      </c>
      <c r="AF182" s="11"/>
      <c r="AG182" s="16"/>
      <c r="AH182" s="11"/>
      <c r="AI182" s="16"/>
      <c r="AJ182" s="11"/>
      <c r="AK182" s="11"/>
      <c r="AL182" s="19"/>
      <c r="AM182" s="11"/>
      <c r="AN182" s="20"/>
      <c r="AO182" s="21"/>
      <c r="AP182" s="21"/>
      <c r="AQ182" s="22" t="s">
        <v>154</v>
      </c>
      <c r="AR182" s="23" t="s">
        <v>155</v>
      </c>
      <c r="AS182" s="14" t="s">
        <v>137</v>
      </c>
      <c r="AT182" s="14" t="s">
        <v>2038</v>
      </c>
      <c r="AU182" s="24"/>
      <c r="AV182" s="24"/>
      <c r="AW182" s="25" t="s">
        <v>2039</v>
      </c>
      <c r="AX182" s="24" t="s">
        <v>1585</v>
      </c>
      <c r="AY182" s="24" t="s">
        <v>123</v>
      </c>
      <c r="AZ182" s="17"/>
      <c r="BA182" s="17" t="s">
        <v>2040</v>
      </c>
      <c r="BB182" s="26" t="str">
        <f>IFERROR(VLOOKUP($AY182,[1]프로젝트현황!Y:Z,2,0),"기타")</f>
        <v>서북권</v>
      </c>
      <c r="BC182" s="23" t="str">
        <f t="shared" si="32"/>
        <v>서울특별시 서대문구 홍제내길 38 (홍제동)</v>
      </c>
    </row>
    <row r="183" spans="1:55" ht="15" customHeight="1" x14ac:dyDescent="0.3">
      <c r="A183" s="10">
        <f t="shared" si="33"/>
        <v>181</v>
      </c>
      <c r="B183" s="11">
        <v>250703</v>
      </c>
      <c r="C183" s="11" t="s">
        <v>2041</v>
      </c>
      <c r="D183" s="12">
        <v>45859</v>
      </c>
      <c r="E183" s="12">
        <v>45859</v>
      </c>
      <c r="F183" s="12"/>
      <c r="G183" s="13"/>
      <c r="H183" s="14" t="s">
        <v>2042</v>
      </c>
      <c r="I183" s="11" t="s">
        <v>2043</v>
      </c>
      <c r="J183" s="15" t="str">
        <f t="shared" si="26"/>
        <v>791205</v>
      </c>
      <c r="K183" s="15" t="str">
        <f t="shared" si="31"/>
        <v>12</v>
      </c>
      <c r="L183" s="15" t="str">
        <f t="shared" si="27"/>
        <v>남자</v>
      </c>
      <c r="M183" s="15">
        <f t="shared" ca="1" si="28"/>
        <v>48</v>
      </c>
      <c r="N183" s="15" t="s">
        <v>111</v>
      </c>
      <c r="O183" s="15" t="s">
        <v>112</v>
      </c>
      <c r="P183" s="11" t="s">
        <v>2044</v>
      </c>
      <c r="Q183" s="11"/>
      <c r="R183" s="11"/>
      <c r="S183" s="16"/>
      <c r="T183" s="15" t="s">
        <v>114</v>
      </c>
      <c r="U183" s="11"/>
      <c r="V183" s="15" t="str">
        <f t="shared" ca="1" si="30"/>
        <v>14년9개월</v>
      </c>
      <c r="W183" s="15" t="s">
        <v>2045</v>
      </c>
      <c r="X183" s="18" t="str">
        <f t="shared" ref="X183:X246" ca="1" si="35">DATEDIF($D183,TODAY(),"y")&amp;"년"&amp;DATEDIF($D183,TODAY(),"ym")&amp;"개월"</f>
        <v>0년6개월</v>
      </c>
      <c r="Y183" s="17" t="s">
        <v>2046</v>
      </c>
      <c r="Z183" s="17" t="s">
        <v>906</v>
      </c>
      <c r="AA183" s="14" t="s">
        <v>116</v>
      </c>
      <c r="AB183" s="16">
        <v>38401</v>
      </c>
      <c r="AC183" s="18">
        <f t="shared" ca="1" si="29"/>
        <v>14</v>
      </c>
      <c r="AD183" s="15" t="str">
        <f ca="1">IF($AA183="전문학사",IF($AC183&lt;=8,"초급",IF($AC183&lt;12,"중급",IF($AC183&lt;15,"고급",IF($AC183&gt;=15,"특급")))))</f>
        <v>고급</v>
      </c>
      <c r="AE183" s="15" t="str">
        <f t="shared" si="34"/>
        <v>미해당</v>
      </c>
      <c r="AF183" s="11"/>
      <c r="AG183" s="16"/>
      <c r="AH183" s="11" t="s">
        <v>2028</v>
      </c>
      <c r="AI183" s="16">
        <v>42787</v>
      </c>
      <c r="AJ183" s="11"/>
      <c r="AK183" s="11"/>
      <c r="AL183" s="19"/>
      <c r="AM183" s="11"/>
      <c r="AN183" s="20"/>
      <c r="AO183" s="21"/>
      <c r="AP183" s="21"/>
      <c r="AQ183" s="22" t="s">
        <v>154</v>
      </c>
      <c r="AR183" s="23" t="s">
        <v>155</v>
      </c>
      <c r="AS183" s="14" t="s">
        <v>137</v>
      </c>
      <c r="AT183" s="14" t="s">
        <v>2047</v>
      </c>
      <c r="AU183" s="24"/>
      <c r="AV183" s="24"/>
      <c r="AW183" s="25" t="s">
        <v>2048</v>
      </c>
      <c r="AX183" s="24" t="s">
        <v>1737</v>
      </c>
      <c r="AY183" s="24" t="s">
        <v>653</v>
      </c>
      <c r="AZ183" s="17"/>
      <c r="BA183" s="17" t="s">
        <v>2049</v>
      </c>
      <c r="BB183" s="26" t="str">
        <f>IFERROR(VLOOKUP($AY183,[1]프로젝트현황!Y:Z,2,0),"기타")</f>
        <v>서남권</v>
      </c>
      <c r="BC183" s="23" t="str">
        <f t="shared" si="32"/>
        <v>인천광역시 서구 완정로92번길 28, 104동 1003호 (마전동, 검단아이파크아파트)</v>
      </c>
    </row>
    <row r="184" spans="1:55" ht="15" customHeight="1" x14ac:dyDescent="0.3">
      <c r="A184" s="10">
        <f t="shared" si="33"/>
        <v>182</v>
      </c>
      <c r="B184" s="11">
        <v>250704</v>
      </c>
      <c r="C184" s="11" t="s">
        <v>2050</v>
      </c>
      <c r="D184" s="12">
        <v>45866</v>
      </c>
      <c r="E184" s="12">
        <v>45866</v>
      </c>
      <c r="F184" s="12"/>
      <c r="G184" s="13"/>
      <c r="H184" s="14" t="s">
        <v>2051</v>
      </c>
      <c r="I184" s="11" t="s">
        <v>2052</v>
      </c>
      <c r="J184" s="15" t="str">
        <f t="shared" si="26"/>
        <v>971208</v>
      </c>
      <c r="K184" s="15" t="str">
        <f t="shared" si="31"/>
        <v>12</v>
      </c>
      <c r="L184" s="15" t="str">
        <f t="shared" si="27"/>
        <v>남자</v>
      </c>
      <c r="M184" s="15">
        <f t="shared" ca="1" si="28"/>
        <v>30</v>
      </c>
      <c r="N184" s="15" t="s">
        <v>111</v>
      </c>
      <c r="O184" s="15" t="s">
        <v>112</v>
      </c>
      <c r="P184" s="11" t="s">
        <v>2053</v>
      </c>
      <c r="Q184" s="11"/>
      <c r="R184" s="11"/>
      <c r="S184" s="16"/>
      <c r="T184" s="15" t="s">
        <v>114</v>
      </c>
      <c r="U184" s="11"/>
      <c r="V184" s="15" t="str">
        <f t="shared" ca="1" si="30"/>
        <v>4년0개월</v>
      </c>
      <c r="W184" s="15" t="s">
        <v>483</v>
      </c>
      <c r="X184" s="18" t="str">
        <f t="shared" ca="1" si="35"/>
        <v>0년6개월</v>
      </c>
      <c r="Y184" s="17" t="s">
        <v>1375</v>
      </c>
      <c r="Z184" s="17" t="s">
        <v>2054</v>
      </c>
      <c r="AA184" s="14" t="s">
        <v>116</v>
      </c>
      <c r="AB184" s="16">
        <v>44245</v>
      </c>
      <c r="AC184" s="18">
        <f t="shared" ca="1" si="29"/>
        <v>4</v>
      </c>
      <c r="AD184" s="15" t="str">
        <f ca="1">IF($AA184="전문학사",IF($AC184&lt;=8,"초급",IF($AC184&lt;12,"중급",IF($AC184&lt;15,"고급",IF($AC184&gt;=15,"특급")))))</f>
        <v>초급</v>
      </c>
      <c r="AE184" s="15" t="str">
        <f t="shared" si="34"/>
        <v>미해당</v>
      </c>
      <c r="AF184" s="11"/>
      <c r="AG184" s="16"/>
      <c r="AH184" s="11"/>
      <c r="AI184" s="16"/>
      <c r="AJ184" s="11"/>
      <c r="AK184" s="11"/>
      <c r="AL184" s="19"/>
      <c r="AM184" s="11"/>
      <c r="AN184" s="20"/>
      <c r="AO184" s="21"/>
      <c r="AP184" s="21"/>
      <c r="AQ184" s="22" t="s">
        <v>154</v>
      </c>
      <c r="AR184" s="23" t="s">
        <v>155</v>
      </c>
      <c r="AS184" s="14" t="s">
        <v>137</v>
      </c>
      <c r="AT184" s="14" t="s">
        <v>2055</v>
      </c>
      <c r="AU184" s="24"/>
      <c r="AV184" s="24"/>
      <c r="AW184" s="25" t="s">
        <v>2056</v>
      </c>
      <c r="AX184" s="24" t="s">
        <v>1585</v>
      </c>
      <c r="AY184" s="24" t="s">
        <v>543</v>
      </c>
      <c r="AZ184" s="17"/>
      <c r="BA184" s="17" t="s">
        <v>2057</v>
      </c>
      <c r="BB184" s="26" t="str">
        <f>IFERROR(VLOOKUP($AY184,[1]프로젝트현황!Y:Z,2,0),"기타")</f>
        <v>서남권</v>
      </c>
      <c r="BC184" s="23" t="str">
        <f t="shared" si="32"/>
        <v>서울특별시 양천구 오목로 190, 501호 (신정동, 천우비지움오피스텔)</v>
      </c>
    </row>
    <row r="185" spans="1:55" ht="15" customHeight="1" x14ac:dyDescent="0.3">
      <c r="A185" s="10">
        <f t="shared" si="33"/>
        <v>183</v>
      </c>
      <c r="B185" s="11">
        <v>250801</v>
      </c>
      <c r="C185" s="11" t="s">
        <v>2058</v>
      </c>
      <c r="D185" s="12">
        <v>45870</v>
      </c>
      <c r="E185" s="12">
        <v>45870</v>
      </c>
      <c r="F185" s="12"/>
      <c r="G185" s="13"/>
      <c r="H185" s="14" t="s">
        <v>2059</v>
      </c>
      <c r="I185" s="11" t="s">
        <v>2060</v>
      </c>
      <c r="J185" s="15" t="str">
        <f t="shared" si="26"/>
        <v>960627</v>
      </c>
      <c r="K185" s="15" t="str">
        <f t="shared" si="31"/>
        <v>06</v>
      </c>
      <c r="L185" s="15" t="str">
        <f t="shared" si="27"/>
        <v>남자</v>
      </c>
      <c r="M185" s="15">
        <f t="shared" ca="1" si="28"/>
        <v>31</v>
      </c>
      <c r="N185" s="15" t="s">
        <v>111</v>
      </c>
      <c r="O185" s="15" t="s">
        <v>112</v>
      </c>
      <c r="P185" s="11" t="s">
        <v>2061</v>
      </c>
      <c r="Q185" s="11"/>
      <c r="R185" s="11"/>
      <c r="S185" s="16"/>
      <c r="T185" s="15" t="s">
        <v>114</v>
      </c>
      <c r="U185" s="11"/>
      <c r="V185" s="15" t="str">
        <f t="shared" ca="1" si="30"/>
        <v>5년1개월</v>
      </c>
      <c r="W185" s="15" t="s">
        <v>2062</v>
      </c>
      <c r="X185" s="18" t="str">
        <f t="shared" ca="1" si="35"/>
        <v>0년6개월</v>
      </c>
      <c r="Y185" s="17" t="s">
        <v>1789</v>
      </c>
      <c r="Z185" s="17" t="s">
        <v>217</v>
      </c>
      <c r="AA185" s="14" t="s">
        <v>116</v>
      </c>
      <c r="AB185" s="16">
        <v>43872</v>
      </c>
      <c r="AC185" s="18">
        <f t="shared" ca="1" si="29"/>
        <v>5</v>
      </c>
      <c r="AD185" s="15" t="str">
        <f ca="1">IF($AA185="전문학사",IF($AC185&lt;=8,"초급",IF($AC185&lt;12,"중급",IF($AC185&lt;15,"고급",IF($AC185&gt;=15,"특급")))))</f>
        <v>초급</v>
      </c>
      <c r="AE185" s="15" t="str">
        <f t="shared" si="34"/>
        <v>미해당</v>
      </c>
      <c r="AF185" s="11"/>
      <c r="AG185" s="16"/>
      <c r="AH185" s="11" t="s">
        <v>2028</v>
      </c>
      <c r="AI185" s="16">
        <v>45771</v>
      </c>
      <c r="AJ185" s="11"/>
      <c r="AK185" s="11"/>
      <c r="AL185" s="19"/>
      <c r="AM185" s="11"/>
      <c r="AN185" s="20"/>
      <c r="AO185" s="21"/>
      <c r="AP185" s="21"/>
      <c r="AQ185" s="22" t="s">
        <v>154</v>
      </c>
      <c r="AR185" s="23" t="s">
        <v>155</v>
      </c>
      <c r="AS185" s="14" t="s">
        <v>137</v>
      </c>
      <c r="AT185" s="14" t="s">
        <v>2063</v>
      </c>
      <c r="AU185" s="24"/>
      <c r="AV185" s="24"/>
      <c r="AW185" s="25" t="s">
        <v>2064</v>
      </c>
      <c r="AX185" s="24" t="s">
        <v>141</v>
      </c>
      <c r="AY185" s="24" t="s">
        <v>2065</v>
      </c>
      <c r="AZ185" s="17"/>
      <c r="BA185" s="17" t="s">
        <v>2066</v>
      </c>
      <c r="BB185" s="26" t="str">
        <f>IFERROR(VLOOKUP($AY185,[1]프로젝트현황!Y:Z,2,0),"기타")</f>
        <v>동북권</v>
      </c>
      <c r="BC185" s="23" t="str">
        <f t="shared" si="32"/>
        <v>경기도 양주시 회천중앙로 220, 204동 2604호 (덕계동, 회천대광로제비앙더센트럴)</v>
      </c>
    </row>
    <row r="186" spans="1:55" ht="15" customHeight="1" x14ac:dyDescent="0.3">
      <c r="A186" s="10">
        <f t="shared" si="33"/>
        <v>184</v>
      </c>
      <c r="B186" s="11">
        <v>250802</v>
      </c>
      <c r="C186" s="11" t="s">
        <v>2067</v>
      </c>
      <c r="D186" s="12">
        <v>45870</v>
      </c>
      <c r="E186" s="12">
        <v>45870</v>
      </c>
      <c r="F186" s="12"/>
      <c r="G186" s="13"/>
      <c r="H186" s="14" t="s">
        <v>2068</v>
      </c>
      <c r="I186" s="11" t="s">
        <v>2069</v>
      </c>
      <c r="J186" s="15" t="str">
        <f t="shared" si="26"/>
        <v>001122</v>
      </c>
      <c r="K186" s="15" t="str">
        <f t="shared" si="31"/>
        <v>11</v>
      </c>
      <c r="L186" s="15" t="str">
        <f t="shared" si="27"/>
        <v>여자</v>
      </c>
      <c r="M186" s="15">
        <f t="shared" ca="1" si="28"/>
        <v>27</v>
      </c>
      <c r="N186" s="15" t="s">
        <v>111</v>
      </c>
      <c r="O186" s="15" t="s">
        <v>112</v>
      </c>
      <c r="P186" s="11" t="s">
        <v>2070</v>
      </c>
      <c r="Q186" s="11"/>
      <c r="R186" s="11"/>
      <c r="S186" s="16"/>
      <c r="T186" s="15" t="s">
        <v>114</v>
      </c>
      <c r="U186" s="11"/>
      <c r="V186" s="15" t="str">
        <f t="shared" ca="1" si="30"/>
        <v>3년9개월</v>
      </c>
      <c r="W186" s="15" t="s">
        <v>1693</v>
      </c>
      <c r="X186" s="18" t="str">
        <f t="shared" ca="1" si="35"/>
        <v>0년6개월</v>
      </c>
      <c r="Y186" s="17" t="s">
        <v>361</v>
      </c>
      <c r="Z186" s="17" t="s">
        <v>2071</v>
      </c>
      <c r="AA186" s="14" t="s">
        <v>116</v>
      </c>
      <c r="AB186" s="16">
        <v>44232</v>
      </c>
      <c r="AC186" s="18">
        <f t="shared" ca="1" si="29"/>
        <v>3</v>
      </c>
      <c r="AD186" s="15" t="str">
        <f ca="1">IF($AA186="전문학사",IF($AC186&lt;=8,"초급",IF($AC186&lt;12,"중급",IF($AC186&lt;15,"고급",IF($AC186&gt;=15,"특급")))))</f>
        <v>초급</v>
      </c>
      <c r="AE186" s="15" t="str">
        <f t="shared" si="34"/>
        <v>미해당</v>
      </c>
      <c r="AF186" s="11"/>
      <c r="AG186" s="16"/>
      <c r="AH186" s="11"/>
      <c r="AI186" s="16"/>
      <c r="AJ186" s="11"/>
      <c r="AK186" s="11"/>
      <c r="AL186" s="19"/>
      <c r="AM186" s="11"/>
      <c r="AN186" s="20"/>
      <c r="AO186" s="21"/>
      <c r="AP186" s="21"/>
      <c r="AQ186" s="22" t="s">
        <v>154</v>
      </c>
      <c r="AR186" s="23" t="s">
        <v>155</v>
      </c>
      <c r="AS186" s="14" t="s">
        <v>137</v>
      </c>
      <c r="AT186" s="14" t="s">
        <v>2072</v>
      </c>
      <c r="AU186" s="24"/>
      <c r="AV186" s="24"/>
      <c r="AW186" s="25" t="s">
        <v>2073</v>
      </c>
      <c r="AX186" s="24" t="s">
        <v>141</v>
      </c>
      <c r="AY186" s="24" t="s">
        <v>1234</v>
      </c>
      <c r="AZ186" s="17"/>
      <c r="BA186" s="17" t="s">
        <v>2074</v>
      </c>
      <c r="BB186" s="26" t="str">
        <f>IFERROR(VLOOKUP($AY186,[1]프로젝트현황!Y:Z,2,0),"기타")</f>
        <v>서남권</v>
      </c>
      <c r="BC186" s="23" t="str">
        <f t="shared" si="32"/>
        <v>경기도 시흥시 은행로 208, 203동 601호 (대야동, 우성아파트)</v>
      </c>
    </row>
    <row r="187" spans="1:55" ht="15" customHeight="1" x14ac:dyDescent="0.3">
      <c r="A187" s="10">
        <f t="shared" si="33"/>
        <v>185</v>
      </c>
      <c r="B187" s="11">
        <v>250803</v>
      </c>
      <c r="C187" s="11" t="s">
        <v>2075</v>
      </c>
      <c r="D187" s="12">
        <v>45873</v>
      </c>
      <c r="E187" s="12">
        <v>45873</v>
      </c>
      <c r="F187" s="12"/>
      <c r="G187" s="13"/>
      <c r="H187" s="14" t="s">
        <v>2076</v>
      </c>
      <c r="I187" s="11" t="s">
        <v>2077</v>
      </c>
      <c r="J187" s="15" t="str">
        <f t="shared" si="26"/>
        <v>970118</v>
      </c>
      <c r="K187" s="15" t="str">
        <f t="shared" si="31"/>
        <v>01</v>
      </c>
      <c r="L187" s="15" t="str">
        <f t="shared" si="27"/>
        <v>여자</v>
      </c>
      <c r="M187" s="15">
        <f t="shared" ca="1" si="28"/>
        <v>30</v>
      </c>
      <c r="N187" s="15" t="s">
        <v>111</v>
      </c>
      <c r="O187" s="15" t="s">
        <v>112</v>
      </c>
      <c r="P187" s="11" t="s">
        <v>2078</v>
      </c>
      <c r="Q187" s="11"/>
      <c r="R187" s="11"/>
      <c r="S187" s="16"/>
      <c r="T187" s="15" t="s">
        <v>114</v>
      </c>
      <c r="U187" s="11"/>
      <c r="V187" s="15" t="str">
        <f t="shared" ca="1" si="30"/>
        <v>1년7개월</v>
      </c>
      <c r="W187" s="15" t="s">
        <v>1374</v>
      </c>
      <c r="X187" s="18" t="str">
        <f t="shared" ca="1" si="35"/>
        <v>0년6개월</v>
      </c>
      <c r="Y187" s="17" t="s">
        <v>2079</v>
      </c>
      <c r="Z187" s="17" t="s">
        <v>2080</v>
      </c>
      <c r="AA187" s="14" t="s">
        <v>116</v>
      </c>
      <c r="AB187" s="16">
        <v>43139</v>
      </c>
      <c r="AC187" s="18">
        <f t="shared" ca="1" si="29"/>
        <v>1</v>
      </c>
      <c r="AD187" s="15" t="str">
        <f ca="1">IF($AA187="전문학사",IF($AC187&lt;=8,"초급",IF($AC187&lt;12,"중급",IF($AC187&lt;15,"고급",IF($AC187&gt;=15,"특급")))))</f>
        <v>초급</v>
      </c>
      <c r="AE187" s="15" t="str">
        <f t="shared" si="34"/>
        <v>미해당</v>
      </c>
      <c r="AF187" s="11"/>
      <c r="AG187" s="16"/>
      <c r="AH187" s="11"/>
      <c r="AI187" s="16"/>
      <c r="AJ187" s="11"/>
      <c r="AK187" s="11"/>
      <c r="AL187" s="19"/>
      <c r="AM187" s="11"/>
      <c r="AN187" s="20"/>
      <c r="AO187" s="21"/>
      <c r="AP187" s="21"/>
      <c r="AQ187" s="22" t="s">
        <v>154</v>
      </c>
      <c r="AR187" s="23" t="s">
        <v>155</v>
      </c>
      <c r="AS187" s="14" t="s">
        <v>137</v>
      </c>
      <c r="AT187" s="14" t="s">
        <v>2081</v>
      </c>
      <c r="AU187" s="24" t="s">
        <v>176</v>
      </c>
      <c r="AV187" s="24" t="s">
        <v>2082</v>
      </c>
      <c r="AW187" s="25" t="s">
        <v>2083</v>
      </c>
      <c r="AX187" s="24" t="s">
        <v>1585</v>
      </c>
      <c r="AY187" s="24" t="s">
        <v>264</v>
      </c>
      <c r="AZ187" s="17"/>
      <c r="BA187" s="17" t="s">
        <v>2084</v>
      </c>
      <c r="BB187" s="26" t="str">
        <f>IFERROR(VLOOKUP($AY187,[1]프로젝트현황!Y:Z,2,0),"기타")</f>
        <v>서남권</v>
      </c>
      <c r="BC187" s="23" t="str">
        <f t="shared" si="32"/>
        <v>서울특별시 관악구 조원로 109, 404호 (신림동)</v>
      </c>
    </row>
    <row r="188" spans="1:55" ht="15" customHeight="1" x14ac:dyDescent="0.3">
      <c r="A188" s="10">
        <f t="shared" si="33"/>
        <v>186</v>
      </c>
      <c r="B188" s="11">
        <v>250805</v>
      </c>
      <c r="C188" s="11" t="s">
        <v>2085</v>
      </c>
      <c r="D188" s="12">
        <v>45873</v>
      </c>
      <c r="E188" s="12">
        <v>45873</v>
      </c>
      <c r="F188" s="12"/>
      <c r="G188" s="13"/>
      <c r="H188" s="14" t="s">
        <v>2086</v>
      </c>
      <c r="I188" s="11" t="s">
        <v>2087</v>
      </c>
      <c r="J188" s="15" t="str">
        <f t="shared" si="26"/>
        <v>860712</v>
      </c>
      <c r="K188" s="15" t="str">
        <f t="shared" si="31"/>
        <v>07</v>
      </c>
      <c r="L188" s="15" t="str">
        <f t="shared" si="27"/>
        <v>남자</v>
      </c>
      <c r="M188" s="15">
        <f t="shared" ca="1" si="28"/>
        <v>41</v>
      </c>
      <c r="N188" s="15" t="s">
        <v>111</v>
      </c>
      <c r="O188" s="15" t="s">
        <v>112</v>
      </c>
      <c r="P188" s="11" t="s">
        <v>2088</v>
      </c>
      <c r="Q188" s="11"/>
      <c r="R188" s="11"/>
      <c r="S188" s="16"/>
      <c r="T188" s="15" t="s">
        <v>114</v>
      </c>
      <c r="U188" s="11"/>
      <c r="V188" s="15" t="str">
        <f t="shared" ca="1" si="30"/>
        <v>0년6개월</v>
      </c>
      <c r="W188" s="15" t="s">
        <v>428</v>
      </c>
      <c r="X188" s="18" t="str">
        <f t="shared" ca="1" si="35"/>
        <v>0년6개월</v>
      </c>
      <c r="Y188" s="17" t="s">
        <v>1979</v>
      </c>
      <c r="Z188" s="17" t="s">
        <v>471</v>
      </c>
      <c r="AA188" s="14" t="s">
        <v>171</v>
      </c>
      <c r="AB188" s="16">
        <v>41325</v>
      </c>
      <c r="AC188" s="18">
        <f t="shared" ca="1" si="29"/>
        <v>0</v>
      </c>
      <c r="AD188" s="15" t="str">
        <f ca="1">IF($AA188="학사",IF($AC188&lt;=8,"초급",IF($AC188&lt;12,"중급",IF($AC188&lt;15,"고급",IF($AC188&gt;=15,"특급")))))</f>
        <v>초급</v>
      </c>
      <c r="AE188" s="15" t="str">
        <f t="shared" si="34"/>
        <v>미해당</v>
      </c>
      <c r="AF188" s="11"/>
      <c r="AG188" s="16"/>
      <c r="AH188" s="11"/>
      <c r="AI188" s="16"/>
      <c r="AJ188" s="11"/>
      <c r="AK188" s="11"/>
      <c r="AL188" s="19"/>
      <c r="AM188" s="11"/>
      <c r="AN188" s="20"/>
      <c r="AO188" s="21"/>
      <c r="AP188" s="21"/>
      <c r="AQ188" s="22" t="s">
        <v>154</v>
      </c>
      <c r="AR188" s="23" t="s">
        <v>155</v>
      </c>
      <c r="AS188" s="14" t="s">
        <v>137</v>
      </c>
      <c r="AT188" s="14" t="s">
        <v>2089</v>
      </c>
      <c r="AU188" s="24" t="s">
        <v>119</v>
      </c>
      <c r="AV188" s="24" t="s">
        <v>2090</v>
      </c>
      <c r="AW188" s="25" t="s">
        <v>2091</v>
      </c>
      <c r="AX188" s="24" t="s">
        <v>141</v>
      </c>
      <c r="AY188" s="24" t="s">
        <v>224</v>
      </c>
      <c r="AZ188" s="17" t="s">
        <v>1032</v>
      </c>
      <c r="BA188" s="17" t="s">
        <v>2092</v>
      </c>
      <c r="BB188" s="26" t="str">
        <f>IFERROR(VLOOKUP($AY188,[1]프로젝트현황!Y:Z,2,0),"기타")</f>
        <v>동남권</v>
      </c>
      <c r="BC188" s="23" t="str">
        <f t="shared" si="32"/>
        <v>경기도 성남시 분당구 동판교로 91, 416동 1003호 (백현동, 백현마을)</v>
      </c>
    </row>
    <row r="189" spans="1:55" ht="15" customHeight="1" x14ac:dyDescent="0.3">
      <c r="A189" s="10">
        <f t="shared" si="33"/>
        <v>187</v>
      </c>
      <c r="B189" s="11">
        <v>250806</v>
      </c>
      <c r="C189" s="11" t="s">
        <v>2093</v>
      </c>
      <c r="D189" s="12">
        <v>45880</v>
      </c>
      <c r="E189" s="12">
        <v>45880</v>
      </c>
      <c r="F189" s="12"/>
      <c r="G189" s="13"/>
      <c r="H189" s="14" t="s">
        <v>2094</v>
      </c>
      <c r="I189" s="11" t="s">
        <v>2095</v>
      </c>
      <c r="J189" s="15" t="str">
        <f t="shared" si="26"/>
        <v>910924</v>
      </c>
      <c r="K189" s="15" t="str">
        <f t="shared" si="31"/>
        <v>09</v>
      </c>
      <c r="L189" s="15" t="str">
        <f t="shared" si="27"/>
        <v>여자</v>
      </c>
      <c r="M189" s="15">
        <f t="shared" ca="1" si="28"/>
        <v>36</v>
      </c>
      <c r="N189" s="15" t="s">
        <v>111</v>
      </c>
      <c r="O189" s="15" t="s">
        <v>112</v>
      </c>
      <c r="P189" s="11" t="s">
        <v>2096</v>
      </c>
      <c r="Q189" s="11"/>
      <c r="R189" s="11"/>
      <c r="S189" s="16"/>
      <c r="T189" s="15" t="s">
        <v>114</v>
      </c>
      <c r="U189" s="11"/>
      <c r="V189" s="15" t="str">
        <f t="shared" ca="1" si="30"/>
        <v>4년5개월</v>
      </c>
      <c r="W189" s="15" t="s">
        <v>1100</v>
      </c>
      <c r="X189" s="18" t="str">
        <f t="shared" ca="1" si="35"/>
        <v>0년5개월</v>
      </c>
      <c r="Y189" s="17" t="s">
        <v>1714</v>
      </c>
      <c r="Z189" s="17" t="s">
        <v>2097</v>
      </c>
      <c r="AA189" s="14" t="s">
        <v>171</v>
      </c>
      <c r="AB189" s="16">
        <v>42241</v>
      </c>
      <c r="AC189" s="18">
        <f t="shared" ca="1" si="29"/>
        <v>4</v>
      </c>
      <c r="AD189" s="15" t="str">
        <f ca="1">IF($AA189="학사",IF($AC189&lt;=8,"초급",IF($AC189&lt;12,"중급",IF($AC189&lt;15,"고급",IF($AC189&gt;=15,"특급")))))</f>
        <v>초급</v>
      </c>
      <c r="AE189" s="15" t="str">
        <f t="shared" si="34"/>
        <v>미해당</v>
      </c>
      <c r="AF189" s="11"/>
      <c r="AG189" s="16"/>
      <c r="AH189" s="11"/>
      <c r="AI189" s="16"/>
      <c r="AJ189" s="11"/>
      <c r="AK189" s="11"/>
      <c r="AL189" s="19"/>
      <c r="AM189" s="11"/>
      <c r="AN189" s="20"/>
      <c r="AO189" s="21"/>
      <c r="AP189" s="21"/>
      <c r="AQ189" s="22" t="s">
        <v>154</v>
      </c>
      <c r="AR189" s="23" t="s">
        <v>155</v>
      </c>
      <c r="AS189" s="14" t="s">
        <v>137</v>
      </c>
      <c r="AT189" s="14" t="s">
        <v>2098</v>
      </c>
      <c r="AU189" s="24" t="s">
        <v>1717</v>
      </c>
      <c r="AV189" s="24" t="s">
        <v>2099</v>
      </c>
      <c r="AW189" s="25" t="s">
        <v>2100</v>
      </c>
      <c r="AX189" s="24" t="s">
        <v>1585</v>
      </c>
      <c r="AY189" s="24" t="s">
        <v>264</v>
      </c>
      <c r="AZ189" s="17"/>
      <c r="BA189" s="17" t="s">
        <v>2101</v>
      </c>
      <c r="BB189" s="26" t="str">
        <f>IFERROR(VLOOKUP($AY189,[1]프로젝트현황!Y:Z,2,0),"기타")</f>
        <v>서남권</v>
      </c>
      <c r="BC189" s="23" t="str">
        <f t="shared" si="32"/>
        <v>서울특별시 관악구 호암로 417, 106동 602호 (신림동, 국제산장아파트)</v>
      </c>
    </row>
    <row r="190" spans="1:55" ht="15" customHeight="1" x14ac:dyDescent="0.3">
      <c r="A190" s="10">
        <f t="shared" si="33"/>
        <v>188</v>
      </c>
      <c r="B190" s="11">
        <v>250808</v>
      </c>
      <c r="C190" s="11" t="s">
        <v>2102</v>
      </c>
      <c r="D190" s="12">
        <v>45887</v>
      </c>
      <c r="E190" s="12">
        <v>45887</v>
      </c>
      <c r="F190" s="12"/>
      <c r="G190" s="13"/>
      <c r="H190" s="14" t="s">
        <v>2103</v>
      </c>
      <c r="I190" s="11" t="s">
        <v>2104</v>
      </c>
      <c r="J190" s="15" t="str">
        <f t="shared" si="26"/>
        <v>881208</v>
      </c>
      <c r="K190" s="15" t="str">
        <f t="shared" si="31"/>
        <v>12</v>
      </c>
      <c r="L190" s="15" t="str">
        <f t="shared" si="27"/>
        <v>남자</v>
      </c>
      <c r="M190" s="15">
        <f t="shared" ca="1" si="28"/>
        <v>39</v>
      </c>
      <c r="N190" s="15" t="s">
        <v>111</v>
      </c>
      <c r="O190" s="15" t="s">
        <v>112</v>
      </c>
      <c r="P190" s="11" t="s">
        <v>2105</v>
      </c>
      <c r="Q190" s="11"/>
      <c r="R190" s="11"/>
      <c r="S190" s="16"/>
      <c r="T190" s="15" t="s">
        <v>114</v>
      </c>
      <c r="U190" s="11"/>
      <c r="V190" s="15" t="str">
        <f t="shared" ca="1" si="30"/>
        <v>8년3개월</v>
      </c>
      <c r="W190" s="15" t="s">
        <v>2106</v>
      </c>
      <c r="X190" s="18" t="str">
        <f t="shared" ca="1" si="35"/>
        <v>0년5개월</v>
      </c>
      <c r="Y190" s="17" t="s">
        <v>855</v>
      </c>
      <c r="Z190" s="17" t="s">
        <v>217</v>
      </c>
      <c r="AA190" s="14" t="s">
        <v>116</v>
      </c>
      <c r="AB190" s="16">
        <v>43873</v>
      </c>
      <c r="AC190" s="18">
        <f t="shared" ca="1" si="29"/>
        <v>8</v>
      </c>
      <c r="AD190" s="15" t="str">
        <f ca="1">IF($AA190="전문학사",IF($AC190&lt;=8,"초급",IF($AC190&lt;12,"중급",IF($AC190&lt;15,"고급",IF($AC190&gt;=15,"특급")))))</f>
        <v>초급</v>
      </c>
      <c r="AE190" s="15" t="str">
        <f t="shared" si="34"/>
        <v>미해당</v>
      </c>
      <c r="AF190" s="11"/>
      <c r="AG190" s="16"/>
      <c r="AH190" s="11"/>
      <c r="AI190" s="16"/>
      <c r="AJ190" s="11"/>
      <c r="AK190" s="11"/>
      <c r="AL190" s="19"/>
      <c r="AM190" s="11"/>
      <c r="AN190" s="20"/>
      <c r="AO190" s="21"/>
      <c r="AP190" s="21"/>
      <c r="AQ190" s="22" t="s">
        <v>154</v>
      </c>
      <c r="AR190" s="23" t="s">
        <v>155</v>
      </c>
      <c r="AS190" s="14" t="s">
        <v>137</v>
      </c>
      <c r="AT190" s="14" t="s">
        <v>2107</v>
      </c>
      <c r="AU190" s="24"/>
      <c r="AV190" s="24"/>
      <c r="AW190" s="25" t="s">
        <v>2108</v>
      </c>
      <c r="AX190" s="24" t="s">
        <v>141</v>
      </c>
      <c r="AY190" s="24" t="s">
        <v>224</v>
      </c>
      <c r="AZ190" s="17" t="s">
        <v>1032</v>
      </c>
      <c r="BA190" s="17" t="s">
        <v>2109</v>
      </c>
      <c r="BB190" s="26" t="str">
        <f>IFERROR(VLOOKUP($AY190,[1]프로젝트현황!Y:Z,2,0),"기타")</f>
        <v>동남권</v>
      </c>
      <c r="BC190" s="23" t="str">
        <f t="shared" si="32"/>
        <v>경기도 성남시 분당구 백현로144번길 10 (정자동)</v>
      </c>
    </row>
    <row r="191" spans="1:55" ht="15" customHeight="1" x14ac:dyDescent="0.3">
      <c r="A191" s="10">
        <f t="shared" si="33"/>
        <v>189</v>
      </c>
      <c r="B191" s="11">
        <v>250901</v>
      </c>
      <c r="C191" s="11" t="s">
        <v>2110</v>
      </c>
      <c r="D191" s="12">
        <v>45901</v>
      </c>
      <c r="E191" s="12">
        <v>45901</v>
      </c>
      <c r="F191" s="12"/>
      <c r="G191" s="13"/>
      <c r="H191" s="14" t="s">
        <v>2111</v>
      </c>
      <c r="I191" s="11" t="s">
        <v>2112</v>
      </c>
      <c r="J191" s="15" t="str">
        <f t="shared" si="26"/>
        <v>901225</v>
      </c>
      <c r="K191" s="15" t="str">
        <f t="shared" si="31"/>
        <v>12</v>
      </c>
      <c r="L191" s="15" t="str">
        <f t="shared" si="27"/>
        <v>남자</v>
      </c>
      <c r="M191" s="15">
        <f t="shared" ca="1" si="28"/>
        <v>37</v>
      </c>
      <c r="N191" s="15" t="s">
        <v>111</v>
      </c>
      <c r="O191" s="15" t="s">
        <v>112</v>
      </c>
      <c r="P191" s="11" t="s">
        <v>2113</v>
      </c>
      <c r="Q191" s="11"/>
      <c r="R191" s="11"/>
      <c r="S191" s="16"/>
      <c r="T191" s="15" t="s">
        <v>114</v>
      </c>
      <c r="U191" s="11"/>
      <c r="V191" s="15" t="str">
        <f t="shared" ca="1" si="30"/>
        <v>5년7개월</v>
      </c>
      <c r="W191" s="15" t="s">
        <v>2114</v>
      </c>
      <c r="X191" s="18" t="str">
        <f t="shared" ca="1" si="35"/>
        <v>0년5개월</v>
      </c>
      <c r="Y191" s="17" t="s">
        <v>2115</v>
      </c>
      <c r="Z191" s="17" t="s">
        <v>2116</v>
      </c>
      <c r="AA191" s="14" t="s">
        <v>171</v>
      </c>
      <c r="AB191" s="16">
        <v>45703</v>
      </c>
      <c r="AC191" s="18">
        <f t="shared" ca="1" si="29"/>
        <v>5</v>
      </c>
      <c r="AD191" s="15" t="str">
        <f t="shared" ref="AD191:AD200" ca="1" si="36">IF($AA191="학사",IF($AC191&lt;=8,"초급",IF($AC191&lt;12,"중급",IF($AC191&lt;15,"고급",IF($AC191&gt;=15,"특급")))))</f>
        <v>초급</v>
      </c>
      <c r="AE191" s="15" t="str">
        <f t="shared" si="34"/>
        <v>미해당</v>
      </c>
      <c r="AF191" s="11"/>
      <c r="AG191" s="16"/>
      <c r="AH191" s="11"/>
      <c r="AI191" s="16"/>
      <c r="AJ191" s="11"/>
      <c r="AK191" s="11"/>
      <c r="AL191" s="19"/>
      <c r="AM191" s="11"/>
      <c r="AN191" s="20"/>
      <c r="AO191" s="21"/>
      <c r="AP191" s="21"/>
      <c r="AQ191" s="22" t="s">
        <v>154</v>
      </c>
      <c r="AR191" s="23" t="s">
        <v>155</v>
      </c>
      <c r="AS191" s="14" t="s">
        <v>2117</v>
      </c>
      <c r="AT191" s="14" t="s">
        <v>2118</v>
      </c>
      <c r="AU191" s="24" t="s">
        <v>176</v>
      </c>
      <c r="AV191" s="24" t="s">
        <v>2119</v>
      </c>
      <c r="AW191" s="25" t="s">
        <v>2120</v>
      </c>
      <c r="AX191" s="24" t="s">
        <v>1585</v>
      </c>
      <c r="AY191" s="24" t="s">
        <v>1115</v>
      </c>
      <c r="AZ191" s="17"/>
      <c r="BA191" s="17" t="s">
        <v>2121</v>
      </c>
      <c r="BB191" s="26" t="str">
        <f>IFERROR(VLOOKUP($AY191,[1]프로젝트현황!Y:Z,2,0),"기타")</f>
        <v>동남권</v>
      </c>
      <c r="BC191" s="23" t="str">
        <f t="shared" si="32"/>
        <v>서울특별시 송파구 송파대로 567, 510동 1502호 (잠실동, 아파트)</v>
      </c>
    </row>
    <row r="192" spans="1:55" ht="15" customHeight="1" x14ac:dyDescent="0.3">
      <c r="A192" s="10">
        <f t="shared" si="33"/>
        <v>190</v>
      </c>
      <c r="B192" s="11">
        <v>250902</v>
      </c>
      <c r="C192" s="11" t="s">
        <v>2122</v>
      </c>
      <c r="D192" s="12">
        <v>45901</v>
      </c>
      <c r="E192" s="12">
        <v>45901</v>
      </c>
      <c r="F192" s="12"/>
      <c r="G192" s="13"/>
      <c r="H192" s="14" t="s">
        <v>2123</v>
      </c>
      <c r="I192" s="11" t="s">
        <v>2124</v>
      </c>
      <c r="J192" s="15" t="str">
        <f t="shared" si="26"/>
        <v>800628</v>
      </c>
      <c r="K192" s="15" t="str">
        <f t="shared" si="31"/>
        <v>06</v>
      </c>
      <c r="L192" s="15" t="str">
        <f t="shared" si="27"/>
        <v>남자</v>
      </c>
      <c r="M192" s="15">
        <f t="shared" ca="1" si="28"/>
        <v>47</v>
      </c>
      <c r="N192" s="15" t="s">
        <v>111</v>
      </c>
      <c r="O192" s="15" t="s">
        <v>112</v>
      </c>
      <c r="P192" s="11" t="s">
        <v>2125</v>
      </c>
      <c r="Q192" s="11"/>
      <c r="R192" s="11"/>
      <c r="S192" s="16"/>
      <c r="T192" s="15" t="s">
        <v>114</v>
      </c>
      <c r="U192" s="11"/>
      <c r="V192" s="15" t="str">
        <f t="shared" ca="1" si="30"/>
        <v>17년7개월</v>
      </c>
      <c r="W192" s="15" t="s">
        <v>2126</v>
      </c>
      <c r="X192" s="18" t="str">
        <f t="shared" ca="1" si="35"/>
        <v>0년5개월</v>
      </c>
      <c r="Y192" s="17" t="s">
        <v>1026</v>
      </c>
      <c r="Z192" s="17" t="s">
        <v>1337</v>
      </c>
      <c r="AA192" s="14" t="s">
        <v>171</v>
      </c>
      <c r="AB192" s="16">
        <v>39135</v>
      </c>
      <c r="AC192" s="18">
        <f t="shared" ca="1" si="29"/>
        <v>17</v>
      </c>
      <c r="AD192" s="15" t="str">
        <f t="shared" ca="1" si="36"/>
        <v>특급</v>
      </c>
      <c r="AE192" s="15" t="str">
        <f t="shared" ca="1" si="34"/>
        <v>특급</v>
      </c>
      <c r="AF192" s="11"/>
      <c r="AG192" s="16"/>
      <c r="AH192" s="11"/>
      <c r="AI192" s="16"/>
      <c r="AJ192" s="11" t="s">
        <v>89</v>
      </c>
      <c r="AK192" s="16">
        <v>38950</v>
      </c>
      <c r="AL192" s="19"/>
      <c r="AM192" s="11"/>
      <c r="AN192" s="20"/>
      <c r="AO192" s="21"/>
      <c r="AP192" s="21"/>
      <c r="AQ192" s="22" t="s">
        <v>154</v>
      </c>
      <c r="AR192" s="23" t="s">
        <v>155</v>
      </c>
      <c r="AS192" s="14" t="s">
        <v>2117</v>
      </c>
      <c r="AT192" s="14" t="s">
        <v>2127</v>
      </c>
      <c r="AU192" s="24"/>
      <c r="AV192" s="24"/>
      <c r="AW192" s="25" t="s">
        <v>2128</v>
      </c>
      <c r="AX192" s="24" t="s">
        <v>141</v>
      </c>
      <c r="AY192" s="24" t="s">
        <v>179</v>
      </c>
      <c r="AZ192" s="17" t="s">
        <v>1436</v>
      </c>
      <c r="BA192" s="17" t="s">
        <v>2129</v>
      </c>
      <c r="BB192" s="26" t="str">
        <f>IFERROR(VLOOKUP($AY192,[1]프로젝트현황!Y:Z,2,0),"기타")</f>
        <v>서남권</v>
      </c>
      <c r="BC192" s="23" t="str">
        <f t="shared" si="32"/>
        <v>경기도 안산시 상록구 본삼로 48, 123동 106호(본오동, 월드아파트)</v>
      </c>
    </row>
    <row r="193" spans="1:55" ht="15" customHeight="1" x14ac:dyDescent="0.3">
      <c r="A193" s="10">
        <f t="shared" si="33"/>
        <v>191</v>
      </c>
      <c r="B193" s="11">
        <v>250903</v>
      </c>
      <c r="C193" s="11" t="s">
        <v>2130</v>
      </c>
      <c r="D193" s="12">
        <v>45908</v>
      </c>
      <c r="E193" s="12">
        <v>45908</v>
      </c>
      <c r="F193" s="12"/>
      <c r="G193" s="13"/>
      <c r="H193" s="14" t="s">
        <v>2131</v>
      </c>
      <c r="I193" s="11" t="s">
        <v>2132</v>
      </c>
      <c r="J193" s="15" t="str">
        <f t="shared" si="26"/>
        <v>920404</v>
      </c>
      <c r="K193" s="15" t="str">
        <f t="shared" si="31"/>
        <v>04</v>
      </c>
      <c r="L193" s="15" t="str">
        <f t="shared" si="27"/>
        <v>남자</v>
      </c>
      <c r="M193" s="15">
        <f t="shared" ca="1" si="28"/>
        <v>35</v>
      </c>
      <c r="N193" s="15" t="s">
        <v>111</v>
      </c>
      <c r="O193" s="15" t="s">
        <v>112</v>
      </c>
      <c r="P193" s="11" t="s">
        <v>2133</v>
      </c>
      <c r="Q193" s="11"/>
      <c r="R193" s="11"/>
      <c r="S193" s="16"/>
      <c r="T193" s="15" t="s">
        <v>114</v>
      </c>
      <c r="U193" s="11"/>
      <c r="V193" s="15" t="str">
        <f t="shared" ca="1" si="30"/>
        <v>2년10개월</v>
      </c>
      <c r="W193" s="15" t="s">
        <v>1703</v>
      </c>
      <c r="X193" s="18" t="str">
        <f t="shared" ca="1" si="35"/>
        <v>0년5개월</v>
      </c>
      <c r="Y193" s="17" t="s">
        <v>2134</v>
      </c>
      <c r="Z193" s="17" t="s">
        <v>2135</v>
      </c>
      <c r="AA193" s="14" t="s">
        <v>171</v>
      </c>
      <c r="AB193" s="16">
        <v>39136</v>
      </c>
      <c r="AC193" s="18">
        <f t="shared" ca="1" si="29"/>
        <v>2</v>
      </c>
      <c r="AD193" s="15" t="str">
        <f t="shared" ca="1" si="36"/>
        <v>초급</v>
      </c>
      <c r="AE193" s="15" t="str">
        <f t="shared" si="34"/>
        <v>미해당</v>
      </c>
      <c r="AF193" s="11"/>
      <c r="AG193" s="16"/>
      <c r="AH193" s="11" t="s">
        <v>2028</v>
      </c>
      <c r="AI193" s="16">
        <v>44973</v>
      </c>
      <c r="AJ193" s="11"/>
      <c r="AK193" s="16"/>
      <c r="AL193" s="19"/>
      <c r="AM193" s="11"/>
      <c r="AN193" s="20"/>
      <c r="AO193" s="21"/>
      <c r="AP193" s="21"/>
      <c r="AQ193" s="22" t="s">
        <v>154</v>
      </c>
      <c r="AR193" s="23" t="s">
        <v>155</v>
      </c>
      <c r="AS193" s="14" t="s">
        <v>137</v>
      </c>
      <c r="AT193" s="14" t="s">
        <v>2136</v>
      </c>
      <c r="AU193" s="24"/>
      <c r="AV193" s="24"/>
      <c r="AW193" s="25" t="s">
        <v>2137</v>
      </c>
      <c r="AX193" s="24" t="s">
        <v>1585</v>
      </c>
      <c r="AY193" s="24" t="s">
        <v>264</v>
      </c>
      <c r="AZ193" s="17"/>
      <c r="BA193" s="17" t="s">
        <v>2138</v>
      </c>
      <c r="BB193" s="26" t="str">
        <f>IFERROR(VLOOKUP($AY193,[1]프로젝트현황!Y:Z,2,0),"기타")</f>
        <v>서남권</v>
      </c>
      <c r="BC193" s="23" t="str">
        <f t="shared" si="32"/>
        <v>서울특별시 관악구 신림로11길 73-14, 601호 (신림동)</v>
      </c>
    </row>
    <row r="194" spans="1:55" ht="15" customHeight="1" x14ac:dyDescent="0.3">
      <c r="A194" s="10">
        <f t="shared" si="33"/>
        <v>192</v>
      </c>
      <c r="B194" s="11">
        <v>250904</v>
      </c>
      <c r="C194" s="11" t="s">
        <v>2139</v>
      </c>
      <c r="D194" s="12">
        <v>45915</v>
      </c>
      <c r="E194" s="12">
        <v>45915</v>
      </c>
      <c r="F194" s="12"/>
      <c r="G194" s="13"/>
      <c r="H194" s="14" t="s">
        <v>2140</v>
      </c>
      <c r="I194" s="11" t="s">
        <v>2141</v>
      </c>
      <c r="J194" s="15" t="str">
        <f t="shared" si="26"/>
        <v>830625</v>
      </c>
      <c r="K194" s="15" t="str">
        <f t="shared" si="31"/>
        <v>06</v>
      </c>
      <c r="L194" s="15" t="str">
        <f t="shared" si="27"/>
        <v>남자</v>
      </c>
      <c r="M194" s="15">
        <f t="shared" ca="1" si="28"/>
        <v>44</v>
      </c>
      <c r="N194" s="15" t="s">
        <v>111</v>
      </c>
      <c r="O194" s="15" t="s">
        <v>112</v>
      </c>
      <c r="P194" s="11" t="s">
        <v>2142</v>
      </c>
      <c r="Q194" s="11"/>
      <c r="R194" s="11"/>
      <c r="S194" s="16"/>
      <c r="T194" s="15" t="s">
        <v>114</v>
      </c>
      <c r="U194" s="11"/>
      <c r="V194" s="15" t="str">
        <f t="shared" ca="1" si="30"/>
        <v>21년4개월</v>
      </c>
      <c r="W194" s="15" t="s">
        <v>2143</v>
      </c>
      <c r="X194" s="18" t="str">
        <f t="shared" ca="1" si="35"/>
        <v>0년4개월</v>
      </c>
      <c r="Y194" s="17" t="s">
        <v>2144</v>
      </c>
      <c r="Z194" s="17" t="s">
        <v>217</v>
      </c>
      <c r="AA194" s="14" t="s">
        <v>171</v>
      </c>
      <c r="AB194" s="16">
        <v>38386</v>
      </c>
      <c r="AC194" s="18">
        <f t="shared" ca="1" si="29"/>
        <v>21</v>
      </c>
      <c r="AD194" s="15" t="str">
        <f t="shared" ca="1" si="36"/>
        <v>특급</v>
      </c>
      <c r="AE194" s="15" t="str">
        <f t="shared" si="34"/>
        <v>미해당</v>
      </c>
      <c r="AF194" s="11" t="s">
        <v>2145</v>
      </c>
      <c r="AG194" s="16" t="s">
        <v>2146</v>
      </c>
      <c r="AH194" s="11" t="s">
        <v>2028</v>
      </c>
      <c r="AI194" s="16">
        <v>42059</v>
      </c>
      <c r="AJ194" s="11"/>
      <c r="AK194" s="11"/>
      <c r="AL194" s="19"/>
      <c r="AM194" s="11"/>
      <c r="AN194" s="20"/>
      <c r="AO194" s="21"/>
      <c r="AP194" s="21"/>
      <c r="AQ194" s="22" t="s">
        <v>154</v>
      </c>
      <c r="AR194" s="23" t="s">
        <v>155</v>
      </c>
      <c r="AS194" s="14" t="s">
        <v>137</v>
      </c>
      <c r="AT194" s="14" t="s">
        <v>2147</v>
      </c>
      <c r="AU194" s="24"/>
      <c r="AV194" s="24"/>
      <c r="AW194" s="25" t="s">
        <v>2148</v>
      </c>
      <c r="AX194" s="24" t="s">
        <v>141</v>
      </c>
      <c r="AY194" s="24" t="s">
        <v>224</v>
      </c>
      <c r="AZ194" s="17" t="s">
        <v>1494</v>
      </c>
      <c r="BA194" s="17" t="s">
        <v>2149</v>
      </c>
      <c r="BB194" s="26" t="str">
        <f>IFERROR(VLOOKUP($AY194,[1]프로젝트현황!Y:Z,2,0),"기타")</f>
        <v>동남권</v>
      </c>
      <c r="BC194" s="23" t="str">
        <f t="shared" si="32"/>
        <v>경기도 성남시 수정구 수정남로326번길 10-6, 201호</v>
      </c>
    </row>
    <row r="195" spans="1:55" ht="15" customHeight="1" x14ac:dyDescent="0.3">
      <c r="A195" s="10">
        <f t="shared" si="33"/>
        <v>193</v>
      </c>
      <c r="B195" s="11">
        <v>250905</v>
      </c>
      <c r="C195" s="11" t="s">
        <v>2150</v>
      </c>
      <c r="D195" s="12">
        <v>45915</v>
      </c>
      <c r="E195" s="12">
        <v>45915</v>
      </c>
      <c r="F195" s="12"/>
      <c r="G195" s="13"/>
      <c r="H195" s="14" t="s">
        <v>2151</v>
      </c>
      <c r="I195" s="11" t="s">
        <v>2152</v>
      </c>
      <c r="J195" s="15" t="str">
        <f t="shared" ref="J195:J226" si="37">LEFT(I195,6)</f>
        <v>020804</v>
      </c>
      <c r="K195" s="15" t="str">
        <f t="shared" si="31"/>
        <v>08</v>
      </c>
      <c r="L195" s="15" t="str">
        <f t="shared" ref="L195:L231" si="38">IF(OR(MID($I195,8,1)="1",MID($I195,8,1)="3"),"남자",IF(OR(MID($I195,8,1)="2",MID($I195,8,1)="4"),"여자",""))</f>
        <v>여자</v>
      </c>
      <c r="M195" s="15">
        <f t="shared" ref="M195:M226" ca="1" si="39">YEAR(TODAY())-IF(OR(MID($I195,8,1)="1",MID($I195,8,1)="2"),19&amp;LEFT($I195,2),IF(OR(MID($I195,8,1)="3",MID($I195,8,1)="4"),20&amp;LEFT($I195,2),""))+1</f>
        <v>25</v>
      </c>
      <c r="N195" s="15" t="s">
        <v>111</v>
      </c>
      <c r="O195" s="15" t="s">
        <v>112</v>
      </c>
      <c r="P195" s="11" t="s">
        <v>2153</v>
      </c>
      <c r="Q195" s="11"/>
      <c r="R195" s="11"/>
      <c r="S195" s="16"/>
      <c r="T195" s="15" t="s">
        <v>114</v>
      </c>
      <c r="U195" s="11"/>
      <c r="V195" s="15" t="str">
        <f t="shared" ca="1" si="30"/>
        <v>0년4개월</v>
      </c>
      <c r="W195" s="15" t="s">
        <v>428</v>
      </c>
      <c r="X195" s="18" t="str">
        <f t="shared" ca="1" si="35"/>
        <v>0년4개월</v>
      </c>
      <c r="Y195" s="17" t="s">
        <v>1303</v>
      </c>
      <c r="Z195" s="17" t="s">
        <v>2154</v>
      </c>
      <c r="AA195" s="14" t="s">
        <v>171</v>
      </c>
      <c r="AB195" s="16">
        <v>45708</v>
      </c>
      <c r="AC195" s="18">
        <f t="shared" ref="AC195:AC240" ca="1" si="40">VALUE(LEFT($V195,FIND("년",$V195)-1))</f>
        <v>0</v>
      </c>
      <c r="AD195" s="15" t="str">
        <f t="shared" ca="1" si="36"/>
        <v>초급</v>
      </c>
      <c r="AE195" s="15" t="str">
        <f t="shared" si="34"/>
        <v>미해당</v>
      </c>
      <c r="AF195" s="11"/>
      <c r="AG195" s="16"/>
      <c r="AH195" s="11"/>
      <c r="AI195" s="16"/>
      <c r="AJ195" s="11"/>
      <c r="AK195" s="11"/>
      <c r="AL195" s="19"/>
      <c r="AM195" s="11"/>
      <c r="AN195" s="20"/>
      <c r="AO195" s="21"/>
      <c r="AP195" s="21"/>
      <c r="AQ195" s="22" t="s">
        <v>136</v>
      </c>
      <c r="AR195" s="23" t="s">
        <v>136</v>
      </c>
      <c r="AS195" s="14" t="s">
        <v>137</v>
      </c>
      <c r="AT195" s="14" t="s">
        <v>2155</v>
      </c>
      <c r="AU195" s="24" t="s">
        <v>176</v>
      </c>
      <c r="AV195" s="24" t="s">
        <v>2156</v>
      </c>
      <c r="AW195" s="25" t="s">
        <v>2157</v>
      </c>
      <c r="AX195" s="24" t="s">
        <v>1737</v>
      </c>
      <c r="AY195" s="24" t="s">
        <v>462</v>
      </c>
      <c r="AZ195" s="17"/>
      <c r="BA195" s="17" t="s">
        <v>2158</v>
      </c>
      <c r="BB195" s="26" t="str">
        <f>IFERROR(VLOOKUP($AY195,[1]프로젝트현황!Y:Z,2,0),"기타")</f>
        <v>서남권</v>
      </c>
      <c r="BC195" s="23" t="str">
        <f t="shared" si="32"/>
        <v>인천광역시 부평구 상정로 41, 104동 2102호</v>
      </c>
    </row>
    <row r="196" spans="1:55" ht="15" customHeight="1" x14ac:dyDescent="0.3">
      <c r="A196" s="10">
        <f t="shared" si="33"/>
        <v>194</v>
      </c>
      <c r="B196" s="11">
        <v>250906</v>
      </c>
      <c r="C196" s="11" t="s">
        <v>2159</v>
      </c>
      <c r="D196" s="12">
        <v>45915</v>
      </c>
      <c r="E196" s="12">
        <v>45915</v>
      </c>
      <c r="F196" s="12"/>
      <c r="G196" s="13"/>
      <c r="H196" s="14" t="s">
        <v>2160</v>
      </c>
      <c r="I196" s="11" t="s">
        <v>2161</v>
      </c>
      <c r="J196" s="15" t="str">
        <f t="shared" si="37"/>
        <v>910217</v>
      </c>
      <c r="K196" s="15" t="str">
        <f t="shared" si="31"/>
        <v>02</v>
      </c>
      <c r="L196" s="15" t="str">
        <f t="shared" si="38"/>
        <v>여자</v>
      </c>
      <c r="M196" s="15">
        <f t="shared" ca="1" si="39"/>
        <v>36</v>
      </c>
      <c r="N196" s="15" t="s">
        <v>111</v>
      </c>
      <c r="O196" s="15" t="s">
        <v>112</v>
      </c>
      <c r="P196" s="11" t="s">
        <v>2162</v>
      </c>
      <c r="Q196" s="11"/>
      <c r="R196" s="11"/>
      <c r="S196" s="16"/>
      <c r="T196" s="15" t="s">
        <v>114</v>
      </c>
      <c r="U196" s="11"/>
      <c r="V196" s="15" t="str">
        <f t="shared" ref="V196:V206" ca="1" si="41">QUOTIENT(SUMPRODUCT(LEFT($W196:$X196,FIND("년",$W196:$X196)-1)*12+MID($W196:$X196,FIND("년",$W196:$X196)+1,FIND("개월",$W196:$X196)-FIND("년",$W196:$X196)-1)),12)&amp;"년"&amp;MOD(SUMPRODUCT(LEFT($W196:$X196,FIND("년",$W196:$X196)-1)*12+MID($W196:$X196,FIND("년",$W196:$X196)+1,FIND("개월",$W196:$X196)-FIND("년",$W196:$X196)-1)),12)&amp;"개월"</f>
        <v>5년8개월</v>
      </c>
      <c r="W196" s="15" t="s">
        <v>1930</v>
      </c>
      <c r="X196" s="18" t="str">
        <f t="shared" ca="1" si="35"/>
        <v>0년4개월</v>
      </c>
      <c r="Y196" s="17" t="s">
        <v>2163</v>
      </c>
      <c r="Z196" s="17" t="s">
        <v>2164</v>
      </c>
      <c r="AA196" s="14" t="s">
        <v>2165</v>
      </c>
      <c r="AB196" s="16">
        <v>38386</v>
      </c>
      <c r="AC196" s="18">
        <f t="shared" ca="1" si="40"/>
        <v>5</v>
      </c>
      <c r="AD196" s="15" t="str">
        <f t="shared" ca="1" si="36"/>
        <v>초급</v>
      </c>
      <c r="AE196" s="15" t="str">
        <f t="shared" si="34"/>
        <v>미해당</v>
      </c>
      <c r="AF196" s="11"/>
      <c r="AG196" s="16"/>
      <c r="AH196" s="11"/>
      <c r="AI196" s="16"/>
      <c r="AJ196" s="11"/>
      <c r="AK196" s="11"/>
      <c r="AL196" s="19"/>
      <c r="AM196" s="11"/>
      <c r="AN196" s="20"/>
      <c r="AO196" s="21"/>
      <c r="AP196" s="21"/>
      <c r="AQ196" s="22" t="s">
        <v>154</v>
      </c>
      <c r="AR196" s="23" t="s">
        <v>155</v>
      </c>
      <c r="AS196" s="14" t="s">
        <v>137</v>
      </c>
      <c r="AT196" s="14" t="s">
        <v>2166</v>
      </c>
      <c r="AU196" s="24"/>
      <c r="AV196" s="24"/>
      <c r="AW196" s="25" t="s">
        <v>2167</v>
      </c>
      <c r="AX196" s="24" t="s">
        <v>1585</v>
      </c>
      <c r="AY196" s="24" t="s">
        <v>608</v>
      </c>
      <c r="AZ196" s="17"/>
      <c r="BA196" s="17" t="s">
        <v>2168</v>
      </c>
      <c r="BB196" s="26" t="str">
        <f>IFERROR(VLOOKUP($AY196,[1]프로젝트현황!Y:Z,2,0),"기타")</f>
        <v>동북권</v>
      </c>
      <c r="BC196" s="23" t="str">
        <f t="shared" si="32"/>
        <v>서울특별시 중랑구 동일로 126길 35-16, 202호</v>
      </c>
    </row>
    <row r="197" spans="1:55" ht="15" customHeight="1" x14ac:dyDescent="0.3">
      <c r="A197" s="10">
        <f t="shared" si="33"/>
        <v>195</v>
      </c>
      <c r="B197" s="11">
        <v>250907</v>
      </c>
      <c r="C197" s="11" t="s">
        <v>2169</v>
      </c>
      <c r="D197" s="12">
        <v>45929</v>
      </c>
      <c r="E197" s="12">
        <v>45929</v>
      </c>
      <c r="F197" s="12"/>
      <c r="G197" s="13"/>
      <c r="H197" s="14" t="s">
        <v>2170</v>
      </c>
      <c r="I197" s="11" t="s">
        <v>2171</v>
      </c>
      <c r="J197" s="15" t="str">
        <f t="shared" si="37"/>
        <v>930928</v>
      </c>
      <c r="K197" s="15" t="str">
        <f t="shared" si="31"/>
        <v>09</v>
      </c>
      <c r="L197" s="15" t="str">
        <f t="shared" si="38"/>
        <v>남자</v>
      </c>
      <c r="M197" s="15">
        <f t="shared" ca="1" si="39"/>
        <v>34</v>
      </c>
      <c r="N197" s="15" t="s">
        <v>111</v>
      </c>
      <c r="O197" s="15" t="s">
        <v>112</v>
      </c>
      <c r="P197" s="11" t="s">
        <v>2172</v>
      </c>
      <c r="Q197" s="11"/>
      <c r="R197" s="11"/>
      <c r="S197" s="16"/>
      <c r="T197" s="15" t="s">
        <v>114</v>
      </c>
      <c r="U197" s="11"/>
      <c r="V197" s="15" t="str">
        <f t="shared" ca="1" si="41"/>
        <v>1년0개월</v>
      </c>
      <c r="W197" s="15" t="s">
        <v>924</v>
      </c>
      <c r="X197" s="18" t="str">
        <f t="shared" ca="1" si="35"/>
        <v>0년4개월</v>
      </c>
      <c r="Y197" s="17" t="s">
        <v>2173</v>
      </c>
      <c r="Z197" s="17" t="s">
        <v>2174</v>
      </c>
      <c r="AA197" s="14" t="s">
        <v>171</v>
      </c>
      <c r="AB197" s="16">
        <v>45338</v>
      </c>
      <c r="AC197" s="18">
        <f t="shared" ca="1" si="40"/>
        <v>1</v>
      </c>
      <c r="AD197" s="15" t="str">
        <f t="shared" ca="1" si="36"/>
        <v>초급</v>
      </c>
      <c r="AE197" s="15" t="str">
        <f t="shared" si="34"/>
        <v>미해당</v>
      </c>
      <c r="AF197" s="11"/>
      <c r="AG197" s="16"/>
      <c r="AH197" s="11"/>
      <c r="AI197" s="16"/>
      <c r="AJ197" s="11"/>
      <c r="AK197" s="11"/>
      <c r="AL197" s="19"/>
      <c r="AM197" s="11"/>
      <c r="AN197" s="20"/>
      <c r="AO197" s="21"/>
      <c r="AP197" s="21"/>
      <c r="AQ197" s="22" t="s">
        <v>154</v>
      </c>
      <c r="AR197" s="23" t="s">
        <v>155</v>
      </c>
      <c r="AS197" s="14" t="s">
        <v>137</v>
      </c>
      <c r="AT197" s="14" t="s">
        <v>2175</v>
      </c>
      <c r="AU197" s="24" t="s">
        <v>157</v>
      </c>
      <c r="AV197" s="24" t="s">
        <v>2176</v>
      </c>
      <c r="AW197" s="25" t="s">
        <v>2177</v>
      </c>
      <c r="AX197" s="24" t="s">
        <v>1585</v>
      </c>
      <c r="AY197" s="24" t="s">
        <v>123</v>
      </c>
      <c r="AZ197" s="17"/>
      <c r="BA197" s="17" t="s">
        <v>2178</v>
      </c>
      <c r="BB197" s="26" t="str">
        <f>IFERROR(VLOOKUP($AY197,[1]프로젝트현황!Y:Z,2,0),"기타")</f>
        <v>서북권</v>
      </c>
      <c r="BC197" s="23" t="str">
        <f t="shared" si="32"/>
        <v>서울특별시 서대문구 포방터2나길 21-8, 201호</v>
      </c>
    </row>
    <row r="198" spans="1:55" ht="15" customHeight="1" x14ac:dyDescent="0.3">
      <c r="A198" s="10">
        <f t="shared" si="33"/>
        <v>196</v>
      </c>
      <c r="B198" s="11">
        <v>251001</v>
      </c>
      <c r="C198" s="11" t="s">
        <v>2179</v>
      </c>
      <c r="D198" s="12">
        <v>45943</v>
      </c>
      <c r="E198" s="12">
        <v>45943</v>
      </c>
      <c r="F198" s="12"/>
      <c r="G198" s="13"/>
      <c r="H198" s="14" t="s">
        <v>2180</v>
      </c>
      <c r="I198" s="11" t="s">
        <v>2181</v>
      </c>
      <c r="J198" s="15" t="str">
        <f t="shared" si="37"/>
        <v>970726</v>
      </c>
      <c r="K198" s="15" t="str">
        <f t="shared" si="31"/>
        <v>07</v>
      </c>
      <c r="L198" s="15" t="str">
        <f t="shared" si="38"/>
        <v>남자</v>
      </c>
      <c r="M198" s="15">
        <f t="shared" ca="1" si="39"/>
        <v>30</v>
      </c>
      <c r="N198" s="15" t="s">
        <v>111</v>
      </c>
      <c r="O198" s="15" t="s">
        <v>112</v>
      </c>
      <c r="P198" s="11" t="s">
        <v>2182</v>
      </c>
      <c r="Q198" s="11"/>
      <c r="R198" s="11"/>
      <c r="S198" s="16"/>
      <c r="T198" s="15" t="s">
        <v>114</v>
      </c>
      <c r="U198" s="11"/>
      <c r="V198" s="15" t="str">
        <f t="shared" ca="1" si="41"/>
        <v>4년0개월</v>
      </c>
      <c r="W198" s="15" t="s">
        <v>2183</v>
      </c>
      <c r="X198" s="18" t="str">
        <f t="shared" ca="1" si="35"/>
        <v>0년3개월</v>
      </c>
      <c r="Y198" s="17" t="s">
        <v>1450</v>
      </c>
      <c r="Z198" s="17" t="s">
        <v>2184</v>
      </c>
      <c r="AA198" s="14" t="s">
        <v>171</v>
      </c>
      <c r="AB198" s="16">
        <v>44614</v>
      </c>
      <c r="AC198" s="18">
        <f t="shared" ca="1" si="40"/>
        <v>4</v>
      </c>
      <c r="AD198" s="15" t="str">
        <f t="shared" ca="1" si="36"/>
        <v>초급</v>
      </c>
      <c r="AE198" s="15" t="str">
        <f t="shared" si="34"/>
        <v>미해당</v>
      </c>
      <c r="AF198" s="11"/>
      <c r="AG198" s="16"/>
      <c r="AH198" s="11"/>
      <c r="AI198" s="16"/>
      <c r="AJ198" s="11"/>
      <c r="AK198" s="11"/>
      <c r="AL198" s="19"/>
      <c r="AM198" s="11"/>
      <c r="AN198" s="20"/>
      <c r="AO198" s="21"/>
      <c r="AP198" s="21"/>
      <c r="AQ198" s="22" t="s">
        <v>154</v>
      </c>
      <c r="AR198" s="23" t="s">
        <v>155</v>
      </c>
      <c r="AS198" s="14" t="s">
        <v>137</v>
      </c>
      <c r="AT198" s="14" t="s">
        <v>2185</v>
      </c>
      <c r="AU198" s="24" t="s">
        <v>1677</v>
      </c>
      <c r="AV198" s="24" t="s">
        <v>2186</v>
      </c>
      <c r="AW198" s="25" t="s">
        <v>2187</v>
      </c>
      <c r="AX198" s="24" t="s">
        <v>2188</v>
      </c>
      <c r="AY198" s="24" t="s">
        <v>194</v>
      </c>
      <c r="AZ198" s="17" t="s">
        <v>1167</v>
      </c>
      <c r="BA198" s="17" t="s">
        <v>2189</v>
      </c>
      <c r="BB198" s="26" t="str">
        <f>IFERROR(VLOOKUP($AY198,[1]프로젝트현황!Y:Z,2,0),"기타")</f>
        <v>동남권</v>
      </c>
      <c r="BC198" s="23" t="str">
        <f t="shared" si="32"/>
        <v xml:space="preserve"> 서울특별시 수원시 영통구 광교로 120, 911호 (이의동, 스페이스광교)</v>
      </c>
    </row>
    <row r="199" spans="1:55" ht="15" customHeight="1" x14ac:dyDescent="0.3">
      <c r="A199" s="10">
        <f t="shared" si="33"/>
        <v>197</v>
      </c>
      <c r="B199" s="11">
        <v>251101</v>
      </c>
      <c r="C199" s="27" t="s">
        <v>2190</v>
      </c>
      <c r="D199" s="12">
        <v>45964</v>
      </c>
      <c r="E199" s="12">
        <v>45964</v>
      </c>
      <c r="F199" s="12"/>
      <c r="G199" s="13"/>
      <c r="H199" s="14" t="s">
        <v>2191</v>
      </c>
      <c r="I199" s="11" t="s">
        <v>2192</v>
      </c>
      <c r="J199" s="15" t="str">
        <f t="shared" si="37"/>
        <v>860901</v>
      </c>
      <c r="K199" s="15" t="str">
        <f t="shared" ref="K199:K226" si="42">MID($I199,3,2)</f>
        <v>09</v>
      </c>
      <c r="L199" s="15" t="str">
        <f t="shared" si="38"/>
        <v>남자</v>
      </c>
      <c r="M199" s="15">
        <f t="shared" ca="1" si="39"/>
        <v>41</v>
      </c>
      <c r="N199" s="15" t="s">
        <v>111</v>
      </c>
      <c r="O199" s="15" t="s">
        <v>112</v>
      </c>
      <c r="P199" s="11" t="s">
        <v>2193</v>
      </c>
      <c r="Q199" s="11"/>
      <c r="R199" s="11"/>
      <c r="S199" s="16"/>
      <c r="T199" s="15" t="s">
        <v>114</v>
      </c>
      <c r="U199" s="11"/>
      <c r="V199" s="15" t="str">
        <f t="shared" ca="1" si="41"/>
        <v>12년4개월</v>
      </c>
      <c r="W199" s="15" t="s">
        <v>2194</v>
      </c>
      <c r="X199" s="18" t="str">
        <f t="shared" ca="1" si="35"/>
        <v>0년3개월</v>
      </c>
      <c r="Y199" s="17" t="s">
        <v>2195</v>
      </c>
      <c r="Z199" s="17" t="s">
        <v>2196</v>
      </c>
      <c r="AA199" s="14" t="s">
        <v>171</v>
      </c>
      <c r="AB199" s="16">
        <v>42427</v>
      </c>
      <c r="AC199" s="18">
        <f t="shared" ca="1" si="40"/>
        <v>12</v>
      </c>
      <c r="AD199" s="15" t="str">
        <f t="shared" ca="1" si="36"/>
        <v>고급</v>
      </c>
      <c r="AE199" s="15" t="str">
        <f t="shared" si="34"/>
        <v>미해당</v>
      </c>
      <c r="AF199" s="11"/>
      <c r="AG199" s="16"/>
      <c r="AH199" s="11"/>
      <c r="AI199" s="16"/>
      <c r="AJ199" s="11"/>
      <c r="AK199" s="11"/>
      <c r="AL199" s="19"/>
      <c r="AM199" s="11"/>
      <c r="AN199" s="20"/>
      <c r="AO199" s="21"/>
      <c r="AP199" s="21"/>
      <c r="AQ199" s="22" t="s">
        <v>154</v>
      </c>
      <c r="AR199" s="23" t="s">
        <v>155</v>
      </c>
      <c r="AS199" s="14" t="s">
        <v>137</v>
      </c>
      <c r="AT199" s="14" t="s">
        <v>2197</v>
      </c>
      <c r="AU199" s="24"/>
      <c r="AV199" s="24"/>
      <c r="AW199" s="25" t="s">
        <v>2198</v>
      </c>
      <c r="AX199" s="24" t="s">
        <v>1585</v>
      </c>
      <c r="AY199" s="24" t="s">
        <v>808</v>
      </c>
      <c r="AZ199" s="17"/>
      <c r="BA199" s="17" t="s">
        <v>2199</v>
      </c>
      <c r="BB199" s="26" t="str">
        <f>IFERROR(VLOOKUP($AY199,[1]프로젝트현황!Y:Z,2,0),"기타")</f>
        <v>동북권</v>
      </c>
      <c r="BC199" s="23" t="str">
        <f t="shared" si="32"/>
        <v>서울특별시 성북구 장월로18길 34(장위동)</v>
      </c>
    </row>
    <row r="200" spans="1:55" ht="15" customHeight="1" x14ac:dyDescent="0.3">
      <c r="A200" s="10">
        <f t="shared" si="33"/>
        <v>198</v>
      </c>
      <c r="B200" s="11">
        <v>251102</v>
      </c>
      <c r="C200" s="11" t="s">
        <v>2200</v>
      </c>
      <c r="D200" s="12">
        <v>45964</v>
      </c>
      <c r="E200" s="12">
        <v>45964</v>
      </c>
      <c r="F200" s="12"/>
      <c r="G200" s="13"/>
      <c r="H200" s="14" t="s">
        <v>2201</v>
      </c>
      <c r="I200" s="11" t="s">
        <v>2202</v>
      </c>
      <c r="J200" s="15" t="str">
        <f t="shared" si="37"/>
        <v>000326</v>
      </c>
      <c r="K200" s="15" t="str">
        <f t="shared" si="42"/>
        <v>03</v>
      </c>
      <c r="L200" s="15" t="s">
        <v>2203</v>
      </c>
      <c r="M200" s="15" t="e">
        <f t="shared" ca="1" si="39"/>
        <v>#VALUE!</v>
      </c>
      <c r="N200" s="15" t="s">
        <v>111</v>
      </c>
      <c r="O200" s="30" t="s">
        <v>2204</v>
      </c>
      <c r="P200" s="11" t="s">
        <v>2205</v>
      </c>
      <c r="Q200" s="11"/>
      <c r="R200" s="11"/>
      <c r="S200" s="16"/>
      <c r="T200" s="15" t="s">
        <v>114</v>
      </c>
      <c r="U200" s="11"/>
      <c r="V200" s="15" t="str">
        <f t="shared" ca="1" si="41"/>
        <v>2년7개월</v>
      </c>
      <c r="W200" s="15" t="s">
        <v>1949</v>
      </c>
      <c r="X200" s="18" t="str">
        <f t="shared" ca="1" si="35"/>
        <v>0년3개월</v>
      </c>
      <c r="Y200" s="17" t="s">
        <v>2206</v>
      </c>
      <c r="Z200" s="17" t="s">
        <v>2207</v>
      </c>
      <c r="AA200" s="14" t="s">
        <v>171</v>
      </c>
      <c r="AB200" s="16">
        <v>44742</v>
      </c>
      <c r="AC200" s="18">
        <f t="shared" ca="1" si="40"/>
        <v>2</v>
      </c>
      <c r="AD200" s="15" t="str">
        <f t="shared" ca="1" si="36"/>
        <v>초급</v>
      </c>
      <c r="AE200" s="15" t="str">
        <f t="shared" si="34"/>
        <v>미해당</v>
      </c>
      <c r="AF200" s="11" t="s">
        <v>2145</v>
      </c>
      <c r="AG200" s="16">
        <v>45927</v>
      </c>
      <c r="AH200" s="11" t="s">
        <v>2028</v>
      </c>
      <c r="AI200" s="16">
        <v>45890</v>
      </c>
      <c r="AJ200" s="11"/>
      <c r="AK200" s="11"/>
      <c r="AL200" s="19"/>
      <c r="AM200" s="11"/>
      <c r="AN200" s="20"/>
      <c r="AO200" s="21"/>
      <c r="AP200" s="21"/>
      <c r="AQ200" s="22" t="s">
        <v>154</v>
      </c>
      <c r="AR200" s="23" t="s">
        <v>155</v>
      </c>
      <c r="AS200" s="14" t="s">
        <v>137</v>
      </c>
      <c r="AT200" s="14" t="s">
        <v>2208</v>
      </c>
      <c r="AU200" s="24" t="s">
        <v>157</v>
      </c>
      <c r="AV200" s="24" t="s">
        <v>2209</v>
      </c>
      <c r="AW200" s="25" t="s">
        <v>2210</v>
      </c>
      <c r="AX200" s="24" t="s">
        <v>141</v>
      </c>
      <c r="AY200" s="24" t="s">
        <v>249</v>
      </c>
      <c r="AZ200" s="17" t="s">
        <v>250</v>
      </c>
      <c r="BA200" s="17" t="s">
        <v>2211</v>
      </c>
      <c r="BB200" s="26" t="str">
        <f>IFERROR(VLOOKUP($AY200,[1]프로젝트현황!Y:Z,2,0),"기타")</f>
        <v>서남권</v>
      </c>
      <c r="BC200" s="23" t="str">
        <f t="shared" si="32"/>
        <v>경기도 부천시 원미구 조마루로 358번길 23, 302호</v>
      </c>
    </row>
    <row r="201" spans="1:55" ht="15" customHeight="1" x14ac:dyDescent="0.3">
      <c r="A201" s="10">
        <f t="shared" si="33"/>
        <v>199</v>
      </c>
      <c r="B201" s="11">
        <v>251104</v>
      </c>
      <c r="C201" s="11" t="s">
        <v>2212</v>
      </c>
      <c r="D201" s="12">
        <v>45971</v>
      </c>
      <c r="E201" s="12">
        <f t="shared" ref="E201:E229" si="43">+D201</f>
        <v>45971</v>
      </c>
      <c r="F201" s="12"/>
      <c r="G201" s="13"/>
      <c r="H201" s="14" t="s">
        <v>2213</v>
      </c>
      <c r="I201" s="11" t="s">
        <v>2214</v>
      </c>
      <c r="J201" s="15" t="str">
        <f t="shared" si="37"/>
        <v>850510</v>
      </c>
      <c r="K201" s="15" t="str">
        <f t="shared" si="42"/>
        <v>05</v>
      </c>
      <c r="L201" s="15" t="str">
        <f t="shared" ref="L201:L226" si="44">IF(OR(MID($I201,8,1)="1",MID($I201,8,1)="3"),"남자",IF(OR(MID($I201,8,1)="2",MID($I201,8,1)="4"),"여자",""))</f>
        <v>여자</v>
      </c>
      <c r="M201" s="15">
        <f t="shared" ca="1" si="39"/>
        <v>42</v>
      </c>
      <c r="N201" s="15" t="s">
        <v>111</v>
      </c>
      <c r="O201" s="15" t="s">
        <v>112</v>
      </c>
      <c r="P201" s="11" t="s">
        <v>2215</v>
      </c>
      <c r="Q201" s="11"/>
      <c r="R201" s="11"/>
      <c r="S201" s="16"/>
      <c r="T201" s="15" t="s">
        <v>114</v>
      </c>
      <c r="U201" s="11"/>
      <c r="V201" s="15" t="str">
        <f t="shared" ca="1" si="41"/>
        <v>16년10개월</v>
      </c>
      <c r="W201" s="15" t="s">
        <v>1038</v>
      </c>
      <c r="X201" s="18" t="str">
        <f t="shared" ca="1" si="35"/>
        <v>0년3개월</v>
      </c>
      <c r="Y201" s="17" t="s">
        <v>2216</v>
      </c>
      <c r="Z201" s="17" t="s">
        <v>2217</v>
      </c>
      <c r="AA201" s="14" t="s">
        <v>116</v>
      </c>
      <c r="AB201" s="16">
        <v>39135</v>
      </c>
      <c r="AC201" s="18">
        <f t="shared" ca="1" si="40"/>
        <v>16</v>
      </c>
      <c r="AD201" s="15" t="str">
        <f ca="1">IF($AA201="전문학사",IF($AC201&lt;=8,"초급",IF($AC201&lt;12,"중급",IF($AC201&lt;15,"고급",IF($AC201&gt;=15,"특급")))))</f>
        <v>특급</v>
      </c>
      <c r="AE201" s="15" t="str">
        <f t="shared" si="34"/>
        <v>미해당</v>
      </c>
      <c r="AF201" s="11"/>
      <c r="AG201" s="16"/>
      <c r="AH201" s="11"/>
      <c r="AI201" s="16"/>
      <c r="AJ201" s="11"/>
      <c r="AK201" s="11"/>
      <c r="AL201" s="19"/>
      <c r="AM201" s="11"/>
      <c r="AN201" s="20"/>
      <c r="AO201" s="21"/>
      <c r="AP201" s="21"/>
      <c r="AQ201" s="22" t="s">
        <v>154</v>
      </c>
      <c r="AR201" s="23" t="s">
        <v>155</v>
      </c>
      <c r="AS201" s="14" t="s">
        <v>2218</v>
      </c>
      <c r="AT201" s="14" t="s">
        <v>2219</v>
      </c>
      <c r="AU201" s="24" t="s">
        <v>2220</v>
      </c>
      <c r="AV201" s="24" t="s">
        <v>2221</v>
      </c>
      <c r="AW201" s="25" t="s">
        <v>2222</v>
      </c>
      <c r="AX201" s="24" t="s">
        <v>141</v>
      </c>
      <c r="AY201" s="24" t="s">
        <v>477</v>
      </c>
      <c r="AZ201" s="17"/>
      <c r="BA201" s="17" t="s">
        <v>2223</v>
      </c>
      <c r="BB201" s="26" t="str">
        <f>IFERROR(VLOOKUP($AY201,[1]프로젝트현황!Y:Z,2,0),"기타")</f>
        <v>서남권</v>
      </c>
      <c r="BC201" s="23" t="str">
        <f t="shared" si="32"/>
        <v>경기도 화성시 동탄대로1길 96, 2817동 502호</v>
      </c>
    </row>
    <row r="202" spans="1:55" ht="15" customHeight="1" x14ac:dyDescent="0.3">
      <c r="A202" s="10">
        <f t="shared" si="33"/>
        <v>200</v>
      </c>
      <c r="B202" s="11">
        <v>251105</v>
      </c>
      <c r="C202" s="11" t="s">
        <v>2224</v>
      </c>
      <c r="D202" s="12">
        <v>45971</v>
      </c>
      <c r="E202" s="12">
        <f t="shared" si="43"/>
        <v>45971</v>
      </c>
      <c r="F202" s="12"/>
      <c r="G202" s="13"/>
      <c r="H202" s="14" t="s">
        <v>2225</v>
      </c>
      <c r="I202" s="11" t="s">
        <v>2226</v>
      </c>
      <c r="J202" s="15" t="str">
        <f t="shared" si="37"/>
        <v>910713</v>
      </c>
      <c r="K202" s="15" t="str">
        <f t="shared" si="42"/>
        <v>07</v>
      </c>
      <c r="L202" s="15" t="str">
        <f t="shared" si="44"/>
        <v>남자</v>
      </c>
      <c r="M202" s="15">
        <f t="shared" ca="1" si="39"/>
        <v>36</v>
      </c>
      <c r="N202" s="15" t="s">
        <v>111</v>
      </c>
      <c r="O202" s="15" t="s">
        <v>112</v>
      </c>
      <c r="P202" s="11" t="s">
        <v>2227</v>
      </c>
      <c r="Q202" s="11"/>
      <c r="R202" s="11"/>
      <c r="S202" s="16"/>
      <c r="T202" s="15" t="s">
        <v>114</v>
      </c>
      <c r="U202" s="11"/>
      <c r="V202" s="15" t="str">
        <f t="shared" ca="1" si="41"/>
        <v>2년9개월</v>
      </c>
      <c r="W202" s="15" t="s">
        <v>1900</v>
      </c>
      <c r="X202" s="18" t="str">
        <f t="shared" ca="1" si="35"/>
        <v>0년3개월</v>
      </c>
      <c r="Y202" s="17" t="s">
        <v>243</v>
      </c>
      <c r="Z202" s="17" t="s">
        <v>2228</v>
      </c>
      <c r="AA202" s="14" t="s">
        <v>116</v>
      </c>
      <c r="AB202" s="16">
        <v>42048</v>
      </c>
      <c r="AC202" s="18">
        <f t="shared" ca="1" si="40"/>
        <v>2</v>
      </c>
      <c r="AD202" s="15" t="str">
        <f ca="1">IF($AA202="전문학사",IF($AC202&lt;=8,"초급",IF($AC202&lt;12,"중급",IF($AC202&lt;15,"고급",IF($AC202&gt;=15,"특급")))))</f>
        <v>초급</v>
      </c>
      <c r="AE202" s="15" t="str">
        <f t="shared" si="34"/>
        <v>미해당</v>
      </c>
      <c r="AF202" s="11"/>
      <c r="AG202" s="16"/>
      <c r="AH202" s="11"/>
      <c r="AI202" s="16"/>
      <c r="AJ202" s="11"/>
      <c r="AK202" s="11"/>
      <c r="AL202" s="19"/>
      <c r="AM202" s="11"/>
      <c r="AN202" s="20"/>
      <c r="AO202" s="21"/>
      <c r="AP202" s="21"/>
      <c r="AQ202" s="22" t="s">
        <v>154</v>
      </c>
      <c r="AR202" s="23" t="s">
        <v>155</v>
      </c>
      <c r="AS202" s="14" t="s">
        <v>137</v>
      </c>
      <c r="AT202" s="14" t="s">
        <v>2229</v>
      </c>
      <c r="AU202" s="24" t="s">
        <v>1029</v>
      </c>
      <c r="AV202" s="24" t="s">
        <v>2230</v>
      </c>
      <c r="AW202" s="25" t="s">
        <v>2231</v>
      </c>
      <c r="AX202" s="24" t="s">
        <v>141</v>
      </c>
      <c r="AY202" s="24" t="s">
        <v>773</v>
      </c>
      <c r="AZ202" s="17" t="s">
        <v>1638</v>
      </c>
      <c r="BA202" s="17" t="s">
        <v>2232</v>
      </c>
      <c r="BB202" s="26" t="str">
        <f>IFERROR(VLOOKUP($AY202,[1]프로젝트현황!Y:Z,2,0),"기타")</f>
        <v>동남권</v>
      </c>
      <c r="BC202" s="23" t="str">
        <f t="shared" si="32"/>
        <v>경기도 용인시 처인구 백옥대로 1255-6, 302호</v>
      </c>
    </row>
    <row r="203" spans="1:55" ht="15" customHeight="1" x14ac:dyDescent="0.3">
      <c r="A203" s="10">
        <f t="shared" si="33"/>
        <v>201</v>
      </c>
      <c r="B203" s="11">
        <v>251106</v>
      </c>
      <c r="C203" s="11" t="s">
        <v>2233</v>
      </c>
      <c r="D203" s="12">
        <v>45978</v>
      </c>
      <c r="E203" s="12">
        <f t="shared" si="43"/>
        <v>45978</v>
      </c>
      <c r="F203" s="12"/>
      <c r="G203" s="13"/>
      <c r="H203" s="14" t="s">
        <v>2234</v>
      </c>
      <c r="I203" s="11" t="s">
        <v>2235</v>
      </c>
      <c r="J203" s="15" t="str">
        <f t="shared" si="37"/>
        <v>991016</v>
      </c>
      <c r="K203" s="15" t="str">
        <f t="shared" si="42"/>
        <v>10</v>
      </c>
      <c r="L203" s="15" t="str">
        <f t="shared" si="44"/>
        <v>여자</v>
      </c>
      <c r="M203" s="15">
        <f t="shared" ca="1" si="39"/>
        <v>28</v>
      </c>
      <c r="N203" s="15" t="s">
        <v>111</v>
      </c>
      <c r="O203" s="15" t="s">
        <v>112</v>
      </c>
      <c r="P203" s="11" t="s">
        <v>2236</v>
      </c>
      <c r="Q203" s="11"/>
      <c r="R203" s="11"/>
      <c r="S203" s="16"/>
      <c r="T203" s="15" t="s">
        <v>114</v>
      </c>
      <c r="U203" s="11"/>
      <c r="V203" s="15" t="str">
        <f t="shared" ca="1" si="41"/>
        <v>0년2개월</v>
      </c>
      <c r="W203" s="15" t="s">
        <v>428</v>
      </c>
      <c r="X203" s="18" t="str">
        <f t="shared" ca="1" si="35"/>
        <v>0년2개월</v>
      </c>
      <c r="Y203" s="17" t="s">
        <v>2237</v>
      </c>
      <c r="Z203" s="17" t="s">
        <v>2238</v>
      </c>
      <c r="AA203" s="14" t="s">
        <v>116</v>
      </c>
      <c r="AB203" s="16">
        <v>43140</v>
      </c>
      <c r="AC203" s="18">
        <f t="shared" ca="1" si="40"/>
        <v>0</v>
      </c>
      <c r="AD203" s="15" t="str">
        <f ca="1">IF($AA203="전문학사",IF($AC203&lt;=8,"초급",IF($AC203&lt;12,"중급",IF($AC203&lt;15,"고급",IF($AC203&gt;=15,"특급")))))</f>
        <v>초급</v>
      </c>
      <c r="AE203" s="15" t="str">
        <f t="shared" si="34"/>
        <v>미해당</v>
      </c>
      <c r="AF203" s="11" t="s">
        <v>2145</v>
      </c>
      <c r="AG203" s="16">
        <v>45960</v>
      </c>
      <c r="AH203" s="11"/>
      <c r="AI203" s="16"/>
      <c r="AJ203" s="11"/>
      <c r="AK203" s="11"/>
      <c r="AL203" s="19"/>
      <c r="AM203" s="11"/>
      <c r="AN203" s="20"/>
      <c r="AO203" s="21"/>
      <c r="AP203" s="21"/>
      <c r="AQ203" s="22" t="s">
        <v>154</v>
      </c>
      <c r="AR203" s="23" t="s">
        <v>155</v>
      </c>
      <c r="AS203" s="31" t="s">
        <v>137</v>
      </c>
      <c r="AT203" s="31" t="s">
        <v>2239</v>
      </c>
      <c r="AU203" s="24" t="s">
        <v>157</v>
      </c>
      <c r="AV203" s="24" t="s">
        <v>2240</v>
      </c>
      <c r="AW203" s="25" t="s">
        <v>2241</v>
      </c>
      <c r="AX203" s="24" t="s">
        <v>1585</v>
      </c>
      <c r="AY203" s="24" t="s">
        <v>2242</v>
      </c>
      <c r="AZ203" s="17"/>
      <c r="BA203" s="17" t="s">
        <v>2243</v>
      </c>
      <c r="BB203" s="26" t="str">
        <f>IFERROR(VLOOKUP($AY203,[1]프로젝트현황!Y:Z,2,0),"기타")</f>
        <v>동남권</v>
      </c>
      <c r="BC203" s="23" t="str">
        <f t="shared" si="32"/>
        <v>서울특별시 강남구 삼성로107길 23-13, 401호</v>
      </c>
    </row>
    <row r="204" spans="1:55" ht="15" customHeight="1" x14ac:dyDescent="0.3">
      <c r="A204" s="10">
        <f t="shared" si="33"/>
        <v>202</v>
      </c>
      <c r="B204" s="11">
        <v>251201</v>
      </c>
      <c r="C204" s="11" t="s">
        <v>2244</v>
      </c>
      <c r="D204" s="12">
        <v>45992</v>
      </c>
      <c r="E204" s="12">
        <f t="shared" si="43"/>
        <v>45992</v>
      </c>
      <c r="F204" s="12"/>
      <c r="G204" s="13"/>
      <c r="H204" s="14" t="s">
        <v>2245</v>
      </c>
      <c r="I204" s="11" t="s">
        <v>2246</v>
      </c>
      <c r="J204" s="15" t="str">
        <f t="shared" si="37"/>
        <v>791211</v>
      </c>
      <c r="K204" s="15" t="str">
        <f t="shared" si="42"/>
        <v>12</v>
      </c>
      <c r="L204" s="15" t="str">
        <f t="shared" si="44"/>
        <v>여자</v>
      </c>
      <c r="M204" s="15">
        <f t="shared" ca="1" si="39"/>
        <v>48</v>
      </c>
      <c r="N204" s="15" t="s">
        <v>111</v>
      </c>
      <c r="O204" s="15" t="s">
        <v>112</v>
      </c>
      <c r="P204" s="11" t="s">
        <v>2247</v>
      </c>
      <c r="Q204" s="11"/>
      <c r="R204" s="11"/>
      <c r="S204" s="16"/>
      <c r="T204" s="15" t="s">
        <v>114</v>
      </c>
      <c r="U204" s="11"/>
      <c r="V204" s="15" t="str">
        <f t="shared" ca="1" si="41"/>
        <v>19년2개월</v>
      </c>
      <c r="W204" s="15" t="s">
        <v>2248</v>
      </c>
      <c r="X204" s="18" t="str">
        <f t="shared" ca="1" si="35"/>
        <v>0년2개월</v>
      </c>
      <c r="Y204" s="17" t="s">
        <v>202</v>
      </c>
      <c r="Z204" s="17" t="s">
        <v>471</v>
      </c>
      <c r="AA204" s="14" t="s">
        <v>116</v>
      </c>
      <c r="AB204" s="16">
        <v>43140</v>
      </c>
      <c r="AC204" s="18">
        <f t="shared" ca="1" si="40"/>
        <v>19</v>
      </c>
      <c r="AD204" s="15" t="str">
        <f ca="1">IF($AA204="전문학사",IF($AC204&lt;=8,"초급",IF($AC204&lt;12,"중급",IF($AC204&lt;15,"고급",IF($AC204&gt;=15,"특급")))))</f>
        <v>특급</v>
      </c>
      <c r="AE204" s="15" t="str">
        <f t="shared" ca="1" si="34"/>
        <v>특급</v>
      </c>
      <c r="AF204" s="11"/>
      <c r="AG204" s="16"/>
      <c r="AH204" s="11"/>
      <c r="AI204" s="16"/>
      <c r="AJ204" s="11"/>
      <c r="AK204" s="11"/>
      <c r="AL204" s="19" t="s">
        <v>91</v>
      </c>
      <c r="AM204" s="11">
        <v>2002.08</v>
      </c>
      <c r="AN204" s="20"/>
      <c r="AO204" s="21"/>
      <c r="AP204" s="21"/>
      <c r="AQ204" s="22" t="s">
        <v>2249</v>
      </c>
      <c r="AR204" s="23" t="s">
        <v>2250</v>
      </c>
      <c r="AS204" s="14" t="s">
        <v>137</v>
      </c>
      <c r="AT204" s="14" t="s">
        <v>2251</v>
      </c>
      <c r="AU204" s="24" t="s">
        <v>1717</v>
      </c>
      <c r="AV204" s="24" t="s">
        <v>2252</v>
      </c>
      <c r="AW204" s="25" t="s">
        <v>2253</v>
      </c>
      <c r="AX204" s="24" t="s">
        <v>1585</v>
      </c>
      <c r="AY204" s="24" t="s">
        <v>785</v>
      </c>
      <c r="AZ204" s="17"/>
      <c r="BA204" s="17" t="s">
        <v>2254</v>
      </c>
      <c r="BB204" s="26" t="str">
        <f>IFERROR(VLOOKUP($AY204,[1]프로젝트현황!Y:Z,2,0),"기타")</f>
        <v>서남권</v>
      </c>
      <c r="BC204" s="23" t="str">
        <f t="shared" si="32"/>
        <v>서울특별시 동작구 서달로 123, 102동 1502호 (흑석동, 롯데캐슬에듀포레)</v>
      </c>
    </row>
    <row r="205" spans="1:55" ht="15" customHeight="1" x14ac:dyDescent="0.3">
      <c r="A205" s="10">
        <f t="shared" si="33"/>
        <v>203</v>
      </c>
      <c r="B205" s="11">
        <v>251202</v>
      </c>
      <c r="C205" s="11" t="s">
        <v>2255</v>
      </c>
      <c r="D205" s="12">
        <v>45992</v>
      </c>
      <c r="E205" s="12">
        <f t="shared" si="43"/>
        <v>45992</v>
      </c>
      <c r="F205" s="12"/>
      <c r="G205" s="13"/>
      <c r="H205" s="14" t="s">
        <v>2256</v>
      </c>
      <c r="I205" s="11" t="s">
        <v>2257</v>
      </c>
      <c r="J205" s="15" t="str">
        <f t="shared" si="37"/>
        <v>800530</v>
      </c>
      <c r="K205" s="15" t="str">
        <f t="shared" si="42"/>
        <v>05</v>
      </c>
      <c r="L205" s="15" t="str">
        <f t="shared" si="44"/>
        <v>남자</v>
      </c>
      <c r="M205" s="15">
        <f t="shared" ca="1" si="39"/>
        <v>47</v>
      </c>
      <c r="N205" s="15" t="s">
        <v>111</v>
      </c>
      <c r="O205" s="15" t="s">
        <v>112</v>
      </c>
      <c r="P205" s="11" t="s">
        <v>2258</v>
      </c>
      <c r="Q205" s="11"/>
      <c r="R205" s="11"/>
      <c r="S205" s="16"/>
      <c r="T205" s="15" t="s">
        <v>114</v>
      </c>
      <c r="U205" s="11"/>
      <c r="V205" s="15" t="str">
        <f t="shared" ca="1" si="41"/>
        <v>21년0개월</v>
      </c>
      <c r="W205" s="15" t="s">
        <v>2259</v>
      </c>
      <c r="X205" s="18" t="str">
        <f t="shared" ca="1" si="35"/>
        <v>0년2개월</v>
      </c>
      <c r="Y205" s="17" t="s">
        <v>2216</v>
      </c>
      <c r="Z205" s="17" t="s">
        <v>906</v>
      </c>
      <c r="AA205" s="14" t="s">
        <v>116</v>
      </c>
      <c r="AB205" s="16">
        <v>38022</v>
      </c>
      <c r="AC205" s="18">
        <f t="shared" ca="1" si="40"/>
        <v>21</v>
      </c>
      <c r="AD205" s="15" t="str">
        <f ca="1">IF($AA205="전문학사",IF($AC205&lt;=8,"초급",IF($AC205&lt;12,"중급",IF($AC205&lt;15,"고급",IF($AC205&gt;=15,"특급")))))</f>
        <v>특급</v>
      </c>
      <c r="AE205" s="15" t="str">
        <f t="shared" si="34"/>
        <v>미해당</v>
      </c>
      <c r="AF205" s="11"/>
      <c r="AG205" s="16"/>
      <c r="AH205" s="11" t="s">
        <v>2028</v>
      </c>
      <c r="AI205" s="16">
        <v>41359</v>
      </c>
      <c r="AJ205" s="11"/>
      <c r="AK205" s="11"/>
      <c r="AL205" s="19"/>
      <c r="AM205" s="11"/>
      <c r="AN205" s="20"/>
      <c r="AO205" s="21"/>
      <c r="AP205" s="21"/>
      <c r="AQ205" s="22" t="s">
        <v>154</v>
      </c>
      <c r="AR205" s="23" t="s">
        <v>155</v>
      </c>
      <c r="AS205" s="14" t="s">
        <v>137</v>
      </c>
      <c r="AT205" s="14" t="s">
        <v>2260</v>
      </c>
      <c r="AU205" s="24"/>
      <c r="AV205" s="24"/>
      <c r="AW205" s="25" t="s">
        <v>2261</v>
      </c>
      <c r="AX205" s="24" t="s">
        <v>1585</v>
      </c>
      <c r="AY205" s="24" t="s">
        <v>264</v>
      </c>
      <c r="AZ205" s="17"/>
      <c r="BA205" s="17" t="s">
        <v>2262</v>
      </c>
      <c r="BB205" s="26" t="str">
        <f>IFERROR(VLOOKUP($AY205,[1]프로젝트현황!Y:Z,2,0),"기타")</f>
        <v>서남권</v>
      </c>
      <c r="BC205" s="23" t="str">
        <f t="shared" si="32"/>
        <v>서울특별시 관악구 봉천로13나길 71-3, 502호 (봉천동, 성도빌라)</v>
      </c>
    </row>
    <row r="206" spans="1:55" ht="15" customHeight="1" x14ac:dyDescent="0.3">
      <c r="A206" s="10">
        <f t="shared" si="33"/>
        <v>204</v>
      </c>
      <c r="B206" s="11">
        <v>251203</v>
      </c>
      <c r="C206" s="11" t="s">
        <v>2263</v>
      </c>
      <c r="D206" s="12">
        <v>45999</v>
      </c>
      <c r="E206" s="12">
        <f t="shared" si="43"/>
        <v>45999</v>
      </c>
      <c r="F206" s="12"/>
      <c r="G206" s="13"/>
      <c r="H206" s="14" t="s">
        <v>2264</v>
      </c>
      <c r="I206" s="11" t="s">
        <v>2265</v>
      </c>
      <c r="J206" s="15" t="str">
        <f t="shared" si="37"/>
        <v>831109</v>
      </c>
      <c r="K206" s="15" t="str">
        <f t="shared" si="42"/>
        <v>11</v>
      </c>
      <c r="L206" s="15" t="str">
        <f t="shared" si="44"/>
        <v>여자</v>
      </c>
      <c r="M206" s="15">
        <f t="shared" ca="1" si="39"/>
        <v>44</v>
      </c>
      <c r="N206" s="15" t="s">
        <v>2266</v>
      </c>
      <c r="O206" s="15" t="s">
        <v>2267</v>
      </c>
      <c r="P206" s="11" t="s">
        <v>2268</v>
      </c>
      <c r="Q206" s="11"/>
      <c r="R206" s="11" t="s">
        <v>167</v>
      </c>
      <c r="S206" s="16"/>
      <c r="T206" s="15" t="s">
        <v>114</v>
      </c>
      <c r="U206" s="11"/>
      <c r="V206" s="15" t="str">
        <f t="shared" ca="1" si="41"/>
        <v>18년2개월</v>
      </c>
      <c r="W206" s="15" t="s">
        <v>2269</v>
      </c>
      <c r="X206" s="18" t="str">
        <f t="shared" ca="1" si="35"/>
        <v>0년2개월</v>
      </c>
      <c r="Y206" s="17" t="s">
        <v>2270</v>
      </c>
      <c r="Z206" s="17" t="s">
        <v>272</v>
      </c>
      <c r="AA206" s="14" t="s">
        <v>2165</v>
      </c>
      <c r="AB206" s="16">
        <v>38770</v>
      </c>
      <c r="AC206" s="18">
        <f t="shared" ca="1" si="40"/>
        <v>18</v>
      </c>
      <c r="AD206" s="15" t="str">
        <f t="shared" ref="AD206:AD228" ca="1" si="45">IF($AA206="학사",IF($AC206&lt;=8,"초급",IF($AC206&lt;12,"중급",IF($AC206&lt;15,"고급",IF($AC206&gt;=15,"특급")))))</f>
        <v>특급</v>
      </c>
      <c r="AE206" s="15" t="str">
        <f t="shared" ca="1" si="34"/>
        <v>특급</v>
      </c>
      <c r="AF206" s="11"/>
      <c r="AG206" s="16"/>
      <c r="AH206" s="11" t="s">
        <v>2028</v>
      </c>
      <c r="AI206" s="16">
        <v>40812</v>
      </c>
      <c r="AJ206" s="11" t="s">
        <v>89</v>
      </c>
      <c r="AK206" s="16">
        <v>38516</v>
      </c>
      <c r="AL206" s="19"/>
      <c r="AM206" s="11"/>
      <c r="AN206" s="20"/>
      <c r="AO206" s="21"/>
      <c r="AP206" s="21"/>
      <c r="AQ206" s="22" t="s">
        <v>2271</v>
      </c>
      <c r="AR206" s="23" t="s">
        <v>2272</v>
      </c>
      <c r="AS206" s="14" t="s">
        <v>2273</v>
      </c>
      <c r="AT206" s="14" t="s">
        <v>2274</v>
      </c>
      <c r="AU206" s="24"/>
      <c r="AV206" s="24"/>
      <c r="AW206" s="25" t="s">
        <v>2275</v>
      </c>
      <c r="AX206" s="24" t="s">
        <v>1585</v>
      </c>
      <c r="AY206" s="24" t="s">
        <v>2242</v>
      </c>
      <c r="AZ206" s="17"/>
      <c r="BA206" s="17" t="s">
        <v>2276</v>
      </c>
      <c r="BB206" s="26" t="str">
        <f>IFERROR(VLOOKUP($AY206,[1]프로젝트현황!Y:Z,2,0),"기타")</f>
        <v>동남권</v>
      </c>
      <c r="BC206" s="23" t="str">
        <f t="shared" si="32"/>
        <v>서울특별시 강남구 삼성로61길 6, 301호</v>
      </c>
    </row>
    <row r="207" spans="1:55" ht="15" customHeight="1" x14ac:dyDescent="0.3">
      <c r="A207" s="10">
        <f t="shared" si="33"/>
        <v>205</v>
      </c>
      <c r="B207" s="11">
        <v>251205</v>
      </c>
      <c r="C207" s="11" t="s">
        <v>2277</v>
      </c>
      <c r="D207" s="12">
        <v>46006</v>
      </c>
      <c r="E207" s="12">
        <f t="shared" si="43"/>
        <v>46006</v>
      </c>
      <c r="F207" s="12"/>
      <c r="G207" s="13"/>
      <c r="H207" s="14" t="s">
        <v>2278</v>
      </c>
      <c r="I207" s="11" t="s">
        <v>2279</v>
      </c>
      <c r="J207" s="15" t="str">
        <f t="shared" si="37"/>
        <v>790616</v>
      </c>
      <c r="K207" s="15" t="str">
        <f t="shared" si="42"/>
        <v>06</v>
      </c>
      <c r="L207" s="15" t="str">
        <f t="shared" si="44"/>
        <v>남자</v>
      </c>
      <c r="M207" s="15">
        <f t="shared" ca="1" si="39"/>
        <v>48</v>
      </c>
      <c r="N207" s="15" t="s">
        <v>2266</v>
      </c>
      <c r="O207" s="15" t="s">
        <v>2267</v>
      </c>
      <c r="P207" s="11" t="s">
        <v>2280</v>
      </c>
      <c r="Q207" s="11"/>
      <c r="R207" s="11"/>
      <c r="S207" s="16"/>
      <c r="T207" s="15" t="s">
        <v>2281</v>
      </c>
      <c r="U207" s="11"/>
      <c r="V207" s="15"/>
      <c r="W207" s="15"/>
      <c r="X207" s="18" t="str">
        <f t="shared" ca="1" si="35"/>
        <v>0년1개월</v>
      </c>
      <c r="Y207" s="17" t="s">
        <v>802</v>
      </c>
      <c r="Z207" s="17" t="s">
        <v>2282</v>
      </c>
      <c r="AA207" s="14" t="s">
        <v>171</v>
      </c>
      <c r="AB207" s="16">
        <v>39500</v>
      </c>
      <c r="AC207" s="18" t="e">
        <f t="shared" si="40"/>
        <v>#VALUE!</v>
      </c>
      <c r="AD207" s="15" t="e">
        <f t="shared" si="45"/>
        <v>#VALUE!</v>
      </c>
      <c r="AE207" s="15" t="str">
        <f t="shared" si="34"/>
        <v>미해당</v>
      </c>
      <c r="AF207" s="11"/>
      <c r="AG207" s="16"/>
      <c r="AH207" s="11"/>
      <c r="AI207" s="16"/>
      <c r="AJ207" s="11"/>
      <c r="AK207" s="11"/>
      <c r="AL207" s="19"/>
      <c r="AM207" s="11"/>
      <c r="AN207" s="20"/>
      <c r="AO207" s="21"/>
      <c r="AP207" s="21"/>
      <c r="AQ207" s="22" t="s">
        <v>2271</v>
      </c>
      <c r="AR207" s="23" t="s">
        <v>2272</v>
      </c>
      <c r="AS207" s="14" t="s">
        <v>137</v>
      </c>
      <c r="AT207" s="14" t="s">
        <v>2283</v>
      </c>
      <c r="AU207" s="24"/>
      <c r="AV207" s="24"/>
      <c r="AW207" s="25" t="s">
        <v>2284</v>
      </c>
      <c r="AX207" s="24" t="s">
        <v>141</v>
      </c>
      <c r="AY207" s="24" t="s">
        <v>1182</v>
      </c>
      <c r="AZ207" s="17"/>
      <c r="BA207" s="17" t="s">
        <v>2285</v>
      </c>
      <c r="BB207" s="26" t="str">
        <f>IFERROR(VLOOKUP($AY207,[1]프로젝트현황!Y:Z,2,0),"기타")</f>
        <v>동남권</v>
      </c>
      <c r="BC207" s="23" t="str">
        <f t="shared" si="32"/>
        <v>경기도 하남시 하남유니온로 10, 103동 1701호</v>
      </c>
    </row>
    <row r="208" spans="1:55" ht="15" customHeight="1" x14ac:dyDescent="0.3">
      <c r="A208" s="10">
        <f t="shared" si="33"/>
        <v>206</v>
      </c>
      <c r="B208" s="11">
        <v>260101</v>
      </c>
      <c r="C208" s="11" t="s">
        <v>2286</v>
      </c>
      <c r="D208" s="12">
        <v>46024</v>
      </c>
      <c r="E208" s="12">
        <f t="shared" si="43"/>
        <v>46024</v>
      </c>
      <c r="F208" s="12"/>
      <c r="G208" s="13"/>
      <c r="H208" s="14" t="s">
        <v>2287</v>
      </c>
      <c r="I208" s="11" t="s">
        <v>2288</v>
      </c>
      <c r="J208" s="15" t="str">
        <f t="shared" si="37"/>
        <v>790107</v>
      </c>
      <c r="K208" s="15" t="str">
        <f t="shared" si="42"/>
        <v>01</v>
      </c>
      <c r="L208" s="15" t="str">
        <f t="shared" si="44"/>
        <v>남자</v>
      </c>
      <c r="M208" s="15">
        <f t="shared" ca="1" si="39"/>
        <v>48</v>
      </c>
      <c r="N208" s="15" t="s">
        <v>2266</v>
      </c>
      <c r="O208" s="15" t="s">
        <v>2267</v>
      </c>
      <c r="P208" s="11" t="s">
        <v>2289</v>
      </c>
      <c r="Q208" s="11"/>
      <c r="R208" s="11"/>
      <c r="S208" s="16"/>
      <c r="T208" s="15" t="s">
        <v>2281</v>
      </c>
      <c r="U208" s="11"/>
      <c r="V208" s="15" t="str">
        <f t="shared" ref="V208:V248" ca="1" si="46">QUOTIENT(SUMPRODUCT(LEFT($W208:$X208,FIND("년",$W208:$X208)-1)*12+MID($W208:$X208,FIND("년",$W208:$X208)+1,FIND("개월",$W208:$X208)-FIND("년",$W208:$X208)-1)),12)&amp;"년"&amp;MOD(SUMPRODUCT(LEFT($W208:$X208,FIND("년",$W208:$X208)-1)*12+MID($W208:$X208,FIND("년",$W208:$X208)+1,FIND("개월",$W208:$X208)-FIND("년",$W208:$X208)-1)),12)&amp;"개월"</f>
        <v>21년2개월</v>
      </c>
      <c r="W208" s="15" t="s">
        <v>2290</v>
      </c>
      <c r="X208" s="18" t="str">
        <f t="shared" ca="1" si="35"/>
        <v>0년1개월</v>
      </c>
      <c r="Y208" s="17" t="s">
        <v>2291</v>
      </c>
      <c r="Z208" s="17" t="s">
        <v>471</v>
      </c>
      <c r="AA208" s="14" t="s">
        <v>171</v>
      </c>
      <c r="AB208" s="16">
        <v>42788</v>
      </c>
      <c r="AC208" s="18">
        <f t="shared" ca="1" si="40"/>
        <v>21</v>
      </c>
      <c r="AD208" s="15" t="str">
        <f t="shared" ca="1" si="45"/>
        <v>특급</v>
      </c>
      <c r="AE208" s="15" t="str">
        <f t="shared" si="34"/>
        <v>미해당</v>
      </c>
      <c r="AF208" s="11"/>
      <c r="AG208" s="16"/>
      <c r="AH208" s="11"/>
      <c r="AI208" s="16"/>
      <c r="AJ208" s="11"/>
      <c r="AK208" s="11"/>
      <c r="AL208" s="19"/>
      <c r="AM208" s="11"/>
      <c r="AN208" s="20"/>
      <c r="AO208" s="21"/>
      <c r="AP208" s="21"/>
      <c r="AQ208" s="22" t="s">
        <v>2271</v>
      </c>
      <c r="AR208" s="23" t="s">
        <v>2272</v>
      </c>
      <c r="AS208" s="14" t="s">
        <v>2117</v>
      </c>
      <c r="AT208" s="14" t="s">
        <v>2292</v>
      </c>
      <c r="AU208" s="24"/>
      <c r="AV208" s="24"/>
      <c r="AW208" s="25" t="s">
        <v>2293</v>
      </c>
      <c r="AX208" s="24" t="s">
        <v>141</v>
      </c>
      <c r="AY208" s="24" t="s">
        <v>751</v>
      </c>
      <c r="AZ208" s="17"/>
      <c r="BA208" s="17" t="s">
        <v>2294</v>
      </c>
      <c r="BB208" s="26" t="str">
        <f>IFERROR(VLOOKUP($AY208,[1]프로젝트현황!Y:Z,2,0),"기타")</f>
        <v>동북권</v>
      </c>
      <c r="BC208" s="23" t="str">
        <f t="shared" si="32"/>
        <v>경기도 남양주시 별내5로 189-130, 5402동 401호</v>
      </c>
    </row>
    <row r="209" spans="1:55" ht="15" customHeight="1" x14ac:dyDescent="0.3">
      <c r="A209" s="10">
        <f t="shared" si="33"/>
        <v>207</v>
      </c>
      <c r="B209" s="11">
        <v>260102</v>
      </c>
      <c r="C209" s="11" t="s">
        <v>2295</v>
      </c>
      <c r="D209" s="12">
        <v>46024</v>
      </c>
      <c r="E209" s="12">
        <f t="shared" si="43"/>
        <v>46024</v>
      </c>
      <c r="F209" s="12"/>
      <c r="G209" s="13"/>
      <c r="H209" s="14" t="s">
        <v>2296</v>
      </c>
      <c r="I209" s="11" t="s">
        <v>2297</v>
      </c>
      <c r="J209" s="15" t="str">
        <f t="shared" si="37"/>
        <v>920417</v>
      </c>
      <c r="K209" s="15" t="str">
        <f t="shared" si="42"/>
        <v>04</v>
      </c>
      <c r="L209" s="15" t="str">
        <f t="shared" si="44"/>
        <v>여자</v>
      </c>
      <c r="M209" s="15">
        <f t="shared" ca="1" si="39"/>
        <v>35</v>
      </c>
      <c r="N209" s="15" t="s">
        <v>2266</v>
      </c>
      <c r="O209" s="15" t="s">
        <v>2267</v>
      </c>
      <c r="P209" s="11" t="s">
        <v>2298</v>
      </c>
      <c r="Q209" s="11"/>
      <c r="R209" s="11"/>
      <c r="S209" s="16"/>
      <c r="T209" s="15" t="s">
        <v>2281</v>
      </c>
      <c r="U209" s="11"/>
      <c r="V209" s="15" t="str">
        <f t="shared" ca="1" si="46"/>
        <v>11년7개월</v>
      </c>
      <c r="W209" s="15" t="s">
        <v>935</v>
      </c>
      <c r="X209" s="18" t="str">
        <f t="shared" ca="1" si="35"/>
        <v>0년1개월</v>
      </c>
      <c r="Y209" s="17" t="s">
        <v>285</v>
      </c>
      <c r="Z209" s="17" t="s">
        <v>1317</v>
      </c>
      <c r="AA209" s="14" t="s">
        <v>116</v>
      </c>
      <c r="AB209" s="16">
        <v>44393</v>
      </c>
      <c r="AC209" s="18">
        <f t="shared" ca="1" si="40"/>
        <v>11</v>
      </c>
      <c r="AD209" s="15" t="b">
        <f t="shared" si="45"/>
        <v>0</v>
      </c>
      <c r="AE209" s="15" t="str">
        <f t="shared" si="34"/>
        <v>미해당</v>
      </c>
      <c r="AF209" s="11"/>
      <c r="AG209" s="16"/>
      <c r="AH209" s="11"/>
      <c r="AI209" s="16"/>
      <c r="AJ209" s="11"/>
      <c r="AK209" s="11"/>
      <c r="AL209" s="19"/>
      <c r="AM209" s="11"/>
      <c r="AN209" s="20"/>
      <c r="AO209" s="21"/>
      <c r="AP209" s="21"/>
      <c r="AQ209" s="22" t="s">
        <v>2271</v>
      </c>
      <c r="AR209" s="23" t="s">
        <v>2272</v>
      </c>
      <c r="AS209" s="14" t="s">
        <v>137</v>
      </c>
      <c r="AT209" s="14" t="s">
        <v>2299</v>
      </c>
      <c r="AU209" s="24" t="s">
        <v>2220</v>
      </c>
      <c r="AV209" s="24" t="s">
        <v>2300</v>
      </c>
      <c r="AW209" s="25" t="s">
        <v>2301</v>
      </c>
      <c r="AX209" s="24" t="s">
        <v>141</v>
      </c>
      <c r="AY209" s="24" t="s">
        <v>751</v>
      </c>
      <c r="AZ209" s="17" t="s">
        <v>2302</v>
      </c>
      <c r="BA209" s="17" t="s">
        <v>2303</v>
      </c>
      <c r="BB209" s="26" t="str">
        <f>IFERROR(VLOOKUP($AY209,[1]프로젝트현황!Y:Z,2,0),"기타")</f>
        <v>동북권</v>
      </c>
      <c r="BC209" s="23" t="str">
        <f t="shared" ref="BC209:BC225" si="47">(IF(AX209="","",AX209&amp;" "))&amp;(IF(AY209="","",AY209&amp;" "))&amp;(IF(AZ209="","",AZ209&amp;" "))&amp;BA209</f>
        <v>경기도 남양주시 별내면 청학로 114번길 17, 104동 1202호</v>
      </c>
    </row>
    <row r="210" spans="1:55" ht="15" customHeight="1" x14ac:dyDescent="0.3">
      <c r="A210" s="10">
        <f t="shared" si="33"/>
        <v>208</v>
      </c>
      <c r="B210" s="11">
        <v>260103</v>
      </c>
      <c r="C210" s="11" t="s">
        <v>2304</v>
      </c>
      <c r="D210" s="12">
        <v>46024</v>
      </c>
      <c r="E210" s="12">
        <f t="shared" si="43"/>
        <v>46024</v>
      </c>
      <c r="F210" s="12"/>
      <c r="G210" s="13"/>
      <c r="H210" s="14" t="s">
        <v>2305</v>
      </c>
      <c r="I210" s="11" t="s">
        <v>2306</v>
      </c>
      <c r="J210" s="15" t="str">
        <f t="shared" si="37"/>
        <v>880506</v>
      </c>
      <c r="K210" s="15" t="str">
        <f t="shared" si="42"/>
        <v>05</v>
      </c>
      <c r="L210" s="15" t="str">
        <f t="shared" si="44"/>
        <v>남자</v>
      </c>
      <c r="M210" s="15">
        <f t="shared" ca="1" si="39"/>
        <v>39</v>
      </c>
      <c r="N210" s="15" t="s">
        <v>2266</v>
      </c>
      <c r="O210" s="15" t="s">
        <v>2267</v>
      </c>
      <c r="P210" s="11" t="s">
        <v>2307</v>
      </c>
      <c r="Q210" s="11"/>
      <c r="R210" s="11"/>
      <c r="S210" s="16"/>
      <c r="T210" s="15" t="s">
        <v>2281</v>
      </c>
      <c r="U210" s="11"/>
      <c r="V210" s="15" t="str">
        <f t="shared" ca="1" si="46"/>
        <v>13년10개월</v>
      </c>
      <c r="W210" s="15" t="s">
        <v>2308</v>
      </c>
      <c r="X210" s="18" t="str">
        <f t="shared" ca="1" si="35"/>
        <v>0년1개월</v>
      </c>
      <c r="Y210" s="17" t="s">
        <v>2309</v>
      </c>
      <c r="Z210" s="17" t="s">
        <v>471</v>
      </c>
      <c r="AA210" s="14" t="s">
        <v>116</v>
      </c>
      <c r="AB210" s="16">
        <v>40942</v>
      </c>
      <c r="AC210" s="18">
        <f t="shared" ca="1" si="40"/>
        <v>13</v>
      </c>
      <c r="AD210" s="15" t="b">
        <f t="shared" si="45"/>
        <v>0</v>
      </c>
      <c r="AE210" s="15" t="str">
        <f t="shared" si="34"/>
        <v>미해당</v>
      </c>
      <c r="AF210" s="11"/>
      <c r="AG210" s="16"/>
      <c r="AH210" s="11"/>
      <c r="AI210" s="16"/>
      <c r="AJ210" s="11"/>
      <c r="AK210" s="11"/>
      <c r="AL210" s="19"/>
      <c r="AM210" s="11"/>
      <c r="AN210" s="20"/>
      <c r="AO210" s="21"/>
      <c r="AP210" s="21"/>
      <c r="AQ210" s="22" t="s">
        <v>2271</v>
      </c>
      <c r="AR210" s="23" t="s">
        <v>2272</v>
      </c>
      <c r="AS210" s="14" t="s">
        <v>2117</v>
      </c>
      <c r="AT210" s="14" t="s">
        <v>2310</v>
      </c>
      <c r="AU210" s="24"/>
      <c r="AV210" s="24"/>
      <c r="AW210" s="25" t="s">
        <v>2311</v>
      </c>
      <c r="AX210" s="24" t="s">
        <v>2312</v>
      </c>
      <c r="AY210" s="24" t="s">
        <v>2313</v>
      </c>
      <c r="AZ210" s="17"/>
      <c r="BA210" s="17" t="s">
        <v>2314</v>
      </c>
      <c r="BB210" s="26" t="str">
        <f>IFERROR(VLOOKUP($AY210,[1]프로젝트현황!Y:Z,2,0),"기타")</f>
        <v>동남권</v>
      </c>
      <c r="BC210" s="23" t="str">
        <f t="shared" si="47"/>
        <v>경기도 광주시 고불로 461-26, 106동 505호</v>
      </c>
    </row>
    <row r="211" spans="1:55" ht="15" customHeight="1" x14ac:dyDescent="0.3">
      <c r="A211" s="10">
        <f t="shared" si="33"/>
        <v>209</v>
      </c>
      <c r="B211" s="11">
        <v>260104</v>
      </c>
      <c r="C211" s="11" t="s">
        <v>2315</v>
      </c>
      <c r="D211" s="12">
        <v>46024</v>
      </c>
      <c r="E211" s="12">
        <f t="shared" si="43"/>
        <v>46024</v>
      </c>
      <c r="F211" s="12"/>
      <c r="G211" s="13"/>
      <c r="H211" s="14" t="s">
        <v>2316</v>
      </c>
      <c r="I211" s="11" t="s">
        <v>2317</v>
      </c>
      <c r="J211" s="15" t="str">
        <f t="shared" si="37"/>
        <v>950413</v>
      </c>
      <c r="K211" s="15" t="str">
        <f t="shared" si="42"/>
        <v>04</v>
      </c>
      <c r="L211" s="15" t="str">
        <f t="shared" si="44"/>
        <v>여자</v>
      </c>
      <c r="M211" s="15">
        <f t="shared" ca="1" si="39"/>
        <v>32</v>
      </c>
      <c r="N211" s="15" t="s">
        <v>2266</v>
      </c>
      <c r="O211" s="15" t="s">
        <v>2267</v>
      </c>
      <c r="P211" s="11" t="s">
        <v>2318</v>
      </c>
      <c r="Q211" s="11"/>
      <c r="R211" s="11"/>
      <c r="S211" s="16"/>
      <c r="T211" s="15" t="s">
        <v>2281</v>
      </c>
      <c r="U211" s="11"/>
      <c r="V211" s="15" t="str">
        <f t="shared" ca="1" si="46"/>
        <v>5년6개월</v>
      </c>
      <c r="W211" s="15" t="s">
        <v>1063</v>
      </c>
      <c r="X211" s="18" t="str">
        <f t="shared" ca="1" si="35"/>
        <v>0년1개월</v>
      </c>
      <c r="Y211" s="17" t="s">
        <v>768</v>
      </c>
      <c r="Z211" s="17" t="s">
        <v>2319</v>
      </c>
      <c r="AA211" s="14" t="s">
        <v>171</v>
      </c>
      <c r="AB211" s="16">
        <v>43504</v>
      </c>
      <c r="AC211" s="18">
        <f t="shared" ca="1" si="40"/>
        <v>5</v>
      </c>
      <c r="AD211" s="15" t="str">
        <f t="shared" ca="1" si="45"/>
        <v>초급</v>
      </c>
      <c r="AE211" s="15" t="str">
        <f t="shared" si="34"/>
        <v>미해당</v>
      </c>
      <c r="AF211" s="11"/>
      <c r="AG211" s="16"/>
      <c r="AH211" s="11"/>
      <c r="AI211" s="16"/>
      <c r="AJ211" s="11"/>
      <c r="AK211" s="11"/>
      <c r="AL211" s="19"/>
      <c r="AM211" s="11"/>
      <c r="AN211" s="20"/>
      <c r="AO211" s="21"/>
      <c r="AP211" s="21"/>
      <c r="AQ211" s="22" t="s">
        <v>2271</v>
      </c>
      <c r="AR211" s="23" t="s">
        <v>2272</v>
      </c>
      <c r="AS211" s="14" t="s">
        <v>2117</v>
      </c>
      <c r="AT211" s="14" t="s">
        <v>2320</v>
      </c>
      <c r="AU211" s="24"/>
      <c r="AV211" s="24"/>
      <c r="AW211" s="25" t="s">
        <v>2321</v>
      </c>
      <c r="AX211" s="24" t="s">
        <v>2312</v>
      </c>
      <c r="AY211" s="24" t="s">
        <v>477</v>
      </c>
      <c r="AZ211" s="17" t="s">
        <v>2322</v>
      </c>
      <c r="BA211" s="17" t="s">
        <v>2323</v>
      </c>
      <c r="BB211" s="26" t="str">
        <f>IFERROR(VLOOKUP($AY211,[1]프로젝트현황!Y:Z,2,0),"기타")</f>
        <v>서남권</v>
      </c>
      <c r="BC211" s="23" t="str">
        <f t="shared" si="47"/>
        <v>경기도 화성시 봉담읍 상리3길 87, 505동 701호</v>
      </c>
    </row>
    <row r="212" spans="1:55" ht="15" customHeight="1" x14ac:dyDescent="0.3">
      <c r="A212" s="10">
        <f t="shared" si="33"/>
        <v>210</v>
      </c>
      <c r="B212" s="11">
        <v>260105</v>
      </c>
      <c r="C212" s="11" t="s">
        <v>2324</v>
      </c>
      <c r="D212" s="12">
        <v>46024</v>
      </c>
      <c r="E212" s="12">
        <f t="shared" si="43"/>
        <v>46024</v>
      </c>
      <c r="F212" s="12"/>
      <c r="G212" s="13"/>
      <c r="H212" s="14" t="s">
        <v>2325</v>
      </c>
      <c r="I212" s="11" t="s">
        <v>2326</v>
      </c>
      <c r="J212" s="15" t="str">
        <f t="shared" si="37"/>
        <v>970124</v>
      </c>
      <c r="K212" s="15" t="str">
        <f t="shared" si="42"/>
        <v>01</v>
      </c>
      <c r="L212" s="15" t="str">
        <f t="shared" si="44"/>
        <v>남자</v>
      </c>
      <c r="M212" s="15">
        <f t="shared" ca="1" si="39"/>
        <v>30</v>
      </c>
      <c r="N212" s="15" t="s">
        <v>2266</v>
      </c>
      <c r="O212" s="15" t="s">
        <v>2267</v>
      </c>
      <c r="P212" s="11" t="s">
        <v>2327</v>
      </c>
      <c r="Q212" s="11"/>
      <c r="R212" s="11"/>
      <c r="S212" s="16"/>
      <c r="T212" s="15" t="s">
        <v>2281</v>
      </c>
      <c r="U212" s="11"/>
      <c r="V212" s="15" t="str">
        <f t="shared" ca="1" si="46"/>
        <v>8년8개월</v>
      </c>
      <c r="W212" s="15" t="s">
        <v>1825</v>
      </c>
      <c r="X212" s="18" t="str">
        <f t="shared" ca="1" si="35"/>
        <v>0년1개월</v>
      </c>
      <c r="Y212" s="17" t="s">
        <v>2115</v>
      </c>
      <c r="Z212" s="17" t="s">
        <v>471</v>
      </c>
      <c r="AA212" s="14" t="s">
        <v>171</v>
      </c>
      <c r="AB212" s="16"/>
      <c r="AC212" s="18">
        <f t="shared" ca="1" si="40"/>
        <v>8</v>
      </c>
      <c r="AD212" s="15" t="str">
        <f t="shared" ca="1" si="45"/>
        <v>초급</v>
      </c>
      <c r="AE212" s="15" t="str">
        <f t="shared" si="34"/>
        <v>미해당</v>
      </c>
      <c r="AF212" s="11"/>
      <c r="AG212" s="16"/>
      <c r="AH212" s="11"/>
      <c r="AI212" s="16"/>
      <c r="AJ212" s="11"/>
      <c r="AK212" s="11"/>
      <c r="AL212" s="19"/>
      <c r="AM212" s="11"/>
      <c r="AN212" s="20"/>
      <c r="AO212" s="21"/>
      <c r="AP212" s="21"/>
      <c r="AQ212" s="22" t="s">
        <v>2271</v>
      </c>
      <c r="AR212" s="23" t="s">
        <v>2272</v>
      </c>
      <c r="AS212" s="14" t="s">
        <v>2117</v>
      </c>
      <c r="AT212" s="14" t="s">
        <v>2328</v>
      </c>
      <c r="AU212" s="24" t="s">
        <v>157</v>
      </c>
      <c r="AV212" s="24" t="s">
        <v>2329</v>
      </c>
      <c r="AW212" s="25" t="s">
        <v>2330</v>
      </c>
      <c r="AX212" s="24" t="s">
        <v>2312</v>
      </c>
      <c r="AY212" s="24" t="s">
        <v>194</v>
      </c>
      <c r="AZ212" s="17" t="s">
        <v>2331</v>
      </c>
      <c r="BA212" s="17" t="s">
        <v>2332</v>
      </c>
      <c r="BB212" s="26" t="str">
        <f>IFERROR(VLOOKUP($AY212,[1]프로젝트현황!Y:Z,2,0),"기타")</f>
        <v>동남권</v>
      </c>
      <c r="BC212" s="23" t="str">
        <f t="shared" si="47"/>
        <v>경기도 수원시 권선구 권중로 82, 701동 303호</v>
      </c>
    </row>
    <row r="213" spans="1:55" ht="15" customHeight="1" x14ac:dyDescent="0.3">
      <c r="A213" s="10">
        <f t="shared" si="33"/>
        <v>211</v>
      </c>
      <c r="B213" s="11">
        <v>260106</v>
      </c>
      <c r="C213" s="11" t="s">
        <v>2333</v>
      </c>
      <c r="D213" s="12">
        <v>46024</v>
      </c>
      <c r="E213" s="12">
        <f t="shared" si="43"/>
        <v>46024</v>
      </c>
      <c r="F213" s="12"/>
      <c r="G213" s="13"/>
      <c r="H213" s="14" t="s">
        <v>2334</v>
      </c>
      <c r="I213" s="11" t="s">
        <v>2335</v>
      </c>
      <c r="J213" s="15" t="str">
        <f t="shared" si="37"/>
        <v>960911</v>
      </c>
      <c r="K213" s="15" t="str">
        <f t="shared" si="42"/>
        <v>09</v>
      </c>
      <c r="L213" s="15" t="str">
        <f t="shared" si="44"/>
        <v>남자</v>
      </c>
      <c r="M213" s="15">
        <f t="shared" ca="1" si="39"/>
        <v>31</v>
      </c>
      <c r="N213" s="15" t="s">
        <v>2266</v>
      </c>
      <c r="O213" s="15" t="s">
        <v>2267</v>
      </c>
      <c r="P213" s="11" t="s">
        <v>2336</v>
      </c>
      <c r="Q213" s="11"/>
      <c r="R213" s="11"/>
      <c r="S213" s="16"/>
      <c r="T213" s="15" t="s">
        <v>2281</v>
      </c>
      <c r="U213" s="11"/>
      <c r="V213" s="15" t="str">
        <f t="shared" ca="1" si="46"/>
        <v>6년0개월</v>
      </c>
      <c r="W213" s="15" t="s">
        <v>2337</v>
      </c>
      <c r="X213" s="18" t="str">
        <f t="shared" ca="1" si="35"/>
        <v>0년1개월</v>
      </c>
      <c r="Y213" s="17" t="s">
        <v>1845</v>
      </c>
      <c r="Z213" s="17" t="s">
        <v>2338</v>
      </c>
      <c r="AA213" s="14" t="s">
        <v>171</v>
      </c>
      <c r="AB213" s="16">
        <v>43504</v>
      </c>
      <c r="AC213" s="18">
        <f t="shared" ca="1" si="40"/>
        <v>6</v>
      </c>
      <c r="AD213" s="15" t="str">
        <f t="shared" ca="1" si="45"/>
        <v>초급</v>
      </c>
      <c r="AE213" s="15" t="str">
        <f t="shared" si="34"/>
        <v>미해당</v>
      </c>
      <c r="AF213" s="11"/>
      <c r="AG213" s="16"/>
      <c r="AH213" s="11"/>
      <c r="AI213" s="16"/>
      <c r="AJ213" s="11"/>
      <c r="AK213" s="11"/>
      <c r="AL213" s="19"/>
      <c r="AM213" s="11"/>
      <c r="AN213" s="20"/>
      <c r="AO213" s="21"/>
      <c r="AP213" s="21"/>
      <c r="AQ213" s="22" t="s">
        <v>2271</v>
      </c>
      <c r="AR213" s="23" t="s">
        <v>2272</v>
      </c>
      <c r="AS213" s="14" t="s">
        <v>2117</v>
      </c>
      <c r="AT213" s="14" t="s">
        <v>2339</v>
      </c>
      <c r="AU213" s="24" t="s">
        <v>393</v>
      </c>
      <c r="AV213" s="24" t="s">
        <v>2340</v>
      </c>
      <c r="AW213" s="25" t="s">
        <v>2341</v>
      </c>
      <c r="AX213" s="24" t="s">
        <v>2342</v>
      </c>
      <c r="AY213" s="24" t="s">
        <v>2343</v>
      </c>
      <c r="AZ213" s="17"/>
      <c r="BA213" s="17" t="s">
        <v>2344</v>
      </c>
      <c r="BB213" s="26" t="str">
        <f>IFERROR(VLOOKUP($AY213,[1]프로젝트현황!Y:Z,2,0),"기타")</f>
        <v>동북권</v>
      </c>
      <c r="BC213" s="23" t="str">
        <f t="shared" si="47"/>
        <v>서울특별시 도봉구 해등로 286-5, 104동 907호</v>
      </c>
    </row>
    <row r="214" spans="1:55" ht="15" customHeight="1" x14ac:dyDescent="0.3">
      <c r="A214" s="10">
        <f t="shared" si="33"/>
        <v>212</v>
      </c>
      <c r="B214" s="11">
        <v>260107</v>
      </c>
      <c r="C214" s="11" t="s">
        <v>2345</v>
      </c>
      <c r="D214" s="12">
        <v>46024</v>
      </c>
      <c r="E214" s="12">
        <f t="shared" si="43"/>
        <v>46024</v>
      </c>
      <c r="F214" s="12"/>
      <c r="G214" s="13"/>
      <c r="H214" s="14" t="s">
        <v>2346</v>
      </c>
      <c r="I214" s="11" t="s">
        <v>2347</v>
      </c>
      <c r="J214" s="15" t="str">
        <f t="shared" si="37"/>
        <v>960327</v>
      </c>
      <c r="K214" s="15" t="str">
        <f t="shared" si="42"/>
        <v>03</v>
      </c>
      <c r="L214" s="15" t="str">
        <f t="shared" si="44"/>
        <v>여자</v>
      </c>
      <c r="M214" s="15">
        <f t="shared" ca="1" si="39"/>
        <v>31</v>
      </c>
      <c r="N214" s="15" t="s">
        <v>2266</v>
      </c>
      <c r="O214" s="15" t="s">
        <v>2267</v>
      </c>
      <c r="P214" s="11" t="s">
        <v>2348</v>
      </c>
      <c r="Q214" s="11"/>
      <c r="R214" s="11"/>
      <c r="S214" s="16"/>
      <c r="T214" s="15" t="s">
        <v>2281</v>
      </c>
      <c r="U214" s="11"/>
      <c r="V214" s="15" t="str">
        <f t="shared" ca="1" si="46"/>
        <v>1년7개월</v>
      </c>
      <c r="W214" s="15" t="s">
        <v>1760</v>
      </c>
      <c r="X214" s="18" t="str">
        <f t="shared" ca="1" si="35"/>
        <v>0년1개월</v>
      </c>
      <c r="Y214" s="17" t="s">
        <v>2349</v>
      </c>
      <c r="Z214" s="17" t="s">
        <v>1910</v>
      </c>
      <c r="AA214" s="14" t="s">
        <v>258</v>
      </c>
      <c r="AB214" s="16">
        <v>42046</v>
      </c>
      <c r="AC214" s="18">
        <f t="shared" ca="1" si="40"/>
        <v>1</v>
      </c>
      <c r="AD214" s="15" t="b">
        <f t="shared" si="45"/>
        <v>0</v>
      </c>
      <c r="AE214" s="15" t="str">
        <f t="shared" si="34"/>
        <v>미해당</v>
      </c>
      <c r="AF214" s="11"/>
      <c r="AG214" s="16"/>
      <c r="AH214" s="11"/>
      <c r="AI214" s="16"/>
      <c r="AJ214" s="11"/>
      <c r="AK214" s="11"/>
      <c r="AL214" s="19"/>
      <c r="AM214" s="11"/>
      <c r="AN214" s="20"/>
      <c r="AO214" s="21"/>
      <c r="AP214" s="21"/>
      <c r="AQ214" s="22" t="s">
        <v>2271</v>
      </c>
      <c r="AR214" s="23" t="s">
        <v>2272</v>
      </c>
      <c r="AS214" s="14" t="s">
        <v>2117</v>
      </c>
      <c r="AT214" s="14" t="s">
        <v>2350</v>
      </c>
      <c r="AU214" s="24" t="s">
        <v>393</v>
      </c>
      <c r="AV214" s="24" t="s">
        <v>2351</v>
      </c>
      <c r="AW214" s="25" t="s">
        <v>2352</v>
      </c>
      <c r="AX214" s="24" t="s">
        <v>2342</v>
      </c>
      <c r="AY214" s="24" t="s">
        <v>2353</v>
      </c>
      <c r="AZ214" s="17"/>
      <c r="BA214" s="17" t="s">
        <v>2354</v>
      </c>
      <c r="BB214" s="26" t="str">
        <f>IFERROR(VLOOKUP($AY214,[1]프로젝트현황!Y:Z,2,0),"기타")</f>
        <v>서북권</v>
      </c>
      <c r="BC214" s="23" t="str">
        <f t="shared" si="47"/>
        <v>서울특별시 은평구 은평로11길 23, 402호</v>
      </c>
    </row>
    <row r="215" spans="1:55" ht="15" customHeight="1" x14ac:dyDescent="0.3">
      <c r="A215" s="10">
        <f t="shared" si="33"/>
        <v>213</v>
      </c>
      <c r="B215" s="11">
        <v>260108</v>
      </c>
      <c r="C215" s="11" t="s">
        <v>2355</v>
      </c>
      <c r="D215" s="12">
        <v>46024</v>
      </c>
      <c r="E215" s="12">
        <f t="shared" si="43"/>
        <v>46024</v>
      </c>
      <c r="F215" s="12"/>
      <c r="G215" s="13"/>
      <c r="H215" s="14" t="s">
        <v>2356</v>
      </c>
      <c r="I215" s="11" t="s">
        <v>2357</v>
      </c>
      <c r="J215" s="15" t="str">
        <f t="shared" si="37"/>
        <v>960227</v>
      </c>
      <c r="K215" s="15" t="str">
        <f t="shared" si="42"/>
        <v>02</v>
      </c>
      <c r="L215" s="15" t="str">
        <f t="shared" si="44"/>
        <v>여자</v>
      </c>
      <c r="M215" s="15">
        <f t="shared" ca="1" si="39"/>
        <v>31</v>
      </c>
      <c r="N215" s="15" t="s">
        <v>2266</v>
      </c>
      <c r="O215" s="15" t="s">
        <v>2267</v>
      </c>
      <c r="P215" s="11" t="s">
        <v>2358</v>
      </c>
      <c r="Q215" s="11"/>
      <c r="R215" s="11"/>
      <c r="S215" s="16"/>
      <c r="T215" s="15" t="s">
        <v>2281</v>
      </c>
      <c r="U215" s="11"/>
      <c r="V215" s="15" t="str">
        <f t="shared" ca="1" si="46"/>
        <v>3년8개월</v>
      </c>
      <c r="W215" s="15" t="s">
        <v>1616</v>
      </c>
      <c r="X215" s="18" t="str">
        <f t="shared" ca="1" si="35"/>
        <v>0년1개월</v>
      </c>
      <c r="Y215" s="17" t="s">
        <v>2270</v>
      </c>
      <c r="Z215" s="17" t="s">
        <v>1337</v>
      </c>
      <c r="AA215" s="14" t="s">
        <v>171</v>
      </c>
      <c r="AB215" s="16">
        <v>43518</v>
      </c>
      <c r="AC215" s="18">
        <f t="shared" ca="1" si="40"/>
        <v>3</v>
      </c>
      <c r="AD215" s="15" t="str">
        <f t="shared" ca="1" si="45"/>
        <v>초급</v>
      </c>
      <c r="AE215" s="15" t="str">
        <f t="shared" si="34"/>
        <v>미해당</v>
      </c>
      <c r="AF215" s="11"/>
      <c r="AG215" s="16"/>
      <c r="AH215" s="11"/>
      <c r="AI215" s="16"/>
      <c r="AJ215" s="11"/>
      <c r="AK215" s="11"/>
      <c r="AL215" s="19"/>
      <c r="AM215" s="11"/>
      <c r="AN215" s="20"/>
      <c r="AO215" s="21"/>
      <c r="AP215" s="21"/>
      <c r="AQ215" s="22" t="s">
        <v>2271</v>
      </c>
      <c r="AR215" s="23" t="s">
        <v>2272</v>
      </c>
      <c r="AS215" s="14" t="s">
        <v>137</v>
      </c>
      <c r="AT215" s="14" t="s">
        <v>2359</v>
      </c>
      <c r="AU215" s="24" t="s">
        <v>176</v>
      </c>
      <c r="AV215" s="24" t="s">
        <v>2360</v>
      </c>
      <c r="AW215" s="25" t="s">
        <v>2361</v>
      </c>
      <c r="AX215" s="24" t="s">
        <v>2342</v>
      </c>
      <c r="AY215" s="24" t="s">
        <v>2362</v>
      </c>
      <c r="AZ215" s="17"/>
      <c r="BA215" s="17" t="s">
        <v>2363</v>
      </c>
      <c r="BB215" s="26" t="str">
        <f>IFERROR(VLOOKUP($AY215,[1]프로젝트현황!Y:Z,2,0),"기타")</f>
        <v>동북권</v>
      </c>
      <c r="BC215" s="23" t="str">
        <f t="shared" si="47"/>
        <v>서울특별시 성북구 솔샘로25길 28, 116동 9층 901호</v>
      </c>
    </row>
    <row r="216" spans="1:55" ht="15" customHeight="1" x14ac:dyDescent="0.3">
      <c r="A216" s="10">
        <f t="shared" si="33"/>
        <v>214</v>
      </c>
      <c r="B216" s="11">
        <v>260109</v>
      </c>
      <c r="C216" s="11" t="s">
        <v>2364</v>
      </c>
      <c r="D216" s="12">
        <v>46024</v>
      </c>
      <c r="E216" s="12">
        <f t="shared" si="43"/>
        <v>46024</v>
      </c>
      <c r="F216" s="12"/>
      <c r="G216" s="13">
        <v>46057</v>
      </c>
      <c r="H216" s="14" t="s">
        <v>2365</v>
      </c>
      <c r="I216" s="11" t="s">
        <v>2366</v>
      </c>
      <c r="J216" s="15" t="str">
        <f t="shared" si="37"/>
        <v>950626</v>
      </c>
      <c r="K216" s="15" t="str">
        <f t="shared" si="42"/>
        <v>06</v>
      </c>
      <c r="L216" s="15" t="str">
        <f t="shared" si="44"/>
        <v>여자</v>
      </c>
      <c r="M216" s="15">
        <f t="shared" ca="1" si="39"/>
        <v>32</v>
      </c>
      <c r="N216" s="15" t="s">
        <v>2266</v>
      </c>
      <c r="O216" s="15" t="s">
        <v>2267</v>
      </c>
      <c r="P216" s="11" t="s">
        <v>2367</v>
      </c>
      <c r="Q216" s="11"/>
      <c r="R216" s="11"/>
      <c r="S216" s="16"/>
      <c r="T216" s="15" t="s">
        <v>2281</v>
      </c>
      <c r="U216" s="11"/>
      <c r="V216" s="15" t="str">
        <f t="shared" ca="1" si="46"/>
        <v>4년8개월</v>
      </c>
      <c r="W216" s="15" t="s">
        <v>2062</v>
      </c>
      <c r="X216" s="18" t="str">
        <f t="shared" ca="1" si="35"/>
        <v>0년1개월</v>
      </c>
      <c r="Y216" s="17" t="s">
        <v>2270</v>
      </c>
      <c r="Z216" s="17" t="s">
        <v>1337</v>
      </c>
      <c r="AA216" s="14" t="s">
        <v>171</v>
      </c>
      <c r="AB216" s="16">
        <v>43153</v>
      </c>
      <c r="AC216" s="18">
        <f t="shared" ca="1" si="40"/>
        <v>4</v>
      </c>
      <c r="AD216" s="15" t="str">
        <f t="shared" ca="1" si="45"/>
        <v>초급</v>
      </c>
      <c r="AE216" s="15" t="str">
        <f t="shared" si="34"/>
        <v>미해당</v>
      </c>
      <c r="AF216" s="11"/>
      <c r="AG216" s="16"/>
      <c r="AH216" s="11"/>
      <c r="AI216" s="16"/>
      <c r="AJ216" s="11"/>
      <c r="AK216" s="11"/>
      <c r="AL216" s="19"/>
      <c r="AM216" s="11"/>
      <c r="AN216" s="20"/>
      <c r="AO216" s="21"/>
      <c r="AP216" s="21"/>
      <c r="AQ216" s="22" t="s">
        <v>2271</v>
      </c>
      <c r="AR216" s="23" t="s">
        <v>2272</v>
      </c>
      <c r="AS216" s="14" t="s">
        <v>137</v>
      </c>
      <c r="AT216" s="14" t="s">
        <v>2368</v>
      </c>
      <c r="AU216" s="24"/>
      <c r="AV216" s="24"/>
      <c r="AW216" s="25" t="s">
        <v>2369</v>
      </c>
      <c r="AX216" s="24" t="s">
        <v>1585</v>
      </c>
      <c r="AY216" s="24" t="s">
        <v>808</v>
      </c>
      <c r="AZ216" s="17"/>
      <c r="BA216" s="17" t="s">
        <v>2370</v>
      </c>
      <c r="BB216" s="26" t="str">
        <f>IFERROR(VLOOKUP($AY216,[1]프로젝트현황!Y:Z,2,0),"기타")</f>
        <v>동북권</v>
      </c>
      <c r="BC216" s="23" t="str">
        <f t="shared" si="47"/>
        <v>서울특별시 성북구 길음로 118, 416동 1901호</v>
      </c>
    </row>
    <row r="217" spans="1:55" ht="15" customHeight="1" x14ac:dyDescent="0.3">
      <c r="A217" s="10">
        <f t="shared" si="33"/>
        <v>215</v>
      </c>
      <c r="B217" s="11">
        <v>260110</v>
      </c>
      <c r="C217" s="11" t="s">
        <v>2371</v>
      </c>
      <c r="D217" s="12">
        <v>46024</v>
      </c>
      <c r="E217" s="12">
        <f t="shared" si="43"/>
        <v>46024</v>
      </c>
      <c r="F217" s="12"/>
      <c r="G217" s="13"/>
      <c r="H217" s="14" t="s">
        <v>2372</v>
      </c>
      <c r="I217" s="11" t="s">
        <v>2373</v>
      </c>
      <c r="J217" s="15" t="str">
        <f t="shared" si="37"/>
        <v>901229</v>
      </c>
      <c r="K217" s="15" t="str">
        <f t="shared" si="42"/>
        <v>12</v>
      </c>
      <c r="L217" s="15" t="str">
        <f t="shared" si="44"/>
        <v>여자</v>
      </c>
      <c r="M217" s="15">
        <f t="shared" ca="1" si="39"/>
        <v>37</v>
      </c>
      <c r="N217" s="15" t="s">
        <v>2266</v>
      </c>
      <c r="O217" s="15" t="s">
        <v>2267</v>
      </c>
      <c r="P217" s="11" t="s">
        <v>2374</v>
      </c>
      <c r="Q217" s="11"/>
      <c r="R217" s="11"/>
      <c r="S217" s="16"/>
      <c r="T217" s="15" t="s">
        <v>2281</v>
      </c>
      <c r="U217" s="11"/>
      <c r="V217" s="15" t="str">
        <f t="shared" ca="1" si="46"/>
        <v>0년1개월</v>
      </c>
      <c r="W217" s="15" t="s">
        <v>428</v>
      </c>
      <c r="X217" s="18" t="str">
        <f t="shared" ca="1" si="35"/>
        <v>0년1개월</v>
      </c>
      <c r="Y217" s="17" t="s">
        <v>2375</v>
      </c>
      <c r="Z217" s="17" t="s">
        <v>2376</v>
      </c>
      <c r="AA217" s="14" t="s">
        <v>116</v>
      </c>
      <c r="AB217" s="16">
        <v>40585</v>
      </c>
      <c r="AC217" s="18">
        <f t="shared" ca="1" si="40"/>
        <v>0</v>
      </c>
      <c r="AD217" s="15" t="b">
        <f t="shared" si="45"/>
        <v>0</v>
      </c>
      <c r="AE217" s="15" t="str">
        <f t="shared" si="34"/>
        <v>미해당</v>
      </c>
      <c r="AF217" s="11"/>
      <c r="AG217" s="16"/>
      <c r="AH217" s="11"/>
      <c r="AI217" s="16"/>
      <c r="AJ217" s="11"/>
      <c r="AK217" s="11"/>
      <c r="AL217" s="19"/>
      <c r="AM217" s="11"/>
      <c r="AN217" s="20"/>
      <c r="AO217" s="21"/>
      <c r="AP217" s="21"/>
      <c r="AQ217" s="22" t="s">
        <v>2271</v>
      </c>
      <c r="AR217" s="23" t="s">
        <v>2272</v>
      </c>
      <c r="AS217" s="14" t="s">
        <v>2117</v>
      </c>
      <c r="AT217" s="14" t="s">
        <v>2377</v>
      </c>
      <c r="AU217" s="24" t="s">
        <v>393</v>
      </c>
      <c r="AV217" s="24" t="s">
        <v>2378</v>
      </c>
      <c r="AW217" s="25" t="s">
        <v>2379</v>
      </c>
      <c r="AX217" s="24" t="s">
        <v>2342</v>
      </c>
      <c r="AY217" s="24" t="s">
        <v>2380</v>
      </c>
      <c r="AZ217" s="17"/>
      <c r="BA217" s="17" t="s">
        <v>2381</v>
      </c>
      <c r="BB217" s="26" t="str">
        <f>IFERROR(VLOOKUP($AY217,[1]프로젝트현황!Y:Z,2,0),"기타")</f>
        <v>동북권</v>
      </c>
      <c r="BC217" s="23" t="str">
        <f t="shared" si="47"/>
        <v>서울특별시 중랑구 망우로 346, 101동 1903호</v>
      </c>
    </row>
    <row r="218" spans="1:55" ht="15" customHeight="1" x14ac:dyDescent="0.3">
      <c r="A218" s="10">
        <f t="shared" si="33"/>
        <v>216</v>
      </c>
      <c r="B218" s="11">
        <v>260111</v>
      </c>
      <c r="C218" s="11" t="s">
        <v>2382</v>
      </c>
      <c r="D218" s="12">
        <v>46024</v>
      </c>
      <c r="E218" s="12">
        <f t="shared" si="43"/>
        <v>46024</v>
      </c>
      <c r="F218" s="12"/>
      <c r="G218" s="13"/>
      <c r="H218" s="14" t="s">
        <v>2383</v>
      </c>
      <c r="I218" s="11" t="s">
        <v>2384</v>
      </c>
      <c r="J218" s="15" t="str">
        <f t="shared" si="37"/>
        <v>040705</v>
      </c>
      <c r="K218" s="15" t="str">
        <f t="shared" si="42"/>
        <v>07</v>
      </c>
      <c r="L218" s="15" t="str">
        <f t="shared" si="44"/>
        <v>여자</v>
      </c>
      <c r="M218" s="15">
        <f t="shared" ca="1" si="39"/>
        <v>23</v>
      </c>
      <c r="N218" s="15" t="s">
        <v>2266</v>
      </c>
      <c r="O218" s="15" t="s">
        <v>2267</v>
      </c>
      <c r="P218" s="11" t="s">
        <v>2385</v>
      </c>
      <c r="Q218" s="11"/>
      <c r="R218" s="11"/>
      <c r="S218" s="16"/>
      <c r="T218" s="15" t="s">
        <v>2281</v>
      </c>
      <c r="U218" s="11"/>
      <c r="V218" s="15" t="str">
        <f t="shared" ca="1" si="46"/>
        <v>0년1개월</v>
      </c>
      <c r="W218" s="15" t="s">
        <v>428</v>
      </c>
      <c r="X218" s="18" t="str">
        <f t="shared" ca="1" si="35"/>
        <v>0년1개월</v>
      </c>
      <c r="Y218" s="17" t="s">
        <v>791</v>
      </c>
      <c r="Z218" s="17" t="s">
        <v>1532</v>
      </c>
      <c r="AA218" s="14" t="s">
        <v>116</v>
      </c>
      <c r="AB218" s="16">
        <v>46065</v>
      </c>
      <c r="AC218" s="18">
        <f t="shared" ca="1" si="40"/>
        <v>0</v>
      </c>
      <c r="AD218" s="15" t="b">
        <f t="shared" si="45"/>
        <v>0</v>
      </c>
      <c r="AE218" s="15" t="str">
        <f t="shared" si="34"/>
        <v>미해당</v>
      </c>
      <c r="AF218" s="11"/>
      <c r="AG218" s="16"/>
      <c r="AH218" s="11"/>
      <c r="AI218" s="16"/>
      <c r="AJ218" s="11"/>
      <c r="AK218" s="11"/>
      <c r="AL218" s="19"/>
      <c r="AM218" s="11"/>
      <c r="AN218" s="20"/>
      <c r="AO218" s="21"/>
      <c r="AP218" s="21"/>
      <c r="AQ218" s="22" t="s">
        <v>2271</v>
      </c>
      <c r="AR218" s="23" t="s">
        <v>2272</v>
      </c>
      <c r="AS218" s="14" t="s">
        <v>2117</v>
      </c>
      <c r="AT218" s="14" t="s">
        <v>2386</v>
      </c>
      <c r="AU218" s="24" t="s">
        <v>157</v>
      </c>
      <c r="AV218" s="24" t="s">
        <v>2387</v>
      </c>
      <c r="AW218" s="25" t="s">
        <v>2388</v>
      </c>
      <c r="AX218" s="24" t="s">
        <v>2312</v>
      </c>
      <c r="AY218" s="24" t="s">
        <v>2389</v>
      </c>
      <c r="AZ218" s="17"/>
      <c r="BA218" s="17" t="s">
        <v>2390</v>
      </c>
      <c r="BB218" s="26" t="str">
        <f>IFERROR(VLOOKUP($AY218,[1]프로젝트현황!Y:Z,2,0),"기타")</f>
        <v>기타</v>
      </c>
      <c r="BC218" s="23" t="str">
        <f t="shared" si="47"/>
        <v>경기도 과천시 별양로 110, 618동 1604호</v>
      </c>
    </row>
    <row r="219" spans="1:55" ht="15" customHeight="1" x14ac:dyDescent="0.3">
      <c r="A219" s="10">
        <f t="shared" si="33"/>
        <v>217</v>
      </c>
      <c r="B219" s="11">
        <v>260112</v>
      </c>
      <c r="C219" s="11" t="s">
        <v>2391</v>
      </c>
      <c r="D219" s="12">
        <v>46024</v>
      </c>
      <c r="E219" s="12">
        <f t="shared" si="43"/>
        <v>46024</v>
      </c>
      <c r="F219" s="12"/>
      <c r="G219" s="13"/>
      <c r="H219" s="14" t="s">
        <v>2392</v>
      </c>
      <c r="I219" s="11" t="s">
        <v>2393</v>
      </c>
      <c r="J219" s="15" t="str">
        <f t="shared" si="37"/>
        <v>050106</v>
      </c>
      <c r="K219" s="15" t="str">
        <f t="shared" si="42"/>
        <v>01</v>
      </c>
      <c r="L219" s="15" t="str">
        <f t="shared" si="44"/>
        <v>여자</v>
      </c>
      <c r="M219" s="15">
        <f t="shared" ca="1" si="39"/>
        <v>22</v>
      </c>
      <c r="N219" s="15" t="s">
        <v>2266</v>
      </c>
      <c r="O219" s="15" t="s">
        <v>2267</v>
      </c>
      <c r="P219" s="11" t="s">
        <v>2394</v>
      </c>
      <c r="Q219" s="11"/>
      <c r="R219" s="11"/>
      <c r="S219" s="16"/>
      <c r="T219" s="15" t="s">
        <v>2281</v>
      </c>
      <c r="U219" s="11"/>
      <c r="V219" s="15" t="str">
        <f t="shared" ca="1" si="46"/>
        <v>0년1개월</v>
      </c>
      <c r="W219" s="15" t="s">
        <v>428</v>
      </c>
      <c r="X219" s="18" t="str">
        <f t="shared" ca="1" si="35"/>
        <v>0년1개월</v>
      </c>
      <c r="Y219" s="17" t="s">
        <v>791</v>
      </c>
      <c r="Z219" s="17" t="s">
        <v>1532</v>
      </c>
      <c r="AA219" s="14" t="s">
        <v>116</v>
      </c>
      <c r="AB219" s="16">
        <v>46065</v>
      </c>
      <c r="AC219" s="18">
        <f t="shared" ca="1" si="40"/>
        <v>0</v>
      </c>
      <c r="AD219" s="15" t="b">
        <f t="shared" si="45"/>
        <v>0</v>
      </c>
      <c r="AE219" s="15" t="str">
        <f t="shared" si="34"/>
        <v>미해당</v>
      </c>
      <c r="AF219" s="11"/>
      <c r="AG219" s="16"/>
      <c r="AH219" s="11"/>
      <c r="AI219" s="16"/>
      <c r="AJ219" s="11"/>
      <c r="AK219" s="11"/>
      <c r="AL219" s="19"/>
      <c r="AM219" s="11"/>
      <c r="AN219" s="20"/>
      <c r="AO219" s="21"/>
      <c r="AP219" s="21"/>
      <c r="AQ219" s="22" t="s">
        <v>2271</v>
      </c>
      <c r="AR219" s="23" t="s">
        <v>2272</v>
      </c>
      <c r="AS219" s="14" t="s">
        <v>2117</v>
      </c>
      <c r="AT219" s="14" t="s">
        <v>2395</v>
      </c>
      <c r="AU219" s="24" t="s">
        <v>157</v>
      </c>
      <c r="AV219" s="24" t="s">
        <v>2394</v>
      </c>
      <c r="AW219" s="25" t="s">
        <v>2396</v>
      </c>
      <c r="AX219" s="24" t="s">
        <v>2312</v>
      </c>
      <c r="AY219" s="24" t="s">
        <v>2397</v>
      </c>
      <c r="AZ219" s="17"/>
      <c r="BA219" s="17" t="s">
        <v>2398</v>
      </c>
      <c r="BB219" s="26" t="str">
        <f>IFERROR(VLOOKUP($AY219,[1]프로젝트현황!Y:Z,2,0),"기타")</f>
        <v>동북권</v>
      </c>
      <c r="BC219" s="23" t="str">
        <f t="shared" si="47"/>
        <v>경기도 양주시 옥정동로 104, 2111동 1203호</v>
      </c>
    </row>
    <row r="220" spans="1:55" ht="15" customHeight="1" x14ac:dyDescent="0.3">
      <c r="A220" s="10">
        <f t="shared" si="33"/>
        <v>218</v>
      </c>
      <c r="B220" s="11">
        <v>260113</v>
      </c>
      <c r="C220" s="11" t="s">
        <v>2399</v>
      </c>
      <c r="D220" s="12">
        <v>46024</v>
      </c>
      <c r="E220" s="12">
        <f t="shared" si="43"/>
        <v>46024</v>
      </c>
      <c r="F220" s="12"/>
      <c r="G220" s="13"/>
      <c r="H220" s="14" t="s">
        <v>2400</v>
      </c>
      <c r="I220" s="11" t="s">
        <v>2401</v>
      </c>
      <c r="J220" s="15" t="str">
        <f t="shared" si="37"/>
        <v>811118</v>
      </c>
      <c r="K220" s="15" t="str">
        <f t="shared" si="42"/>
        <v>11</v>
      </c>
      <c r="L220" s="15" t="str">
        <f t="shared" si="44"/>
        <v>여자</v>
      </c>
      <c r="M220" s="15">
        <f t="shared" ca="1" si="39"/>
        <v>46</v>
      </c>
      <c r="N220" s="15" t="s">
        <v>2266</v>
      </c>
      <c r="O220" s="15" t="s">
        <v>2267</v>
      </c>
      <c r="P220" s="11" t="s">
        <v>2402</v>
      </c>
      <c r="Q220" s="11"/>
      <c r="R220" s="11"/>
      <c r="S220" s="16"/>
      <c r="T220" s="15" t="s">
        <v>2281</v>
      </c>
      <c r="U220" s="11"/>
      <c r="V220" s="15" t="str">
        <f t="shared" ca="1" si="46"/>
        <v>3년10개월</v>
      </c>
      <c r="W220" s="15" t="s">
        <v>2183</v>
      </c>
      <c r="X220" s="18" t="str">
        <f t="shared" ca="1" si="35"/>
        <v>0년1개월</v>
      </c>
      <c r="Y220" s="17" t="s">
        <v>2403</v>
      </c>
      <c r="Z220" s="17" t="s">
        <v>272</v>
      </c>
      <c r="AA220" s="14" t="s">
        <v>171</v>
      </c>
      <c r="AB220" s="16">
        <v>38954</v>
      </c>
      <c r="AC220" s="18">
        <f t="shared" ca="1" si="40"/>
        <v>3</v>
      </c>
      <c r="AD220" s="15" t="str">
        <f t="shared" ca="1" si="45"/>
        <v>초급</v>
      </c>
      <c r="AE220" s="15" t="str">
        <f t="shared" si="34"/>
        <v>미해당</v>
      </c>
      <c r="AF220" s="11"/>
      <c r="AG220" s="16"/>
      <c r="AH220" s="11"/>
      <c r="AI220" s="16"/>
      <c r="AJ220" s="11"/>
      <c r="AK220" s="11"/>
      <c r="AL220" s="19"/>
      <c r="AM220" s="11"/>
      <c r="AN220" s="20"/>
      <c r="AO220" s="21"/>
      <c r="AP220" s="21"/>
      <c r="AQ220" s="22" t="s">
        <v>2271</v>
      </c>
      <c r="AR220" s="23" t="s">
        <v>2272</v>
      </c>
      <c r="AS220" s="14" t="s">
        <v>2117</v>
      </c>
      <c r="AT220" s="14" t="s">
        <v>2404</v>
      </c>
      <c r="AU220" s="24" t="s">
        <v>2405</v>
      </c>
      <c r="AV220" s="24" t="s">
        <v>2406</v>
      </c>
      <c r="AW220" s="25" t="s">
        <v>2407</v>
      </c>
      <c r="AX220" s="24" t="s">
        <v>2342</v>
      </c>
      <c r="AY220" s="24" t="s">
        <v>2408</v>
      </c>
      <c r="AZ220" s="17"/>
      <c r="BA220" s="17" t="s">
        <v>2409</v>
      </c>
      <c r="BB220" s="26" t="str">
        <f>IFERROR(VLOOKUP($AY220,[1]프로젝트현황!Y:Z,2,0),"기타")</f>
        <v>서북권</v>
      </c>
      <c r="BC220" s="23" t="str">
        <f t="shared" si="47"/>
        <v>서울특별시 중구 만리재로 175</v>
      </c>
    </row>
    <row r="221" spans="1:55" ht="15" customHeight="1" x14ac:dyDescent="0.3">
      <c r="A221" s="10">
        <f t="shared" si="33"/>
        <v>219</v>
      </c>
      <c r="B221" s="11">
        <v>260114</v>
      </c>
      <c r="C221" s="11" t="s">
        <v>2410</v>
      </c>
      <c r="D221" s="12">
        <v>46024</v>
      </c>
      <c r="E221" s="12">
        <f t="shared" si="43"/>
        <v>46024</v>
      </c>
      <c r="F221" s="12"/>
      <c r="G221" s="13"/>
      <c r="H221" s="14" t="s">
        <v>2411</v>
      </c>
      <c r="I221" s="11" t="s">
        <v>2412</v>
      </c>
      <c r="J221" s="15" t="str">
        <f t="shared" si="37"/>
        <v>031119</v>
      </c>
      <c r="K221" s="15" t="str">
        <f t="shared" si="42"/>
        <v>11</v>
      </c>
      <c r="L221" s="15" t="str">
        <f t="shared" si="44"/>
        <v>남자</v>
      </c>
      <c r="M221" s="15">
        <f t="shared" ca="1" si="39"/>
        <v>24</v>
      </c>
      <c r="N221" s="15" t="s">
        <v>2266</v>
      </c>
      <c r="O221" s="15" t="s">
        <v>2267</v>
      </c>
      <c r="P221" s="11" t="s">
        <v>2413</v>
      </c>
      <c r="Q221" s="11"/>
      <c r="R221" s="11"/>
      <c r="S221" s="16"/>
      <c r="T221" s="15" t="s">
        <v>2281</v>
      </c>
      <c r="U221" s="11"/>
      <c r="V221" s="15" t="str">
        <f t="shared" ca="1" si="46"/>
        <v>4년2개월</v>
      </c>
      <c r="W221" s="15" t="s">
        <v>2414</v>
      </c>
      <c r="X221" s="18" t="str">
        <f t="shared" ca="1" si="35"/>
        <v>0년1개월</v>
      </c>
      <c r="Y221" s="17" t="s">
        <v>2415</v>
      </c>
      <c r="Z221" s="17" t="s">
        <v>1910</v>
      </c>
      <c r="AA221" s="14" t="s">
        <v>258</v>
      </c>
      <c r="AB221" s="16">
        <v>44567</v>
      </c>
      <c r="AC221" s="18">
        <f t="shared" ca="1" si="40"/>
        <v>4</v>
      </c>
      <c r="AD221" s="15" t="b">
        <f t="shared" si="45"/>
        <v>0</v>
      </c>
      <c r="AE221" s="15" t="str">
        <f t="shared" si="34"/>
        <v>미해당</v>
      </c>
      <c r="AF221" s="11"/>
      <c r="AG221" s="16"/>
      <c r="AH221" s="11"/>
      <c r="AI221" s="16"/>
      <c r="AJ221" s="11"/>
      <c r="AK221" s="11"/>
      <c r="AL221" s="19"/>
      <c r="AM221" s="11"/>
      <c r="AN221" s="20"/>
      <c r="AO221" s="21"/>
      <c r="AP221" s="21"/>
      <c r="AQ221" s="22" t="s">
        <v>2271</v>
      </c>
      <c r="AR221" s="23" t="s">
        <v>2272</v>
      </c>
      <c r="AS221" s="14" t="s">
        <v>2117</v>
      </c>
      <c r="AT221" s="14" t="s">
        <v>2416</v>
      </c>
      <c r="AU221" s="24"/>
      <c r="AV221" s="24"/>
      <c r="AW221" s="25" t="s">
        <v>2417</v>
      </c>
      <c r="AX221" s="24" t="s">
        <v>2312</v>
      </c>
      <c r="AY221" s="24" t="s">
        <v>2418</v>
      </c>
      <c r="AZ221" s="17"/>
      <c r="BA221" s="17" t="s">
        <v>2419</v>
      </c>
      <c r="BB221" s="26" t="str">
        <f>IFERROR(VLOOKUP($AY221,[1]프로젝트현황!Y:Z,2,0),"기타")</f>
        <v>서남권</v>
      </c>
      <c r="BC221" s="23" t="str">
        <f t="shared" si="47"/>
        <v>경기도 시흥시 검바위1로 38, 나동 1층 104호</v>
      </c>
    </row>
    <row r="222" spans="1:55" ht="15" customHeight="1" x14ac:dyDescent="0.3">
      <c r="A222" s="10">
        <f t="shared" si="33"/>
        <v>220</v>
      </c>
      <c r="B222" s="11">
        <v>260115</v>
      </c>
      <c r="C222" s="11" t="s">
        <v>2420</v>
      </c>
      <c r="D222" s="12">
        <v>46024</v>
      </c>
      <c r="E222" s="12">
        <f t="shared" si="43"/>
        <v>46024</v>
      </c>
      <c r="F222" s="12"/>
      <c r="G222" s="13"/>
      <c r="H222" s="14" t="s">
        <v>2421</v>
      </c>
      <c r="I222" s="11" t="s">
        <v>2422</v>
      </c>
      <c r="J222" s="15" t="str">
        <f t="shared" si="37"/>
        <v>030430</v>
      </c>
      <c r="K222" s="15" t="str">
        <f t="shared" si="42"/>
        <v>04</v>
      </c>
      <c r="L222" s="15" t="str">
        <f t="shared" si="44"/>
        <v>남자</v>
      </c>
      <c r="M222" s="15">
        <f t="shared" ca="1" si="39"/>
        <v>24</v>
      </c>
      <c r="N222" s="15" t="s">
        <v>2266</v>
      </c>
      <c r="O222" s="15" t="s">
        <v>2267</v>
      </c>
      <c r="P222" s="11" t="s">
        <v>2423</v>
      </c>
      <c r="Q222" s="11"/>
      <c r="R222" s="11"/>
      <c r="S222" s="16"/>
      <c r="T222" s="15" t="s">
        <v>2281</v>
      </c>
      <c r="U222" s="11"/>
      <c r="V222" s="15" t="str">
        <f t="shared" ca="1" si="46"/>
        <v>4년2개월</v>
      </c>
      <c r="W222" s="15" t="s">
        <v>2414</v>
      </c>
      <c r="X222" s="18" t="str">
        <f t="shared" ca="1" si="35"/>
        <v>0년1개월</v>
      </c>
      <c r="Y222" s="17" t="s">
        <v>2415</v>
      </c>
      <c r="Z222" s="17" t="s">
        <v>1910</v>
      </c>
      <c r="AA222" s="14" t="s">
        <v>258</v>
      </c>
      <c r="AB222" s="16">
        <v>44567</v>
      </c>
      <c r="AC222" s="18">
        <f t="shared" ca="1" si="40"/>
        <v>4</v>
      </c>
      <c r="AD222" s="15" t="b">
        <f t="shared" si="45"/>
        <v>0</v>
      </c>
      <c r="AE222" s="15" t="str">
        <f t="shared" si="34"/>
        <v>미해당</v>
      </c>
      <c r="AF222" s="11"/>
      <c r="AG222" s="16"/>
      <c r="AH222" s="11"/>
      <c r="AI222" s="16"/>
      <c r="AJ222" s="11"/>
      <c r="AK222" s="11"/>
      <c r="AL222" s="19"/>
      <c r="AM222" s="11"/>
      <c r="AN222" s="20"/>
      <c r="AO222" s="21"/>
      <c r="AP222" s="21"/>
      <c r="AQ222" s="22" t="s">
        <v>2271</v>
      </c>
      <c r="AR222" s="23" t="s">
        <v>2272</v>
      </c>
      <c r="AS222" s="14" t="s">
        <v>2117</v>
      </c>
      <c r="AT222" s="14" t="s">
        <v>2424</v>
      </c>
      <c r="AU222" s="24" t="s">
        <v>157</v>
      </c>
      <c r="AV222" s="24" t="s">
        <v>2423</v>
      </c>
      <c r="AW222" s="25" t="s">
        <v>2425</v>
      </c>
      <c r="AX222" s="24" t="s">
        <v>2312</v>
      </c>
      <c r="AY222" s="24" t="s">
        <v>249</v>
      </c>
      <c r="AZ222" s="17" t="s">
        <v>1575</v>
      </c>
      <c r="BA222" s="17" t="s">
        <v>2426</v>
      </c>
      <c r="BB222" s="26" t="str">
        <f>IFERROR(VLOOKUP($AY222,[1]프로젝트현황!Y:Z,2,0),"기타")</f>
        <v>서남권</v>
      </c>
      <c r="BC222" s="23" t="str">
        <f t="shared" si="47"/>
        <v>경기도 부천시 오정구 삼작로416번길 3, 402호</v>
      </c>
    </row>
    <row r="223" spans="1:55" ht="15" customHeight="1" x14ac:dyDescent="0.3">
      <c r="A223" s="10">
        <f t="shared" si="33"/>
        <v>221</v>
      </c>
      <c r="B223" s="11">
        <v>260116</v>
      </c>
      <c r="C223" s="11" t="s">
        <v>2427</v>
      </c>
      <c r="D223" s="12">
        <v>46024</v>
      </c>
      <c r="E223" s="12">
        <f t="shared" si="43"/>
        <v>46024</v>
      </c>
      <c r="F223" s="12"/>
      <c r="G223" s="13"/>
      <c r="H223" s="14" t="s">
        <v>2428</v>
      </c>
      <c r="I223" s="11" t="s">
        <v>2429</v>
      </c>
      <c r="J223" s="15" t="str">
        <f t="shared" si="37"/>
        <v>940913</v>
      </c>
      <c r="K223" s="15" t="str">
        <f t="shared" si="42"/>
        <v>09</v>
      </c>
      <c r="L223" s="15" t="str">
        <f t="shared" si="44"/>
        <v>남자</v>
      </c>
      <c r="M223" s="15">
        <f t="shared" ca="1" si="39"/>
        <v>33</v>
      </c>
      <c r="N223" s="15" t="s">
        <v>2266</v>
      </c>
      <c r="O223" s="15" t="s">
        <v>2267</v>
      </c>
      <c r="P223" s="11" t="s">
        <v>2430</v>
      </c>
      <c r="Q223" s="11"/>
      <c r="R223" s="11"/>
      <c r="S223" s="16"/>
      <c r="T223" s="15" t="s">
        <v>2281</v>
      </c>
      <c r="U223" s="11"/>
      <c r="V223" s="15" t="str">
        <f t="shared" ca="1" si="46"/>
        <v>9년7개월</v>
      </c>
      <c r="W223" s="15" t="s">
        <v>2431</v>
      </c>
      <c r="X223" s="18" t="str">
        <f t="shared" ca="1" si="35"/>
        <v>0년1개월</v>
      </c>
      <c r="Y223" s="17" t="s">
        <v>2432</v>
      </c>
      <c r="Z223" s="17" t="s">
        <v>2433</v>
      </c>
      <c r="AA223" s="14" t="s">
        <v>258</v>
      </c>
      <c r="AB223" s="16">
        <v>41312</v>
      </c>
      <c r="AC223" s="18">
        <f t="shared" ca="1" si="40"/>
        <v>9</v>
      </c>
      <c r="AD223" s="15" t="b">
        <f t="shared" si="45"/>
        <v>0</v>
      </c>
      <c r="AE223" s="15" t="str">
        <f t="shared" si="34"/>
        <v>미해당</v>
      </c>
      <c r="AF223" s="11"/>
      <c r="AG223" s="16"/>
      <c r="AH223" s="11"/>
      <c r="AI223" s="16"/>
      <c r="AJ223" s="11"/>
      <c r="AK223" s="11"/>
      <c r="AL223" s="19"/>
      <c r="AM223" s="11"/>
      <c r="AN223" s="20"/>
      <c r="AO223" s="21"/>
      <c r="AP223" s="21"/>
      <c r="AQ223" s="22" t="s">
        <v>2271</v>
      </c>
      <c r="AR223" s="23" t="s">
        <v>2272</v>
      </c>
      <c r="AS223" s="14" t="s">
        <v>137</v>
      </c>
      <c r="AT223" s="14" t="s">
        <v>2434</v>
      </c>
      <c r="AU223" s="24" t="s">
        <v>157</v>
      </c>
      <c r="AV223" s="24" t="s">
        <v>2435</v>
      </c>
      <c r="AW223" s="25" t="s">
        <v>2436</v>
      </c>
      <c r="AX223" s="24" t="s">
        <v>1585</v>
      </c>
      <c r="AY223" s="24" t="s">
        <v>505</v>
      </c>
      <c r="AZ223" s="17"/>
      <c r="BA223" s="17" t="s">
        <v>2437</v>
      </c>
      <c r="BB223" s="26" t="str">
        <f>IFERROR(VLOOKUP($AY223,[1]프로젝트현황!Y:Z,2,0),"기타")</f>
        <v>동북권</v>
      </c>
      <c r="BC223" s="23" t="str">
        <f t="shared" si="47"/>
        <v>서울특별시 강북구 인수봉로85길 16, 201호</v>
      </c>
    </row>
    <row r="224" spans="1:55" ht="15" customHeight="1" x14ac:dyDescent="0.3">
      <c r="A224" s="10">
        <f t="shared" si="33"/>
        <v>222</v>
      </c>
      <c r="B224" s="11">
        <v>260201</v>
      </c>
      <c r="C224" s="11" t="s">
        <v>2438</v>
      </c>
      <c r="D224" s="12">
        <v>46055</v>
      </c>
      <c r="E224" s="12">
        <f t="shared" si="43"/>
        <v>46055</v>
      </c>
      <c r="F224" s="12"/>
      <c r="G224" s="13"/>
      <c r="H224" s="14" t="s">
        <v>2439</v>
      </c>
      <c r="I224" s="11" t="s">
        <v>2440</v>
      </c>
      <c r="J224" s="15" t="str">
        <f t="shared" si="37"/>
        <v>040923</v>
      </c>
      <c r="K224" s="15" t="str">
        <f t="shared" si="42"/>
        <v>09</v>
      </c>
      <c r="L224" s="15" t="str">
        <f t="shared" si="44"/>
        <v>여자</v>
      </c>
      <c r="M224" s="15">
        <f t="shared" ca="1" si="39"/>
        <v>23</v>
      </c>
      <c r="N224" s="15" t="s">
        <v>2266</v>
      </c>
      <c r="O224" s="15" t="s">
        <v>2267</v>
      </c>
      <c r="P224" s="11" t="s">
        <v>2441</v>
      </c>
      <c r="Q224" s="11"/>
      <c r="R224" s="11"/>
      <c r="S224" s="16"/>
      <c r="T224" s="15" t="s">
        <v>2281</v>
      </c>
      <c r="U224" s="11"/>
      <c r="V224" s="15" t="str">
        <f t="shared" ca="1" si="46"/>
        <v>0년0개월</v>
      </c>
      <c r="W224" s="15" t="s">
        <v>428</v>
      </c>
      <c r="X224" s="18" t="str">
        <f t="shared" ca="1" si="35"/>
        <v>0년0개월</v>
      </c>
      <c r="Y224" s="17" t="s">
        <v>2442</v>
      </c>
      <c r="Z224" s="17" t="s">
        <v>2443</v>
      </c>
      <c r="AA224" s="14" t="s">
        <v>2444</v>
      </c>
      <c r="AB224" s="16">
        <v>46053</v>
      </c>
      <c r="AC224" s="18">
        <f t="shared" ca="1" si="40"/>
        <v>0</v>
      </c>
      <c r="AD224" s="15" t="b">
        <f t="shared" si="45"/>
        <v>0</v>
      </c>
      <c r="AE224" s="15" t="str">
        <f t="shared" si="34"/>
        <v>미해당</v>
      </c>
      <c r="AF224" s="11"/>
      <c r="AG224" s="16"/>
      <c r="AH224" s="11"/>
      <c r="AI224" s="16"/>
      <c r="AJ224" s="11"/>
      <c r="AK224" s="11"/>
      <c r="AL224" s="19"/>
      <c r="AM224" s="11"/>
      <c r="AN224" s="20"/>
      <c r="AO224" s="21"/>
      <c r="AP224" s="21"/>
      <c r="AQ224" s="22" t="s">
        <v>2271</v>
      </c>
      <c r="AR224" s="23" t="s">
        <v>2272</v>
      </c>
      <c r="AS224" s="14" t="s">
        <v>2117</v>
      </c>
      <c r="AT224" s="14" t="s">
        <v>2445</v>
      </c>
      <c r="AU224" s="24"/>
      <c r="AV224" s="24"/>
      <c r="AW224" s="29" t="s">
        <v>2446</v>
      </c>
      <c r="AX224" s="24" t="s">
        <v>2312</v>
      </c>
      <c r="AY224" s="24" t="s">
        <v>2447</v>
      </c>
      <c r="AZ224" s="17" t="s">
        <v>2448</v>
      </c>
      <c r="BA224" s="17" t="s">
        <v>2449</v>
      </c>
      <c r="BB224" s="26" t="s">
        <v>2450</v>
      </c>
      <c r="BC224" s="23" t="str">
        <f t="shared" si="47"/>
        <v>경기도 용인시 수지구 풍덕천로 91 103동 1802호</v>
      </c>
    </row>
    <row r="225" spans="1:55" ht="15" customHeight="1" x14ac:dyDescent="0.3">
      <c r="A225" s="10">
        <f t="shared" si="33"/>
        <v>223</v>
      </c>
      <c r="B225" s="11">
        <v>260202</v>
      </c>
      <c r="C225" s="11" t="s">
        <v>2451</v>
      </c>
      <c r="D225" s="12">
        <v>46055</v>
      </c>
      <c r="E225" s="12">
        <f t="shared" si="43"/>
        <v>46055</v>
      </c>
      <c r="F225" s="12"/>
      <c r="G225" s="13"/>
      <c r="H225" s="14" t="s">
        <v>2452</v>
      </c>
      <c r="I225" s="11" t="s">
        <v>2453</v>
      </c>
      <c r="J225" s="15" t="str">
        <f t="shared" si="37"/>
        <v>970525</v>
      </c>
      <c r="K225" s="15" t="str">
        <f t="shared" si="42"/>
        <v>05</v>
      </c>
      <c r="L225" s="15" t="str">
        <f t="shared" si="44"/>
        <v>남자</v>
      </c>
      <c r="M225" s="15">
        <f t="shared" ca="1" si="39"/>
        <v>30</v>
      </c>
      <c r="N225" s="15" t="s">
        <v>2266</v>
      </c>
      <c r="O225" s="15" t="s">
        <v>2267</v>
      </c>
      <c r="P225" s="11" t="s">
        <v>2454</v>
      </c>
      <c r="Q225" s="11"/>
      <c r="R225" s="11"/>
      <c r="S225" s="16"/>
      <c r="T225" s="15" t="s">
        <v>2281</v>
      </c>
      <c r="U225" s="11"/>
      <c r="V225" s="15" t="str">
        <f t="shared" ca="1" si="46"/>
        <v>0년0개월</v>
      </c>
      <c r="W225" s="15" t="s">
        <v>428</v>
      </c>
      <c r="X225" s="18" t="str">
        <f t="shared" ca="1" si="35"/>
        <v>0년0개월</v>
      </c>
      <c r="Y225" s="17" t="s">
        <v>2455</v>
      </c>
      <c r="Z225" s="17"/>
      <c r="AA225" s="14" t="s">
        <v>2456</v>
      </c>
      <c r="AB225" s="16">
        <v>42412</v>
      </c>
      <c r="AC225" s="18">
        <f t="shared" ca="1" si="40"/>
        <v>0</v>
      </c>
      <c r="AD225" s="15" t="b">
        <f t="shared" si="45"/>
        <v>0</v>
      </c>
      <c r="AE225" s="15" t="str">
        <f t="shared" si="34"/>
        <v>미해당</v>
      </c>
      <c r="AF225" s="11"/>
      <c r="AG225" s="16"/>
      <c r="AH225" s="11"/>
      <c r="AI225" s="16"/>
      <c r="AJ225" s="11"/>
      <c r="AK225" s="11"/>
      <c r="AL225" s="19"/>
      <c r="AM225" s="11"/>
      <c r="AN225" s="20"/>
      <c r="AO225" s="21"/>
      <c r="AP225" s="21"/>
      <c r="AQ225" s="22" t="s">
        <v>2271</v>
      </c>
      <c r="AR225" s="23" t="s">
        <v>2272</v>
      </c>
      <c r="AS225" s="14" t="s">
        <v>2117</v>
      </c>
      <c r="AT225" s="14" t="s">
        <v>2457</v>
      </c>
      <c r="AU225" s="24"/>
      <c r="AV225" s="24"/>
      <c r="AW225" s="29" t="s">
        <v>2458</v>
      </c>
      <c r="AX225" s="24" t="s">
        <v>2312</v>
      </c>
      <c r="AY225" s="24" t="s">
        <v>2459</v>
      </c>
      <c r="AZ225" s="17" t="s">
        <v>2460</v>
      </c>
      <c r="BA225" s="17" t="s">
        <v>2461</v>
      </c>
      <c r="BB225" s="26" t="s">
        <v>2450</v>
      </c>
      <c r="BC225" s="23" t="str">
        <f t="shared" si="47"/>
        <v>경기도 성남시 수정구 성남대로 1210 1006호</v>
      </c>
    </row>
    <row r="226" spans="1:55" ht="15" customHeight="1" x14ac:dyDescent="0.3">
      <c r="A226" s="10">
        <f t="shared" si="33"/>
        <v>224</v>
      </c>
      <c r="B226" s="11">
        <v>260203</v>
      </c>
      <c r="C226" s="11" t="s">
        <v>2462</v>
      </c>
      <c r="D226" s="12">
        <v>46055</v>
      </c>
      <c r="E226" s="12">
        <f t="shared" si="43"/>
        <v>46055</v>
      </c>
      <c r="F226" s="12"/>
      <c r="G226" s="13"/>
      <c r="H226" s="14" t="s">
        <v>2463</v>
      </c>
      <c r="I226" s="11" t="s">
        <v>2464</v>
      </c>
      <c r="J226" s="15" t="str">
        <f t="shared" si="37"/>
        <v>051027</v>
      </c>
      <c r="K226" s="15" t="str">
        <f t="shared" si="42"/>
        <v>10</v>
      </c>
      <c r="L226" s="15" t="str">
        <f t="shared" si="44"/>
        <v>여자</v>
      </c>
      <c r="M226" s="15">
        <f t="shared" ca="1" si="39"/>
        <v>22</v>
      </c>
      <c r="N226" s="15" t="s">
        <v>2266</v>
      </c>
      <c r="O226" s="15" t="s">
        <v>2267</v>
      </c>
      <c r="P226" s="11" t="s">
        <v>2465</v>
      </c>
      <c r="Q226" s="11"/>
      <c r="R226" s="11"/>
      <c r="S226" s="16"/>
      <c r="T226" s="15" t="s">
        <v>2281</v>
      </c>
      <c r="U226" s="11"/>
      <c r="V226" s="15" t="str">
        <f t="shared" ca="1" si="46"/>
        <v>0년0개월</v>
      </c>
      <c r="W226" s="15" t="s">
        <v>428</v>
      </c>
      <c r="X226" s="18" t="str">
        <f t="shared" ca="1" si="35"/>
        <v>0년0개월</v>
      </c>
      <c r="Y226" s="17" t="s">
        <v>2466</v>
      </c>
      <c r="Z226" s="17" t="s">
        <v>2467</v>
      </c>
      <c r="AA226" s="14" t="s">
        <v>2444</v>
      </c>
      <c r="AB226" s="16">
        <v>46065</v>
      </c>
      <c r="AC226" s="18">
        <f t="shared" ca="1" si="40"/>
        <v>0</v>
      </c>
      <c r="AD226" s="15" t="b">
        <f t="shared" si="45"/>
        <v>0</v>
      </c>
      <c r="AE226" s="15" t="str">
        <f t="shared" si="34"/>
        <v>미해당</v>
      </c>
      <c r="AF226" s="11"/>
      <c r="AG226" s="16"/>
      <c r="AH226" s="11"/>
      <c r="AI226" s="16"/>
      <c r="AJ226" s="11"/>
      <c r="AK226" s="11"/>
      <c r="AL226" s="19"/>
      <c r="AM226" s="11"/>
      <c r="AN226" s="20"/>
      <c r="AO226" s="21"/>
      <c r="AP226" s="21"/>
      <c r="AQ226" s="22" t="s">
        <v>2271</v>
      </c>
      <c r="AR226" s="23" t="s">
        <v>2272</v>
      </c>
      <c r="AS226" s="14"/>
      <c r="AT226" s="14"/>
      <c r="AU226" s="24"/>
      <c r="AV226" s="24"/>
      <c r="AW226" s="29" t="s">
        <v>2468</v>
      </c>
      <c r="AX226" s="24" t="s">
        <v>2469</v>
      </c>
      <c r="AY226" s="24" t="s">
        <v>2470</v>
      </c>
      <c r="AZ226" s="17" t="s">
        <v>2471</v>
      </c>
      <c r="BA226" s="17" t="s">
        <v>2472</v>
      </c>
      <c r="BB226" s="26" t="s">
        <v>2450</v>
      </c>
      <c r="BC226" s="23" t="s">
        <v>2473</v>
      </c>
    </row>
    <row r="227" spans="1:55" ht="15" customHeight="1" x14ac:dyDescent="0.3">
      <c r="A227" s="10">
        <f t="shared" ref="A227:A251" si="48">ROW()-2</f>
        <v>225</v>
      </c>
      <c r="B227" s="11">
        <v>260204</v>
      </c>
      <c r="C227" s="11" t="s">
        <v>2474</v>
      </c>
      <c r="D227" s="12">
        <v>46055</v>
      </c>
      <c r="E227" s="12">
        <f t="shared" si="43"/>
        <v>46055</v>
      </c>
      <c r="F227" s="12"/>
      <c r="G227" s="13"/>
      <c r="H227" s="14" t="s">
        <v>2475</v>
      </c>
      <c r="I227" s="11" t="s">
        <v>2476</v>
      </c>
      <c r="J227" s="15" t="s">
        <v>2477</v>
      </c>
      <c r="K227" s="15" t="s">
        <v>2478</v>
      </c>
      <c r="L227" s="15" t="s">
        <v>2479</v>
      </c>
      <c r="M227" s="15">
        <v>55</v>
      </c>
      <c r="N227" s="15" t="s">
        <v>2266</v>
      </c>
      <c r="O227" s="15" t="s">
        <v>2267</v>
      </c>
      <c r="P227" s="11" t="s">
        <v>2480</v>
      </c>
      <c r="Q227" s="11"/>
      <c r="R227" s="11"/>
      <c r="S227" s="16"/>
      <c r="T227" s="15" t="s">
        <v>2281</v>
      </c>
      <c r="U227" s="11"/>
      <c r="V227" s="15" t="str">
        <f t="shared" ca="1" si="46"/>
        <v>0년0개월</v>
      </c>
      <c r="W227" s="15" t="s">
        <v>428</v>
      </c>
      <c r="X227" s="18" t="str">
        <f t="shared" ca="1" si="35"/>
        <v>0년0개월</v>
      </c>
      <c r="Y227" s="17" t="s">
        <v>2481</v>
      </c>
      <c r="Z227" s="17" t="s">
        <v>2482</v>
      </c>
      <c r="AA227" s="14" t="s">
        <v>2165</v>
      </c>
      <c r="AB227" s="16">
        <v>36769</v>
      </c>
      <c r="AC227" s="18">
        <f t="shared" ca="1" si="40"/>
        <v>0</v>
      </c>
      <c r="AD227" s="15" t="str">
        <f t="shared" ca="1" si="45"/>
        <v>초급</v>
      </c>
      <c r="AE227" s="15" t="str">
        <f t="shared" si="34"/>
        <v>미해당</v>
      </c>
      <c r="AF227" s="11"/>
      <c r="AG227" s="16"/>
      <c r="AH227" s="11"/>
      <c r="AI227" s="16"/>
      <c r="AJ227" s="11"/>
      <c r="AK227" s="11"/>
      <c r="AL227" s="19"/>
      <c r="AM227" s="11"/>
      <c r="AN227" s="20"/>
      <c r="AO227" s="21"/>
      <c r="AP227" s="21"/>
      <c r="AQ227" s="22" t="s">
        <v>2271</v>
      </c>
      <c r="AR227" s="23" t="s">
        <v>2272</v>
      </c>
      <c r="AS227" s="14" t="s">
        <v>2117</v>
      </c>
      <c r="AT227" s="14" t="s">
        <v>2483</v>
      </c>
      <c r="AU227" s="24"/>
      <c r="AV227" s="24"/>
      <c r="AW227" s="25" t="s">
        <v>2484</v>
      </c>
      <c r="AX227" s="24" t="s">
        <v>2312</v>
      </c>
      <c r="AY227" s="24" t="s">
        <v>2485</v>
      </c>
      <c r="AZ227" s="17" t="s">
        <v>2486</v>
      </c>
      <c r="BA227" s="17" t="s">
        <v>2487</v>
      </c>
      <c r="BB227" s="26" t="s">
        <v>2450</v>
      </c>
      <c r="BC227" s="23" t="s">
        <v>2488</v>
      </c>
    </row>
    <row r="228" spans="1:55" ht="15" customHeight="1" x14ac:dyDescent="0.3">
      <c r="A228" s="10">
        <f t="shared" si="48"/>
        <v>226</v>
      </c>
      <c r="B228" s="11">
        <v>260205</v>
      </c>
      <c r="C228" s="32" t="s">
        <v>2489</v>
      </c>
      <c r="D228" s="12">
        <v>46062</v>
      </c>
      <c r="E228" s="12">
        <f t="shared" si="43"/>
        <v>46062</v>
      </c>
      <c r="F228" s="12"/>
      <c r="G228" s="13"/>
      <c r="H228" s="14" t="s">
        <v>2490</v>
      </c>
      <c r="I228" s="11" t="s">
        <v>2491</v>
      </c>
      <c r="J228" s="15" t="str">
        <f t="shared" ref="J228:J248" si="49">LEFT(I228,6)</f>
        <v>030927</v>
      </c>
      <c r="K228" s="15" t="str">
        <f t="shared" ref="K228:K248" si="50">MID($I228,3,2)</f>
        <v>09</v>
      </c>
      <c r="L228" s="15" t="str">
        <f t="shared" ref="L228:L248" si="51">IF(OR(MID($I228,8,1)="1",MID($I228,8,1)="3"),"남자",IF(OR(MID($I228,8,1)="2",MID($I228,8,1)="4"),"여자",""))</f>
        <v>여자</v>
      </c>
      <c r="M228" s="15">
        <f t="shared" ref="M228:M248" ca="1" si="52">YEAR(TODAY())-IF(OR(MID($I228,8,1)="1",MID($I228,8,1)="2"),19&amp;LEFT($I228,2),IF(OR(MID($I228,8,1)="3",MID($I228,8,1)="4"),20&amp;LEFT($I228,2),""))+1</f>
        <v>24</v>
      </c>
      <c r="N228" s="15" t="s">
        <v>2266</v>
      </c>
      <c r="O228" s="15" t="s">
        <v>2267</v>
      </c>
      <c r="P228" s="11" t="s">
        <v>2492</v>
      </c>
      <c r="Q228" s="11"/>
      <c r="R228" s="11"/>
      <c r="S228" s="16"/>
      <c r="T228" s="15" t="s">
        <v>2281</v>
      </c>
      <c r="U228" s="11"/>
      <c r="V228" s="15" t="str">
        <f t="shared" ca="1" si="46"/>
        <v>0년0개월</v>
      </c>
      <c r="W228" s="15" t="s">
        <v>428</v>
      </c>
      <c r="X228" s="18" t="str">
        <f t="shared" ca="1" si="35"/>
        <v>0년0개월</v>
      </c>
      <c r="Y228" s="17" t="s">
        <v>2442</v>
      </c>
      <c r="Z228" s="17" t="s">
        <v>2443</v>
      </c>
      <c r="AA228" s="14" t="s">
        <v>2444</v>
      </c>
      <c r="AB228" s="16">
        <v>46053</v>
      </c>
      <c r="AC228" s="18">
        <f t="shared" ca="1" si="40"/>
        <v>0</v>
      </c>
      <c r="AD228" s="15" t="b">
        <f t="shared" si="45"/>
        <v>0</v>
      </c>
      <c r="AE228" s="15" t="str">
        <f t="shared" si="34"/>
        <v>미해당</v>
      </c>
      <c r="AF228" s="11"/>
      <c r="AG228" s="16"/>
      <c r="AH228" s="11"/>
      <c r="AI228" s="16"/>
      <c r="AJ228" s="11"/>
      <c r="AK228" s="11"/>
      <c r="AL228" s="19"/>
      <c r="AM228" s="11"/>
      <c r="AN228" s="20"/>
      <c r="AO228" s="21"/>
      <c r="AP228" s="21"/>
      <c r="AQ228" s="22" t="s">
        <v>2271</v>
      </c>
      <c r="AR228" s="23" t="s">
        <v>2272</v>
      </c>
      <c r="AS228" s="14" t="s">
        <v>2493</v>
      </c>
      <c r="AT228" s="14" t="s">
        <v>2494</v>
      </c>
      <c r="AU228" s="24"/>
      <c r="AV228" s="24"/>
      <c r="AW228" s="25" t="s">
        <v>2495</v>
      </c>
      <c r="AX228" s="24" t="s">
        <v>2312</v>
      </c>
      <c r="AY228" s="24" t="s">
        <v>2496</v>
      </c>
      <c r="AZ228" s="17" t="s">
        <v>2497</v>
      </c>
      <c r="BA228" s="17" t="s">
        <v>2498</v>
      </c>
      <c r="BB228" s="26" t="s">
        <v>2450</v>
      </c>
      <c r="BC228" s="23" t="str">
        <f t="shared" ref="BC228:BC235" si="53">(IF(AX228="","",AX228&amp;" "))&amp;(IF(AY228="","",AY228&amp;" "))&amp;(IF(AZ228="","",AZ228&amp;" "))&amp;BA228</f>
        <v>경기도 파주시 조리읍 능안로 37 109동 1106호</v>
      </c>
    </row>
    <row r="229" spans="1:55" ht="15" customHeight="1" x14ac:dyDescent="0.3">
      <c r="A229" s="10">
        <f t="shared" si="48"/>
        <v>227</v>
      </c>
      <c r="B229" s="11">
        <v>8250101</v>
      </c>
      <c r="C229" s="11" t="s">
        <v>2499</v>
      </c>
      <c r="D229" s="12">
        <v>46024</v>
      </c>
      <c r="E229" s="12">
        <f t="shared" si="43"/>
        <v>46024</v>
      </c>
      <c r="F229" s="12"/>
      <c r="G229" s="13"/>
      <c r="H229" s="14" t="s">
        <v>2500</v>
      </c>
      <c r="I229" s="11" t="s">
        <v>2501</v>
      </c>
      <c r="J229" s="15" t="str">
        <f t="shared" si="49"/>
        <v>030301</v>
      </c>
      <c r="K229" s="15" t="str">
        <f t="shared" si="50"/>
        <v>03</v>
      </c>
      <c r="L229" s="15" t="str">
        <f t="shared" si="51"/>
        <v>여자</v>
      </c>
      <c r="M229" s="15">
        <f t="shared" ca="1" si="52"/>
        <v>24</v>
      </c>
      <c r="N229" s="15" t="s">
        <v>111</v>
      </c>
      <c r="O229" s="15" t="s">
        <v>112</v>
      </c>
      <c r="P229" s="11" t="s">
        <v>2502</v>
      </c>
      <c r="Q229" s="11"/>
      <c r="R229" s="11"/>
      <c r="S229" s="16"/>
      <c r="T229" s="15" t="s">
        <v>114</v>
      </c>
      <c r="U229" s="11"/>
      <c r="V229" s="15" t="str">
        <f t="shared" ca="1" si="46"/>
        <v>0년1개월</v>
      </c>
      <c r="W229" s="15" t="s">
        <v>428</v>
      </c>
      <c r="X229" s="18" t="str">
        <f t="shared" ca="1" si="35"/>
        <v>0년1개월</v>
      </c>
      <c r="Y229" s="17" t="s">
        <v>2503</v>
      </c>
      <c r="Z229" s="17"/>
      <c r="AA229" s="14" t="s">
        <v>171</v>
      </c>
      <c r="AB229" s="16" t="s">
        <v>1533</v>
      </c>
      <c r="AC229" s="18">
        <f t="shared" ca="1" si="40"/>
        <v>0</v>
      </c>
      <c r="AD229" s="15" t="str">
        <f ca="1">IF($AA229="학사",IF($AC229&lt;=5,"초급",IF($AC229&lt;9,"중급",IF($AC229&lt;12,"고급",IF($AC229&gt;=12,"특급")))))</f>
        <v>초급</v>
      </c>
      <c r="AE229" s="15" t="str">
        <f t="shared" si="34"/>
        <v>미해당</v>
      </c>
      <c r="AF229" s="11"/>
      <c r="AG229" s="16"/>
      <c r="AH229" s="11"/>
      <c r="AI229" s="16"/>
      <c r="AJ229" s="11"/>
      <c r="AK229" s="11"/>
      <c r="AL229" s="19"/>
      <c r="AM229" s="11"/>
      <c r="AN229" s="20"/>
      <c r="AO229" s="21"/>
      <c r="AP229" s="21"/>
      <c r="AQ229" s="22" t="s">
        <v>154</v>
      </c>
      <c r="AR229" s="23" t="s">
        <v>155</v>
      </c>
      <c r="AS229" s="14" t="s">
        <v>2504</v>
      </c>
      <c r="AT229" s="14" t="s">
        <v>2505</v>
      </c>
      <c r="AU229" s="24" t="s">
        <v>157</v>
      </c>
      <c r="AV229" s="24" t="s">
        <v>2502</v>
      </c>
      <c r="AW229" s="25" t="s">
        <v>2506</v>
      </c>
      <c r="AX229" s="24" t="s">
        <v>141</v>
      </c>
      <c r="AY229" s="24" t="s">
        <v>224</v>
      </c>
      <c r="AZ229" s="17" t="s">
        <v>1494</v>
      </c>
      <c r="BA229" s="17" t="s">
        <v>2507</v>
      </c>
      <c r="BB229" s="26" t="str">
        <f>IFERROR(VLOOKUP($AY229,[1]프로젝트현황!Y:Z,2,0),"기타")</f>
        <v>동남권</v>
      </c>
      <c r="BC229" s="23" t="str">
        <f t="shared" si="53"/>
        <v>경기도 성남시 수정구 수정로58, 303호(수진동,세일띠아모아파트)</v>
      </c>
    </row>
    <row r="230" spans="1:55" ht="15" customHeight="1" x14ac:dyDescent="0.3">
      <c r="A230" s="10">
        <f t="shared" si="48"/>
        <v>228</v>
      </c>
      <c r="B230" s="11">
        <v>8250801</v>
      </c>
      <c r="C230" s="11" t="s">
        <v>2509</v>
      </c>
      <c r="D230" s="12">
        <v>45870</v>
      </c>
      <c r="E230" s="12"/>
      <c r="F230" s="12"/>
      <c r="G230" s="13">
        <v>46234</v>
      </c>
      <c r="H230" s="14" t="s">
        <v>2510</v>
      </c>
      <c r="I230" s="11" t="s">
        <v>2511</v>
      </c>
      <c r="J230" s="15" t="str">
        <f t="shared" si="49"/>
        <v>680705</v>
      </c>
      <c r="K230" s="15" t="str">
        <f t="shared" si="50"/>
        <v>07</v>
      </c>
      <c r="L230" s="15" t="str">
        <f t="shared" si="51"/>
        <v>여자</v>
      </c>
      <c r="M230" s="15">
        <f t="shared" ca="1" si="52"/>
        <v>59</v>
      </c>
      <c r="N230" s="15" t="s">
        <v>111</v>
      </c>
      <c r="O230" s="15" t="s">
        <v>112</v>
      </c>
      <c r="P230" s="11" t="s">
        <v>2512</v>
      </c>
      <c r="Q230" s="11"/>
      <c r="R230" s="11"/>
      <c r="S230" s="16"/>
      <c r="T230" s="15" t="s">
        <v>114</v>
      </c>
      <c r="U230" s="11"/>
      <c r="V230" s="15" t="str">
        <f t="shared" ca="1" si="46"/>
        <v>26년11개월</v>
      </c>
      <c r="W230" s="15" t="s">
        <v>2513</v>
      </c>
      <c r="X230" s="18" t="str">
        <f t="shared" ca="1" si="35"/>
        <v>0년6개월</v>
      </c>
      <c r="Y230" s="17" t="s">
        <v>2514</v>
      </c>
      <c r="Z230" s="17" t="s">
        <v>471</v>
      </c>
      <c r="AA230" s="14" t="s">
        <v>171</v>
      </c>
      <c r="AB230" s="16">
        <v>33291</v>
      </c>
      <c r="AC230" s="18">
        <f t="shared" ca="1" si="40"/>
        <v>26</v>
      </c>
      <c r="AD230" s="15" t="str">
        <f ca="1">IF($AA230="학사",IF($AC230&lt;=5,"초급",IF($AC230&lt;9,"중급",IF($AC230&lt;12,"고급",IF($AC230&gt;=12,"특급")))))</f>
        <v>특급</v>
      </c>
      <c r="AE230" s="15" t="str">
        <f t="shared" si="34"/>
        <v>미해당</v>
      </c>
      <c r="AF230" s="11" t="s">
        <v>85</v>
      </c>
      <c r="AG230" s="16">
        <v>45787</v>
      </c>
      <c r="AH230" s="11"/>
      <c r="AI230" s="16"/>
      <c r="AJ230" s="11"/>
      <c r="AK230" s="11"/>
      <c r="AL230" s="19"/>
      <c r="AM230" s="11"/>
      <c r="AN230" s="20"/>
      <c r="AO230" s="21"/>
      <c r="AP230" s="21"/>
      <c r="AQ230" s="22" t="s">
        <v>154</v>
      </c>
      <c r="AR230" s="23" t="s">
        <v>155</v>
      </c>
      <c r="AS230" s="14" t="s">
        <v>137</v>
      </c>
      <c r="AT230" s="14" t="s">
        <v>2515</v>
      </c>
      <c r="AU230" s="24"/>
      <c r="AV230" s="24"/>
      <c r="AW230" s="25" t="s">
        <v>2516</v>
      </c>
      <c r="AX230" s="24" t="s">
        <v>1585</v>
      </c>
      <c r="AY230" s="24" t="s">
        <v>264</v>
      </c>
      <c r="AZ230" s="17"/>
      <c r="BA230" s="17" t="s">
        <v>2517</v>
      </c>
      <c r="BB230" s="26" t="str">
        <f>IFERROR(VLOOKUP($AY230,[1]프로젝트현황!Y:Z,2,0),"기타")</f>
        <v>서남권</v>
      </c>
      <c r="BC230" s="23" t="str">
        <f t="shared" si="53"/>
        <v>서울특별시 관악구 서원10길 8, 가동 205호 (신림동, 황해연립)</v>
      </c>
    </row>
    <row r="231" spans="1:55" ht="15" customHeight="1" x14ac:dyDescent="0.3">
      <c r="A231" s="10">
        <f t="shared" si="48"/>
        <v>229</v>
      </c>
      <c r="B231" s="11">
        <v>8250901</v>
      </c>
      <c r="C231" s="11" t="s">
        <v>2518</v>
      </c>
      <c r="D231" s="12">
        <v>46024</v>
      </c>
      <c r="E231" s="12">
        <f>+D231</f>
        <v>46024</v>
      </c>
      <c r="F231" s="12"/>
      <c r="G231" s="13"/>
      <c r="H231" s="14" t="s">
        <v>2519</v>
      </c>
      <c r="I231" s="11" t="s">
        <v>2520</v>
      </c>
      <c r="J231" s="15" t="str">
        <f t="shared" si="49"/>
        <v>930929</v>
      </c>
      <c r="K231" s="15" t="str">
        <f t="shared" si="50"/>
        <v>09</v>
      </c>
      <c r="L231" s="15" t="str">
        <f t="shared" si="51"/>
        <v>남자</v>
      </c>
      <c r="M231" s="15">
        <f t="shared" ca="1" si="52"/>
        <v>34</v>
      </c>
      <c r="N231" s="15" t="s">
        <v>111</v>
      </c>
      <c r="O231" s="15" t="s">
        <v>112</v>
      </c>
      <c r="P231" s="11" t="s">
        <v>2521</v>
      </c>
      <c r="Q231" s="11"/>
      <c r="R231" s="11"/>
      <c r="S231" s="16"/>
      <c r="T231" s="15" t="s">
        <v>114</v>
      </c>
      <c r="U231" s="11"/>
      <c r="V231" s="15" t="str">
        <f t="shared" ca="1" si="46"/>
        <v>1년8개월</v>
      </c>
      <c r="W231" s="15" t="s">
        <v>2522</v>
      </c>
      <c r="X231" s="18" t="str">
        <f t="shared" ca="1" si="35"/>
        <v>0년1개월</v>
      </c>
      <c r="Y231" s="17" t="s">
        <v>2523</v>
      </c>
      <c r="Z231" s="17" t="s">
        <v>2524</v>
      </c>
      <c r="AA231" s="14" t="s">
        <v>2444</v>
      </c>
      <c r="AB231" s="16">
        <v>42786</v>
      </c>
      <c r="AC231" s="18">
        <f t="shared" ca="1" si="40"/>
        <v>1</v>
      </c>
      <c r="AD231" s="15" t="str">
        <f ca="1">IF($AA231="전문학사",IF($AC231&lt;=8,"초급",IF($AC231&lt;12,"중급",IF($AC231&lt;15,"고급",IF($AC231&gt;=15,"특급")))))</f>
        <v>초급</v>
      </c>
      <c r="AE231" s="15" t="str">
        <f t="shared" si="34"/>
        <v>미해당</v>
      </c>
      <c r="AF231" s="11"/>
      <c r="AG231" s="16"/>
      <c r="AH231" s="11"/>
      <c r="AI231" s="16"/>
      <c r="AJ231" s="11"/>
      <c r="AK231" s="11"/>
      <c r="AL231" s="19"/>
      <c r="AM231" s="11"/>
      <c r="AN231" s="20"/>
      <c r="AO231" s="21"/>
      <c r="AP231" s="21"/>
      <c r="AQ231" s="22" t="s">
        <v>2525</v>
      </c>
      <c r="AR231" s="23" t="s">
        <v>2525</v>
      </c>
      <c r="AS231" s="14" t="s">
        <v>2273</v>
      </c>
      <c r="AT231" s="14" t="s">
        <v>2526</v>
      </c>
      <c r="AU231" s="24" t="s">
        <v>2527</v>
      </c>
      <c r="AV231" s="24" t="s">
        <v>2528</v>
      </c>
      <c r="AW231" s="25" t="s">
        <v>2529</v>
      </c>
      <c r="AX231" s="24" t="s">
        <v>141</v>
      </c>
      <c r="AY231" s="24" t="s">
        <v>2530</v>
      </c>
      <c r="AZ231" s="17"/>
      <c r="BA231" s="17" t="s">
        <v>2531</v>
      </c>
      <c r="BB231" s="26" t="str">
        <f>IFERROR(VLOOKUP($AY231,[1]프로젝트현황!Y:Z,2,0),"기타")</f>
        <v>서남권</v>
      </c>
      <c r="BC231" s="23" t="str">
        <f t="shared" si="53"/>
        <v>경기도 의왕시 내손순환로7, 304동 1201호(내손동,래미안 에버하임아파트)</v>
      </c>
    </row>
    <row r="232" spans="1:55" ht="15" customHeight="1" x14ac:dyDescent="0.3">
      <c r="A232" s="10">
        <f t="shared" si="48"/>
        <v>230</v>
      </c>
      <c r="B232" s="11">
        <v>8251102</v>
      </c>
      <c r="C232" s="32" t="s">
        <v>2532</v>
      </c>
      <c r="D232" s="12">
        <v>45964</v>
      </c>
      <c r="E232" s="12"/>
      <c r="F232" s="12"/>
      <c r="G232" s="13">
        <v>46693</v>
      </c>
      <c r="H232" s="14" t="s">
        <v>2533</v>
      </c>
      <c r="I232" s="11" t="s">
        <v>2534</v>
      </c>
      <c r="J232" s="15" t="str">
        <f t="shared" si="49"/>
        <v>680414</v>
      </c>
      <c r="K232" s="15" t="str">
        <f t="shared" si="50"/>
        <v>04</v>
      </c>
      <c r="L232" s="15" t="str">
        <f t="shared" si="51"/>
        <v>남자</v>
      </c>
      <c r="M232" s="15">
        <f t="shared" ca="1" si="52"/>
        <v>59</v>
      </c>
      <c r="N232" s="15" t="s">
        <v>111</v>
      </c>
      <c r="O232" s="15" t="s">
        <v>112</v>
      </c>
      <c r="P232" s="11" t="s">
        <v>2535</v>
      </c>
      <c r="Q232" s="11"/>
      <c r="R232" s="11"/>
      <c r="S232" s="16"/>
      <c r="T232" s="15" t="s">
        <v>114</v>
      </c>
      <c r="U232" s="11"/>
      <c r="V232" s="15" t="e">
        <f t="shared" si="46"/>
        <v>#VALUE!</v>
      </c>
      <c r="W232" s="15"/>
      <c r="X232" s="18" t="str">
        <f t="shared" ca="1" si="35"/>
        <v>0년3개월</v>
      </c>
      <c r="Y232" s="17"/>
      <c r="Z232" s="17"/>
      <c r="AA232" s="14"/>
      <c r="AB232" s="16"/>
      <c r="AC232" s="18" t="e">
        <f t="shared" si="40"/>
        <v>#VALUE!</v>
      </c>
      <c r="AD232" s="15" t="b">
        <f>IF($AA232="전문학사",IF($AC232&lt;=8,"초급",IF($AC232&lt;12,"중급",IF($AC232&lt;15,"고급",IF($AC232&gt;=15,"특급")))))</f>
        <v>0</v>
      </c>
      <c r="AE232" s="15" t="str">
        <f t="shared" si="34"/>
        <v>미해당</v>
      </c>
      <c r="AF232" s="11"/>
      <c r="AG232" s="16"/>
      <c r="AH232" s="11"/>
      <c r="AI232" s="16"/>
      <c r="AJ232" s="11"/>
      <c r="AK232" s="11"/>
      <c r="AL232" s="19"/>
      <c r="AM232" s="11"/>
      <c r="AN232" s="20"/>
      <c r="AO232" s="21"/>
      <c r="AP232" s="21"/>
      <c r="AQ232" s="22" t="s">
        <v>2536</v>
      </c>
      <c r="AR232" s="23" t="s">
        <v>2536</v>
      </c>
      <c r="AS232" s="14" t="s">
        <v>137</v>
      </c>
      <c r="AT232" s="14" t="s">
        <v>2537</v>
      </c>
      <c r="AU232" s="24"/>
      <c r="AV232" s="24"/>
      <c r="AW232" s="29" t="s">
        <v>2538</v>
      </c>
      <c r="AX232" s="24" t="s">
        <v>141</v>
      </c>
      <c r="AY232" s="24" t="s">
        <v>142</v>
      </c>
      <c r="AZ232" s="17" t="s">
        <v>1554</v>
      </c>
      <c r="BA232" s="17" t="s">
        <v>2539</v>
      </c>
      <c r="BB232" s="26" t="str">
        <f>IFERROR(VLOOKUP($AY232,[1]프로젝트현황!Y:Z,2,0),"기타")</f>
        <v>서북권</v>
      </c>
      <c r="BC232" s="23" t="str">
        <f t="shared" si="53"/>
        <v>경기도 고양시 일산서구 주엽로 98, 1707동 2001호</v>
      </c>
    </row>
    <row r="233" spans="1:55" ht="15" customHeight="1" x14ac:dyDescent="0.3">
      <c r="A233" s="10">
        <f t="shared" si="48"/>
        <v>231</v>
      </c>
      <c r="B233" s="11">
        <v>8260117</v>
      </c>
      <c r="C233" s="11" t="s">
        <v>2540</v>
      </c>
      <c r="D233" s="12">
        <v>46036</v>
      </c>
      <c r="E233" s="12">
        <f>+D233</f>
        <v>46036</v>
      </c>
      <c r="F233" s="12"/>
      <c r="G233" s="13">
        <v>46066</v>
      </c>
      <c r="H233" s="14" t="s">
        <v>2541</v>
      </c>
      <c r="I233" s="11" t="s">
        <v>2542</v>
      </c>
      <c r="J233" s="15" t="str">
        <f t="shared" si="49"/>
        <v>801215</v>
      </c>
      <c r="K233" s="15" t="str">
        <f t="shared" si="50"/>
        <v>12</v>
      </c>
      <c r="L233" s="15" t="str">
        <f t="shared" si="51"/>
        <v>여자</v>
      </c>
      <c r="M233" s="15">
        <f t="shared" ca="1" si="52"/>
        <v>47</v>
      </c>
      <c r="N233" s="15" t="s">
        <v>111</v>
      </c>
      <c r="O233" s="15" t="s">
        <v>112</v>
      </c>
      <c r="P233" s="11" t="s">
        <v>2543</v>
      </c>
      <c r="Q233" s="11"/>
      <c r="R233" s="11"/>
      <c r="S233" s="16"/>
      <c r="T233" s="15" t="s">
        <v>2281</v>
      </c>
      <c r="U233" s="11"/>
      <c r="V233" s="15" t="e">
        <f t="shared" si="46"/>
        <v>#VALUE!</v>
      </c>
      <c r="W233" s="15"/>
      <c r="X233" s="18" t="str">
        <f t="shared" ca="1" si="35"/>
        <v>0년0개월</v>
      </c>
      <c r="Y233" s="17" t="s">
        <v>2544</v>
      </c>
      <c r="Z233" s="17" t="s">
        <v>2545</v>
      </c>
      <c r="AA233" s="14" t="s">
        <v>2165</v>
      </c>
      <c r="AB233" s="16">
        <v>38636</v>
      </c>
      <c r="AC233" s="18" t="e">
        <f t="shared" si="40"/>
        <v>#VALUE!</v>
      </c>
      <c r="AD233" s="15" t="e">
        <f>IF($AA233="학사",IF($AC233&lt;=5,"초급",IF($AC233&lt;9,"중급",IF($AC233&lt;12,"고급",IF($AC233&gt;=12,"특급")))))</f>
        <v>#VALUE!</v>
      </c>
      <c r="AE233" s="15" t="str">
        <f t="shared" si="34"/>
        <v>미해당</v>
      </c>
      <c r="AF233" s="11"/>
      <c r="AG233" s="16"/>
      <c r="AH233" s="11"/>
      <c r="AI233" s="16"/>
      <c r="AJ233" s="11"/>
      <c r="AK233" s="11"/>
      <c r="AL233" s="19"/>
      <c r="AM233" s="11"/>
      <c r="AN233" s="20"/>
      <c r="AO233" s="21"/>
      <c r="AP233" s="21"/>
      <c r="AQ233" s="22" t="s">
        <v>2271</v>
      </c>
      <c r="AR233" s="23" t="s">
        <v>2272</v>
      </c>
      <c r="AS233" s="14" t="s">
        <v>2117</v>
      </c>
      <c r="AT233" s="14" t="s">
        <v>2546</v>
      </c>
      <c r="AU233" s="24"/>
      <c r="AV233" s="24"/>
      <c r="AW233" s="29" t="s">
        <v>2547</v>
      </c>
      <c r="AX233" s="24" t="s">
        <v>2469</v>
      </c>
      <c r="AY233" s="24" t="s">
        <v>2548</v>
      </c>
      <c r="AZ233" s="17" t="s">
        <v>2549</v>
      </c>
      <c r="BA233" s="17" t="s">
        <v>2550</v>
      </c>
      <c r="BB233" s="26" t="str">
        <f>IFERROR(VLOOKUP($AY233,[1]프로젝트현황!Y:Z,2,0),"기타")</f>
        <v>동남권</v>
      </c>
      <c r="BC233" s="23" t="str">
        <f t="shared" si="53"/>
        <v>서울시 서초구 효령로72길 57 A-2003호</v>
      </c>
    </row>
    <row r="234" spans="1:55" ht="15" customHeight="1" x14ac:dyDescent="0.3">
      <c r="A234" s="10">
        <f t="shared" si="48"/>
        <v>232</v>
      </c>
      <c r="B234" s="11">
        <v>8260118</v>
      </c>
      <c r="C234" s="11" t="s">
        <v>2551</v>
      </c>
      <c r="D234" s="12">
        <v>46041</v>
      </c>
      <c r="E234" s="12">
        <f>+D234</f>
        <v>46041</v>
      </c>
      <c r="F234" s="12"/>
      <c r="G234" s="13">
        <v>46173</v>
      </c>
      <c r="H234" s="14" t="s">
        <v>2552</v>
      </c>
      <c r="I234" s="11" t="s">
        <v>2553</v>
      </c>
      <c r="J234" s="15" t="str">
        <f t="shared" si="49"/>
        <v>730620</v>
      </c>
      <c r="K234" s="15" t="str">
        <f t="shared" si="50"/>
        <v>06</v>
      </c>
      <c r="L234" s="15" t="str">
        <f t="shared" si="51"/>
        <v>여자</v>
      </c>
      <c r="M234" s="15">
        <f t="shared" ca="1" si="52"/>
        <v>54</v>
      </c>
      <c r="N234" s="15" t="s">
        <v>111</v>
      </c>
      <c r="O234" s="15" t="s">
        <v>112</v>
      </c>
      <c r="P234" s="11" t="s">
        <v>2554</v>
      </c>
      <c r="Q234" s="11"/>
      <c r="R234" s="11"/>
      <c r="S234" s="16"/>
      <c r="T234" s="15" t="s">
        <v>114</v>
      </c>
      <c r="U234" s="11"/>
      <c r="V234" s="15" t="e">
        <f t="shared" si="46"/>
        <v>#VALUE!</v>
      </c>
      <c r="W234" s="15"/>
      <c r="X234" s="18" t="str">
        <f t="shared" ca="1" si="35"/>
        <v>0년0개월</v>
      </c>
      <c r="Y234" s="17" t="s">
        <v>2555</v>
      </c>
      <c r="Z234" s="17" t="s">
        <v>2556</v>
      </c>
      <c r="AA234" s="14" t="s">
        <v>2165</v>
      </c>
      <c r="AB234" s="16">
        <v>35483</v>
      </c>
      <c r="AC234" s="18" t="e">
        <f t="shared" si="40"/>
        <v>#VALUE!</v>
      </c>
      <c r="AD234" s="15" t="e">
        <f>IF($AA234="학사",IF($AC234&lt;=5,"초급",IF($AC234&lt;9,"중급",IF($AC234&lt;12,"고급",IF($AC234&gt;=12,"특급")))))</f>
        <v>#VALUE!</v>
      </c>
      <c r="AE234" s="15" t="str">
        <f t="shared" si="34"/>
        <v>미해당</v>
      </c>
      <c r="AF234" s="11"/>
      <c r="AG234" s="16"/>
      <c r="AH234" s="11"/>
      <c r="AI234" s="16"/>
      <c r="AJ234" s="11"/>
      <c r="AK234" s="11"/>
      <c r="AL234" s="19"/>
      <c r="AM234" s="11"/>
      <c r="AN234" s="20"/>
      <c r="AO234" s="21"/>
      <c r="AP234" s="21"/>
      <c r="AQ234" s="22" t="s">
        <v>2271</v>
      </c>
      <c r="AR234" s="23" t="s">
        <v>2272</v>
      </c>
      <c r="AS234" s="14" t="s">
        <v>2117</v>
      </c>
      <c r="AT234" s="14" t="s">
        <v>2557</v>
      </c>
      <c r="AU234" s="24"/>
      <c r="AV234" s="24"/>
      <c r="AW234" s="25" t="s">
        <v>2558</v>
      </c>
      <c r="AX234" s="24" t="s">
        <v>1585</v>
      </c>
      <c r="AY234" s="24" t="s">
        <v>665</v>
      </c>
      <c r="AZ234" s="17" t="s">
        <v>2559</v>
      </c>
      <c r="BA234" s="17" t="s">
        <v>2560</v>
      </c>
      <c r="BB234" s="26" t="s">
        <v>2561</v>
      </c>
      <c r="BC234" s="23" t="str">
        <f t="shared" si="53"/>
        <v>서울특별시 마포구 서강로 95 101동 903호</v>
      </c>
    </row>
    <row r="235" spans="1:55" ht="15" customHeight="1" x14ac:dyDescent="0.3">
      <c r="A235" s="10">
        <f t="shared" si="48"/>
        <v>233</v>
      </c>
      <c r="B235" s="11">
        <v>8260119</v>
      </c>
      <c r="C235" s="11" t="s">
        <v>2562</v>
      </c>
      <c r="D235" s="12">
        <v>46041</v>
      </c>
      <c r="E235" s="12">
        <f>+D235</f>
        <v>46041</v>
      </c>
      <c r="F235" s="12"/>
      <c r="G235" s="13">
        <v>46173</v>
      </c>
      <c r="H235" s="14" t="s">
        <v>2563</v>
      </c>
      <c r="I235" s="11" t="s">
        <v>2564</v>
      </c>
      <c r="J235" s="15" t="str">
        <f t="shared" si="49"/>
        <v>701210</v>
      </c>
      <c r="K235" s="15" t="str">
        <f t="shared" si="50"/>
        <v>12</v>
      </c>
      <c r="L235" s="15" t="str">
        <f t="shared" si="51"/>
        <v>여자</v>
      </c>
      <c r="M235" s="15">
        <f t="shared" ca="1" si="52"/>
        <v>57</v>
      </c>
      <c r="N235" s="15" t="s">
        <v>111</v>
      </c>
      <c r="O235" s="15" t="s">
        <v>112</v>
      </c>
      <c r="P235" s="11" t="s">
        <v>2565</v>
      </c>
      <c r="Q235" s="11"/>
      <c r="R235" s="11"/>
      <c r="S235" s="16"/>
      <c r="T235" s="15" t="s">
        <v>114</v>
      </c>
      <c r="U235" s="11"/>
      <c r="V235" s="15" t="e">
        <f t="shared" si="46"/>
        <v>#VALUE!</v>
      </c>
      <c r="W235" s="15"/>
      <c r="X235" s="18" t="str">
        <f t="shared" ca="1" si="35"/>
        <v>0년0개월</v>
      </c>
      <c r="Y235" s="17" t="s">
        <v>2566</v>
      </c>
      <c r="Z235" s="17"/>
      <c r="AA235" s="14" t="s">
        <v>2567</v>
      </c>
      <c r="AB235" s="16">
        <v>32567</v>
      </c>
      <c r="AC235" s="18" t="e">
        <f t="shared" si="40"/>
        <v>#VALUE!</v>
      </c>
      <c r="AD235" s="15" t="b">
        <f>IF($AA235="학사",IF($AC235&lt;=5,"초급",IF($AC235&lt;9,"중급",IF($AC235&lt;12,"고급",IF($AC235&gt;=12,"특급")))))</f>
        <v>0</v>
      </c>
      <c r="AE235" s="15" t="str">
        <f t="shared" si="34"/>
        <v>미해당</v>
      </c>
      <c r="AF235" s="11"/>
      <c r="AG235" s="16"/>
      <c r="AH235" s="11"/>
      <c r="AI235" s="16"/>
      <c r="AJ235" s="11"/>
      <c r="AK235" s="11"/>
      <c r="AL235" s="19"/>
      <c r="AM235" s="11"/>
      <c r="AN235" s="20"/>
      <c r="AO235" s="21"/>
      <c r="AP235" s="21"/>
      <c r="AQ235" s="22" t="s">
        <v>2271</v>
      </c>
      <c r="AR235" s="23" t="s">
        <v>2272</v>
      </c>
      <c r="AS235" s="14" t="s">
        <v>137</v>
      </c>
      <c r="AT235" s="14" t="s">
        <v>2568</v>
      </c>
      <c r="AU235" s="24"/>
      <c r="AV235" s="24"/>
      <c r="AW235" s="25" t="s">
        <v>2569</v>
      </c>
      <c r="AX235" s="24" t="s">
        <v>1585</v>
      </c>
      <c r="AY235" s="24" t="s">
        <v>2570</v>
      </c>
      <c r="AZ235" s="17" t="s">
        <v>2571</v>
      </c>
      <c r="BA235" s="17" t="s">
        <v>2572</v>
      </c>
      <c r="BB235" s="26" t="s">
        <v>2573</v>
      </c>
      <c r="BC235" s="23" t="str">
        <f t="shared" si="53"/>
        <v>서울특별시 중랑구 겸재로49길 58 102호</v>
      </c>
    </row>
    <row r="236" spans="1:55" ht="15" customHeight="1" x14ac:dyDescent="0.3">
      <c r="A236" s="10">
        <f t="shared" si="48"/>
        <v>234</v>
      </c>
      <c r="B236" s="11">
        <v>8260204</v>
      </c>
      <c r="C236" s="11" t="s">
        <v>2574</v>
      </c>
      <c r="D236" s="12">
        <v>46055</v>
      </c>
      <c r="E236" s="12">
        <f>+D236</f>
        <v>46055</v>
      </c>
      <c r="F236" s="12"/>
      <c r="G236" s="13">
        <v>46173</v>
      </c>
      <c r="H236" s="14" t="s">
        <v>2575</v>
      </c>
      <c r="I236" s="11" t="s">
        <v>2576</v>
      </c>
      <c r="J236" s="15" t="str">
        <f t="shared" si="49"/>
        <v>801111</v>
      </c>
      <c r="K236" s="15" t="str">
        <f t="shared" si="50"/>
        <v>11</v>
      </c>
      <c r="L236" s="15" t="str">
        <f t="shared" si="51"/>
        <v>여자</v>
      </c>
      <c r="M236" s="15">
        <f t="shared" ca="1" si="52"/>
        <v>47</v>
      </c>
      <c r="N236" s="15" t="s">
        <v>2266</v>
      </c>
      <c r="O236" s="15" t="s">
        <v>2267</v>
      </c>
      <c r="P236" s="11" t="s">
        <v>2577</v>
      </c>
      <c r="Q236" s="11"/>
      <c r="R236" s="11"/>
      <c r="S236" s="16"/>
      <c r="T236" s="15" t="s">
        <v>2281</v>
      </c>
      <c r="U236" s="11"/>
      <c r="V236" s="15" t="e">
        <f t="shared" si="46"/>
        <v>#VALUE!</v>
      </c>
      <c r="W236" s="15"/>
      <c r="X236" s="18" t="str">
        <f t="shared" ca="1" si="35"/>
        <v>0년0개월</v>
      </c>
      <c r="Y236" s="17" t="s">
        <v>2578</v>
      </c>
      <c r="Z236" s="17" t="s">
        <v>2579</v>
      </c>
      <c r="AA236" s="14" t="s">
        <v>2444</v>
      </c>
      <c r="AB236" s="16">
        <v>36931</v>
      </c>
      <c r="AC236" s="18" t="e">
        <f t="shared" si="40"/>
        <v>#VALUE!</v>
      </c>
      <c r="AD236" s="15" t="b">
        <f>IF($AA236="학사",IF($AC236&lt;=5,"초급",IF($AC236&lt;9,"중급",IF($AC236&lt;12,"고급",IF($AC236&gt;=12,"특급")))))</f>
        <v>0</v>
      </c>
      <c r="AE236" s="15" t="str">
        <f t="shared" si="34"/>
        <v>미해당</v>
      </c>
      <c r="AF236" s="11"/>
      <c r="AG236" s="16"/>
      <c r="AH236" s="11"/>
      <c r="AI236" s="16"/>
      <c r="AJ236" s="11"/>
      <c r="AK236" s="11"/>
      <c r="AL236" s="19"/>
      <c r="AM236" s="11"/>
      <c r="AN236" s="20"/>
      <c r="AO236" s="21"/>
      <c r="AP236" s="21"/>
      <c r="AQ236" s="22" t="s">
        <v>2271</v>
      </c>
      <c r="AR236" s="23" t="s">
        <v>2272</v>
      </c>
      <c r="AS236" s="14" t="s">
        <v>2218</v>
      </c>
      <c r="AT236" s="14" t="s">
        <v>2580</v>
      </c>
      <c r="AU236" s="24"/>
      <c r="AV236" s="24"/>
      <c r="AW236" s="29" t="s">
        <v>2581</v>
      </c>
      <c r="AX236" s="24" t="s">
        <v>2312</v>
      </c>
      <c r="AY236" s="24" t="s">
        <v>2582</v>
      </c>
      <c r="AZ236" s="17" t="s">
        <v>2583</v>
      </c>
      <c r="BA236" s="17" t="s">
        <v>2584</v>
      </c>
      <c r="BB236" s="26" t="s">
        <v>2450</v>
      </c>
      <c r="BC236" s="23" t="s">
        <v>2585</v>
      </c>
    </row>
    <row r="237" spans="1:55" ht="15" customHeight="1" x14ac:dyDescent="0.3">
      <c r="A237" s="10">
        <f t="shared" si="48"/>
        <v>235</v>
      </c>
      <c r="B237" s="11">
        <v>9240904</v>
      </c>
      <c r="C237" s="11" t="s">
        <v>2586</v>
      </c>
      <c r="D237" s="12">
        <v>45901</v>
      </c>
      <c r="E237" s="12"/>
      <c r="F237" s="12"/>
      <c r="G237" s="13"/>
      <c r="H237" s="14" t="s">
        <v>2587</v>
      </c>
      <c r="I237" s="11" t="s">
        <v>2588</v>
      </c>
      <c r="J237" s="15" t="str">
        <f t="shared" si="49"/>
        <v>670324</v>
      </c>
      <c r="K237" s="15" t="str">
        <f t="shared" si="50"/>
        <v>03</v>
      </c>
      <c r="L237" s="15" t="str">
        <f t="shared" si="51"/>
        <v>남자</v>
      </c>
      <c r="M237" s="15">
        <f t="shared" ca="1" si="52"/>
        <v>60</v>
      </c>
      <c r="N237" s="15" t="s">
        <v>111</v>
      </c>
      <c r="O237" s="15" t="s">
        <v>112</v>
      </c>
      <c r="P237" s="11" t="s">
        <v>2589</v>
      </c>
      <c r="Q237" s="11"/>
      <c r="R237" s="11" t="s">
        <v>129</v>
      </c>
      <c r="S237" s="16"/>
      <c r="T237" s="15" t="s">
        <v>114</v>
      </c>
      <c r="U237" s="11"/>
      <c r="V237" s="15" t="str">
        <f t="shared" ca="1" si="46"/>
        <v>19년5개월</v>
      </c>
      <c r="W237" s="15" t="s">
        <v>2248</v>
      </c>
      <c r="X237" s="18" t="str">
        <f t="shared" ca="1" si="35"/>
        <v>0년5개월</v>
      </c>
      <c r="Y237" s="17" t="s">
        <v>2590</v>
      </c>
      <c r="Z237" s="17" t="s">
        <v>2591</v>
      </c>
      <c r="AA237" s="14" t="s">
        <v>171</v>
      </c>
      <c r="AB237" s="16">
        <v>34026</v>
      </c>
      <c r="AC237" s="18">
        <f t="shared" ca="1" si="40"/>
        <v>19</v>
      </c>
      <c r="AD237" s="15" t="str">
        <f ca="1">IF($AA237="학사",IF($AC237&lt;=5,"초급",IF($AC237&lt;9,"중급",IF($AC237&lt;12,"고급",IF($AC237&gt;=12,"특급")))))</f>
        <v>특급</v>
      </c>
      <c r="AE237" s="15" t="str">
        <f t="shared" si="34"/>
        <v>미해당</v>
      </c>
      <c r="AF237" s="11"/>
      <c r="AG237" s="16"/>
      <c r="AH237" s="11"/>
      <c r="AI237" s="16"/>
      <c r="AJ237" s="11"/>
      <c r="AK237" s="11"/>
      <c r="AL237" s="19"/>
      <c r="AM237" s="11"/>
      <c r="AN237" s="20"/>
      <c r="AO237" s="21"/>
      <c r="AP237" s="21"/>
      <c r="AQ237" s="22" t="s">
        <v>136</v>
      </c>
      <c r="AR237" s="23" t="s">
        <v>136</v>
      </c>
      <c r="AS237" s="14" t="s">
        <v>1042</v>
      </c>
      <c r="AT237" s="14" t="s">
        <v>2592</v>
      </c>
      <c r="AU237" s="24"/>
      <c r="AV237" s="24"/>
      <c r="AW237" s="25" t="s">
        <v>2593</v>
      </c>
      <c r="AX237" s="24" t="s">
        <v>122</v>
      </c>
      <c r="AY237" s="24" t="s">
        <v>1077</v>
      </c>
      <c r="AZ237" s="17"/>
      <c r="BA237" s="17" t="s">
        <v>2594</v>
      </c>
      <c r="BB237" s="26" t="str">
        <f>IFERROR(VLOOKUP($AY237,[1]프로젝트현황!Y:Z,2,0),"기타")</f>
        <v>동북권</v>
      </c>
      <c r="BC237" s="23" t="str">
        <f t="shared" ref="BC237:BC248" si="54">(IF(AX237="","",AX237&amp;" "))&amp;(IF(AY237="","",AY237&amp;" "))&amp;(IF(AZ237="","",AZ237&amp;" "))&amp;BA237</f>
        <v>서울시 노원구 화랑로47길 38, 105동 1104호</v>
      </c>
    </row>
    <row r="238" spans="1:55" ht="15" customHeight="1" x14ac:dyDescent="0.3">
      <c r="A238" s="10">
        <f t="shared" si="48"/>
        <v>236</v>
      </c>
      <c r="B238" s="11">
        <v>9250101</v>
      </c>
      <c r="C238" s="11" t="s">
        <v>2595</v>
      </c>
      <c r="D238" s="12">
        <v>45659</v>
      </c>
      <c r="E238" s="12"/>
      <c r="F238" s="12"/>
      <c r="G238" s="13"/>
      <c r="H238" s="14" t="s">
        <v>2596</v>
      </c>
      <c r="I238" s="11" t="s">
        <v>2597</v>
      </c>
      <c r="J238" s="15" t="str">
        <f t="shared" si="49"/>
        <v>750125</v>
      </c>
      <c r="K238" s="15" t="str">
        <f t="shared" si="50"/>
        <v>01</v>
      </c>
      <c r="L238" s="15" t="str">
        <f t="shared" si="51"/>
        <v>여자</v>
      </c>
      <c r="M238" s="15">
        <f t="shared" ca="1" si="52"/>
        <v>52</v>
      </c>
      <c r="N238" s="15" t="s">
        <v>111</v>
      </c>
      <c r="O238" s="15" t="s">
        <v>112</v>
      </c>
      <c r="P238" s="11" t="s">
        <v>2598</v>
      </c>
      <c r="Q238" s="11"/>
      <c r="R238" s="11"/>
      <c r="S238" s="16"/>
      <c r="T238" s="15" t="s">
        <v>114</v>
      </c>
      <c r="U238" s="11"/>
      <c r="V238" s="15" t="str">
        <f t="shared" ca="1" si="46"/>
        <v>14년11개월</v>
      </c>
      <c r="W238" s="15" t="s">
        <v>2599</v>
      </c>
      <c r="X238" s="18" t="str">
        <f t="shared" ca="1" si="35"/>
        <v>1년1개월</v>
      </c>
      <c r="Y238" s="17" t="s">
        <v>2600</v>
      </c>
      <c r="Z238" s="17" t="s">
        <v>2601</v>
      </c>
      <c r="AA238" s="14" t="s">
        <v>258</v>
      </c>
      <c r="AB238" s="16">
        <v>34013</v>
      </c>
      <c r="AC238" s="18">
        <f t="shared" ca="1" si="40"/>
        <v>14</v>
      </c>
      <c r="AD238" s="15" t="str">
        <f ca="1">IF($AA238="고졸",IF($AC238&lt;=11,"초급",IF($AC238&lt;=14,"중급",IF($AC238&lt;=17,"고급",IF($AC238&gt;=18,"특급")))))</f>
        <v>중급</v>
      </c>
      <c r="AE238" s="15" t="str">
        <f t="shared" si="34"/>
        <v>미해당</v>
      </c>
      <c r="AF238" s="11"/>
      <c r="AG238" s="16"/>
      <c r="AH238" s="11"/>
      <c r="AI238" s="16"/>
      <c r="AJ238" s="11"/>
      <c r="AK238" s="11"/>
      <c r="AL238" s="19"/>
      <c r="AM238" s="11"/>
      <c r="AN238" s="20"/>
      <c r="AO238" s="21"/>
      <c r="AP238" s="21"/>
      <c r="AQ238" s="22" t="s">
        <v>154</v>
      </c>
      <c r="AR238" s="23" t="s">
        <v>155</v>
      </c>
      <c r="AS238" s="14" t="s">
        <v>2602</v>
      </c>
      <c r="AT238" s="14" t="s">
        <v>2603</v>
      </c>
      <c r="AU238" s="24"/>
      <c r="AV238" s="24"/>
      <c r="AW238" s="25" t="s">
        <v>2604</v>
      </c>
      <c r="AX238" s="24" t="s">
        <v>1585</v>
      </c>
      <c r="AY238" s="24" t="s">
        <v>236</v>
      </c>
      <c r="AZ238" s="17" t="s">
        <v>2605</v>
      </c>
      <c r="BA238" s="17"/>
      <c r="BB238" s="26" t="str">
        <f>IFERROR(VLOOKUP($AY238,[1]프로젝트현황!Y:Z,2,0),"기타")</f>
        <v>서남권</v>
      </c>
      <c r="BC238" s="23" t="str">
        <f t="shared" si="54"/>
        <v xml:space="preserve">서울특별시 구로구 도림로3길 40, 302호 (구로동) </v>
      </c>
    </row>
    <row r="239" spans="1:55" ht="15" customHeight="1" x14ac:dyDescent="0.3">
      <c r="A239" s="10">
        <f t="shared" si="48"/>
        <v>237</v>
      </c>
      <c r="B239" s="11">
        <v>9250102</v>
      </c>
      <c r="C239" s="11" t="s">
        <v>2606</v>
      </c>
      <c r="D239" s="12">
        <v>45659</v>
      </c>
      <c r="E239" s="12"/>
      <c r="F239" s="12"/>
      <c r="G239" s="13"/>
      <c r="H239" s="14" t="s">
        <v>2607</v>
      </c>
      <c r="I239" s="11" t="s">
        <v>2608</v>
      </c>
      <c r="J239" s="15" t="str">
        <f t="shared" si="49"/>
        <v>760825</v>
      </c>
      <c r="K239" s="15" t="str">
        <f t="shared" si="50"/>
        <v>08</v>
      </c>
      <c r="L239" s="15" t="str">
        <f t="shared" si="51"/>
        <v>여자</v>
      </c>
      <c r="M239" s="15">
        <f t="shared" ca="1" si="52"/>
        <v>51</v>
      </c>
      <c r="N239" s="15" t="s">
        <v>111</v>
      </c>
      <c r="O239" s="15" t="s">
        <v>112</v>
      </c>
      <c r="P239" s="11" t="s">
        <v>2609</v>
      </c>
      <c r="Q239" s="11"/>
      <c r="R239" s="11"/>
      <c r="S239" s="16"/>
      <c r="T239" s="15" t="s">
        <v>114</v>
      </c>
      <c r="U239" s="11"/>
      <c r="V239" s="15" t="str">
        <f t="shared" ca="1" si="46"/>
        <v>10년1개월</v>
      </c>
      <c r="W239" s="15" t="s">
        <v>2610</v>
      </c>
      <c r="X239" s="18" t="str">
        <f t="shared" ca="1" si="35"/>
        <v>1년1개월</v>
      </c>
      <c r="Y239" s="17" t="s">
        <v>2611</v>
      </c>
      <c r="Z239" s="17" t="s">
        <v>2612</v>
      </c>
      <c r="AA239" s="14" t="s">
        <v>258</v>
      </c>
      <c r="AB239" s="16">
        <v>34740</v>
      </c>
      <c r="AC239" s="18">
        <f t="shared" ca="1" si="40"/>
        <v>10</v>
      </c>
      <c r="AD239" s="15" t="str">
        <f ca="1">IF($AA239="고졸",IF($AC239&lt;=11,"초급",IF($AC239&lt;=14,"중급",IF($AC239&lt;=17,"고급",IF($AC239&gt;=18,"특급")))))</f>
        <v>초급</v>
      </c>
      <c r="AE239" s="15" t="str">
        <f t="shared" si="34"/>
        <v>미해당</v>
      </c>
      <c r="AF239" s="11"/>
      <c r="AG239" s="16"/>
      <c r="AH239" s="11"/>
      <c r="AI239" s="16"/>
      <c r="AJ239" s="11"/>
      <c r="AK239" s="11"/>
      <c r="AL239" s="19"/>
      <c r="AM239" s="11"/>
      <c r="AN239" s="20"/>
      <c r="AO239" s="21"/>
      <c r="AP239" s="21"/>
      <c r="AQ239" s="22" t="s">
        <v>154</v>
      </c>
      <c r="AR239" s="23" t="s">
        <v>155</v>
      </c>
      <c r="AS239" s="14" t="s">
        <v>137</v>
      </c>
      <c r="AT239" s="14" t="s">
        <v>2613</v>
      </c>
      <c r="AU239" s="24"/>
      <c r="AV239" s="24"/>
      <c r="AW239" s="25" t="s">
        <v>2614</v>
      </c>
      <c r="AX239" s="24" t="s">
        <v>141</v>
      </c>
      <c r="AY239" s="24" t="s">
        <v>142</v>
      </c>
      <c r="AZ239" s="17" t="s">
        <v>1554</v>
      </c>
      <c r="BA239" s="17" t="s">
        <v>2615</v>
      </c>
      <c r="BB239" s="26" t="str">
        <f>IFERROR(VLOOKUP($AY239,[1]프로젝트현황!Y:Z,2,0),"기타")</f>
        <v>서북권</v>
      </c>
      <c r="BC239" s="23" t="str">
        <f t="shared" si="54"/>
        <v>경기도 고양시 일산서구 후곡로 35, 501동 1201호</v>
      </c>
    </row>
    <row r="240" spans="1:55" ht="15" customHeight="1" x14ac:dyDescent="0.3">
      <c r="A240" s="10">
        <f t="shared" si="48"/>
        <v>238</v>
      </c>
      <c r="B240" s="11">
        <v>9250103</v>
      </c>
      <c r="C240" s="11" t="s">
        <v>2616</v>
      </c>
      <c r="D240" s="12">
        <v>45659</v>
      </c>
      <c r="E240" s="12"/>
      <c r="F240" s="12"/>
      <c r="G240" s="13"/>
      <c r="H240" s="14" t="s">
        <v>2617</v>
      </c>
      <c r="I240" s="11" t="s">
        <v>2618</v>
      </c>
      <c r="J240" s="15" t="str">
        <f t="shared" si="49"/>
        <v>950409</v>
      </c>
      <c r="K240" s="15" t="str">
        <f t="shared" si="50"/>
        <v>04</v>
      </c>
      <c r="L240" s="15" t="str">
        <f t="shared" si="51"/>
        <v>남자</v>
      </c>
      <c r="M240" s="15">
        <f t="shared" ca="1" si="52"/>
        <v>32</v>
      </c>
      <c r="N240" s="15" t="s">
        <v>111</v>
      </c>
      <c r="O240" s="15" t="s">
        <v>112</v>
      </c>
      <c r="P240" s="11" t="s">
        <v>2619</v>
      </c>
      <c r="Q240" s="11"/>
      <c r="R240" s="11"/>
      <c r="S240" s="16"/>
      <c r="T240" s="15" t="s">
        <v>114</v>
      </c>
      <c r="U240" s="11"/>
      <c r="V240" s="15" t="str">
        <f t="shared" ca="1" si="46"/>
        <v>2년2개월</v>
      </c>
      <c r="W240" s="15" t="s">
        <v>1374</v>
      </c>
      <c r="X240" s="18" t="str">
        <f t="shared" ca="1" si="35"/>
        <v>1년1개월</v>
      </c>
      <c r="Y240" s="17" t="s">
        <v>2620</v>
      </c>
      <c r="Z240" s="17" t="s">
        <v>1910</v>
      </c>
      <c r="AA240" s="14" t="s">
        <v>258</v>
      </c>
      <c r="AB240" s="16">
        <v>41676</v>
      </c>
      <c r="AC240" s="18">
        <f t="shared" ca="1" si="40"/>
        <v>2</v>
      </c>
      <c r="AD240" s="15" t="str">
        <f ca="1">IF($AA240="고졸",IF($AC240&lt;=11,"초급",IF($AC240&lt;=14,"중급",IF($AC240&lt;=17,"고급",IF($AC240&gt;=18,"특급")))))</f>
        <v>초급</v>
      </c>
      <c r="AE240" s="15" t="str">
        <f t="shared" si="34"/>
        <v>미해당</v>
      </c>
      <c r="AF240" s="11"/>
      <c r="AG240" s="16"/>
      <c r="AH240" s="11"/>
      <c r="AI240" s="16"/>
      <c r="AJ240" s="11"/>
      <c r="AK240" s="11"/>
      <c r="AL240" s="19"/>
      <c r="AM240" s="11"/>
      <c r="AN240" s="20"/>
      <c r="AO240" s="21"/>
      <c r="AP240" s="21"/>
      <c r="AQ240" s="22" t="s">
        <v>154</v>
      </c>
      <c r="AR240" s="23" t="s">
        <v>155</v>
      </c>
      <c r="AS240" s="14" t="s">
        <v>137</v>
      </c>
      <c r="AT240" s="14" t="s">
        <v>2621</v>
      </c>
      <c r="AU240" s="24"/>
      <c r="AV240" s="24"/>
      <c r="AW240" s="25" t="s">
        <v>2622</v>
      </c>
      <c r="AX240" s="24" t="s">
        <v>1585</v>
      </c>
      <c r="AY240" s="24" t="s">
        <v>505</v>
      </c>
      <c r="AZ240" s="17"/>
      <c r="BA240" s="17" t="s">
        <v>2623</v>
      </c>
      <c r="BB240" s="26" t="str">
        <f>IFERROR(VLOOKUP($AY240,[1]프로젝트현황!Y:Z,2,0),"기타")</f>
        <v>동북권</v>
      </c>
      <c r="BC240" s="23" t="str">
        <f t="shared" si="54"/>
        <v>서울특별시 강북구 삼양로80가길 35 (수유동)</v>
      </c>
    </row>
    <row r="241" spans="1:56" ht="15" customHeight="1" x14ac:dyDescent="0.3">
      <c r="A241" s="10">
        <f t="shared" si="48"/>
        <v>239</v>
      </c>
      <c r="B241" s="11">
        <v>9250803</v>
      </c>
      <c r="C241" s="11" t="s">
        <v>2624</v>
      </c>
      <c r="D241" s="12">
        <v>45874</v>
      </c>
      <c r="E241" s="12"/>
      <c r="F241" s="12"/>
      <c r="G241" s="13">
        <v>46057</v>
      </c>
      <c r="H241" s="14" t="s">
        <v>2625</v>
      </c>
      <c r="I241" s="11" t="s">
        <v>2626</v>
      </c>
      <c r="J241" s="15" t="str">
        <f t="shared" si="49"/>
        <v>840326</v>
      </c>
      <c r="K241" s="15" t="str">
        <f t="shared" si="50"/>
        <v>03</v>
      </c>
      <c r="L241" s="15" t="str">
        <f t="shared" si="51"/>
        <v>남자</v>
      </c>
      <c r="M241" s="15">
        <f t="shared" ca="1" si="52"/>
        <v>43</v>
      </c>
      <c r="N241" s="15" t="s">
        <v>111</v>
      </c>
      <c r="O241" s="15" t="s">
        <v>112</v>
      </c>
      <c r="P241" s="11" t="s">
        <v>2627</v>
      </c>
      <c r="Q241" s="11"/>
      <c r="R241" s="11"/>
      <c r="S241" s="16"/>
      <c r="T241" s="15" t="s">
        <v>114</v>
      </c>
      <c r="U241" s="11"/>
      <c r="V241" s="15" t="str">
        <f t="shared" ca="1" si="46"/>
        <v>11년0개월</v>
      </c>
      <c r="W241" s="15" t="s">
        <v>1140</v>
      </c>
      <c r="X241" s="18" t="str">
        <f t="shared" ca="1" si="35"/>
        <v>0년6개월</v>
      </c>
      <c r="Y241" s="17" t="s">
        <v>2628</v>
      </c>
      <c r="Z241" s="17" t="s">
        <v>1366</v>
      </c>
      <c r="AA241" s="14" t="s">
        <v>116</v>
      </c>
      <c r="AB241" s="16">
        <v>39493</v>
      </c>
      <c r="AC241" s="18">
        <f>VALUE(LEFT($W241,FIND("년",$W241)-1))</f>
        <v>10</v>
      </c>
      <c r="AD241" s="15" t="str">
        <f>IF($AA241="전문학사",IF($AC241&lt;=8,"초급",IF($AC241&lt;12,"중급",IF($AC241&lt;15,"고급",IF($AC241&gt;=15,"특급")))))</f>
        <v>중급</v>
      </c>
      <c r="AE241" s="15" t="str">
        <f t="shared" si="34"/>
        <v>미해당</v>
      </c>
      <c r="AF241" s="11"/>
      <c r="AG241" s="16"/>
      <c r="AH241" s="11"/>
      <c r="AI241" s="16"/>
      <c r="AJ241" s="11"/>
      <c r="AK241" s="11"/>
      <c r="AL241" s="19"/>
      <c r="AM241" s="11"/>
      <c r="AN241" s="20"/>
      <c r="AO241" s="21"/>
      <c r="AP241" s="21"/>
      <c r="AQ241" s="22" t="s">
        <v>154</v>
      </c>
      <c r="AR241" s="23" t="s">
        <v>155</v>
      </c>
      <c r="AS241" s="14" t="s">
        <v>137</v>
      </c>
      <c r="AT241" s="14" t="s">
        <v>2629</v>
      </c>
      <c r="AU241" s="24"/>
      <c r="AV241" s="24"/>
      <c r="AW241" s="25" t="s">
        <v>2630</v>
      </c>
      <c r="AX241" s="24" t="s">
        <v>141</v>
      </c>
      <c r="AY241" s="24" t="s">
        <v>819</v>
      </c>
      <c r="AZ241" s="17" t="s">
        <v>2631</v>
      </c>
      <c r="BA241" s="17" t="s">
        <v>2632</v>
      </c>
      <c r="BB241" s="26" t="str">
        <f>IFERROR(VLOOKUP($AY241,[1]프로젝트현황!Y:Z,2,0),"기타")</f>
        <v>서남권</v>
      </c>
      <c r="BC241" s="23" t="str">
        <f t="shared" si="54"/>
        <v>경기도 군포시 번영로 403, 502동 1006호 (산본동, 가야아파트)</v>
      </c>
    </row>
    <row r="242" spans="1:56" ht="15" customHeight="1" x14ac:dyDescent="0.3">
      <c r="A242" s="10">
        <f t="shared" si="48"/>
        <v>240</v>
      </c>
      <c r="B242" s="11">
        <v>9250901</v>
      </c>
      <c r="C242" s="11" t="s">
        <v>2633</v>
      </c>
      <c r="D242" s="12">
        <v>45901</v>
      </c>
      <c r="E242" s="12"/>
      <c r="F242" s="12"/>
      <c r="G242" s="13">
        <v>46142</v>
      </c>
      <c r="H242" s="14" t="s">
        <v>2634</v>
      </c>
      <c r="I242" s="11" t="s">
        <v>2635</v>
      </c>
      <c r="J242" s="15" t="str">
        <f t="shared" si="49"/>
        <v>760122</v>
      </c>
      <c r="K242" s="15" t="str">
        <f t="shared" si="50"/>
        <v>01</v>
      </c>
      <c r="L242" s="15" t="str">
        <f t="shared" si="51"/>
        <v>여자</v>
      </c>
      <c r="M242" s="15">
        <f t="shared" ca="1" si="52"/>
        <v>51</v>
      </c>
      <c r="N242" s="15" t="s">
        <v>111</v>
      </c>
      <c r="O242" s="15" t="s">
        <v>112</v>
      </c>
      <c r="P242" s="11" t="s">
        <v>2636</v>
      </c>
      <c r="Q242" s="11"/>
      <c r="R242" s="11"/>
      <c r="S242" s="16"/>
      <c r="T242" s="15" t="s">
        <v>114</v>
      </c>
      <c r="U242" s="11"/>
      <c r="V242" s="15" t="str">
        <f t="shared" ca="1" si="46"/>
        <v>21년1개월</v>
      </c>
      <c r="W242" s="15" t="s">
        <v>2637</v>
      </c>
      <c r="X242" s="18" t="str">
        <f t="shared" ca="1" si="35"/>
        <v>0년5개월</v>
      </c>
      <c r="Y242" s="17" t="s">
        <v>2195</v>
      </c>
      <c r="Z242" s="17" t="s">
        <v>2638</v>
      </c>
      <c r="AA242" s="14" t="s">
        <v>171</v>
      </c>
      <c r="AB242" s="16">
        <v>39492</v>
      </c>
      <c r="AC242" s="18">
        <v>18</v>
      </c>
      <c r="AD242" s="15" t="s">
        <v>2639</v>
      </c>
      <c r="AE242" s="15" t="s">
        <v>1416</v>
      </c>
      <c r="AF242" s="11"/>
      <c r="AG242" s="16"/>
      <c r="AH242" s="11"/>
      <c r="AI242" s="16"/>
      <c r="AJ242" s="11"/>
      <c r="AK242" s="11"/>
      <c r="AL242" s="19"/>
      <c r="AM242" s="11"/>
      <c r="AN242" s="20"/>
      <c r="AO242" s="21"/>
      <c r="AP242" s="21"/>
      <c r="AQ242" s="22" t="s">
        <v>154</v>
      </c>
      <c r="AR242" s="23" t="s">
        <v>155</v>
      </c>
      <c r="AS242" s="14" t="s">
        <v>2640</v>
      </c>
      <c r="AT242" s="14" t="s">
        <v>2641</v>
      </c>
      <c r="AU242" s="24"/>
      <c r="AV242" s="24"/>
      <c r="AW242" s="25" t="s">
        <v>2642</v>
      </c>
      <c r="AX242" s="24" t="s">
        <v>2312</v>
      </c>
      <c r="AY242" s="24" t="s">
        <v>2643</v>
      </c>
      <c r="AZ242" s="17" t="s">
        <v>2644</v>
      </c>
      <c r="BA242" s="17" t="s">
        <v>2645</v>
      </c>
      <c r="BB242" s="26" t="str">
        <f>IFERROR(VLOOKUP($AY242,[1]프로젝트현황!Y:Z,2,0),"기타")</f>
        <v>서남권</v>
      </c>
      <c r="BC242" s="23" t="str">
        <f t="shared" si="54"/>
        <v>경기도 광명시 안현로 34, 305동 102호 (하안동, 고층주공아파트)</v>
      </c>
    </row>
    <row r="243" spans="1:56" ht="15" customHeight="1" x14ac:dyDescent="0.3">
      <c r="A243" s="10">
        <f t="shared" si="48"/>
        <v>241</v>
      </c>
      <c r="B243" s="11">
        <v>9250902</v>
      </c>
      <c r="C243" s="11" t="s">
        <v>2646</v>
      </c>
      <c r="D243" s="12">
        <v>45901</v>
      </c>
      <c r="E243" s="12"/>
      <c r="F243" s="12"/>
      <c r="G243" s="13">
        <v>46142</v>
      </c>
      <c r="H243" s="14" t="s">
        <v>2647</v>
      </c>
      <c r="I243" s="11" t="s">
        <v>2648</v>
      </c>
      <c r="J243" s="15" t="str">
        <f t="shared" si="49"/>
        <v>630319</v>
      </c>
      <c r="K243" s="15" t="str">
        <f t="shared" si="50"/>
        <v>03</v>
      </c>
      <c r="L243" s="15" t="str">
        <f t="shared" si="51"/>
        <v>여자</v>
      </c>
      <c r="M243" s="15">
        <f t="shared" ca="1" si="52"/>
        <v>64</v>
      </c>
      <c r="N243" s="15" t="s">
        <v>111</v>
      </c>
      <c r="O243" s="15" t="s">
        <v>112</v>
      </c>
      <c r="P243" s="11" t="s">
        <v>2649</v>
      </c>
      <c r="Q243" s="11"/>
      <c r="R243" s="11"/>
      <c r="S243" s="16"/>
      <c r="T243" s="15" t="s">
        <v>114</v>
      </c>
      <c r="U243" s="11"/>
      <c r="V243" s="15" t="str">
        <f t="shared" ca="1" si="46"/>
        <v>16년8개월</v>
      </c>
      <c r="W243" s="15" t="s">
        <v>2650</v>
      </c>
      <c r="X243" s="18" t="str">
        <f t="shared" ca="1" si="35"/>
        <v>0년5개월</v>
      </c>
      <c r="Y243" s="17" t="s">
        <v>1220</v>
      </c>
      <c r="Z243" s="17" t="s">
        <v>2651</v>
      </c>
      <c r="AA243" s="14" t="s">
        <v>171</v>
      </c>
      <c r="AB243" s="16">
        <v>39492</v>
      </c>
      <c r="AC243" s="18">
        <v>18</v>
      </c>
      <c r="AD243" s="15" t="s">
        <v>2639</v>
      </c>
      <c r="AE243" s="15" t="s">
        <v>1416</v>
      </c>
      <c r="AF243" s="11"/>
      <c r="AG243" s="16"/>
      <c r="AH243" s="11"/>
      <c r="AI243" s="16"/>
      <c r="AJ243" s="11"/>
      <c r="AK243" s="11"/>
      <c r="AL243" s="19"/>
      <c r="AM243" s="11"/>
      <c r="AN243" s="20"/>
      <c r="AO243" s="21"/>
      <c r="AP243" s="21"/>
      <c r="AQ243" s="22" t="s">
        <v>154</v>
      </c>
      <c r="AR243" s="23" t="s">
        <v>155</v>
      </c>
      <c r="AS243" s="14" t="s">
        <v>2652</v>
      </c>
      <c r="AT243" s="14" t="s">
        <v>2653</v>
      </c>
      <c r="AU243" s="24"/>
      <c r="AV243" s="24"/>
      <c r="AW243" s="25" t="s">
        <v>2654</v>
      </c>
      <c r="AX243" s="24" t="s">
        <v>1585</v>
      </c>
      <c r="AY243" s="24" t="s">
        <v>1419</v>
      </c>
      <c r="AZ243" s="17"/>
      <c r="BA243" s="17" t="s">
        <v>2655</v>
      </c>
      <c r="BB243" s="26" t="str">
        <f>IFERROR(VLOOKUP($AY243,[1]프로젝트현황!Y:Z,2,0),"기타")</f>
        <v>동남권</v>
      </c>
      <c r="BC243" s="23" t="str">
        <f t="shared" si="54"/>
        <v xml:space="preserve">서울특별시 강동구 상일로 74, 339동 1103호 </v>
      </c>
    </row>
    <row r="244" spans="1:56" ht="15" customHeight="1" x14ac:dyDescent="0.3">
      <c r="A244" s="10">
        <f t="shared" si="48"/>
        <v>242</v>
      </c>
      <c r="B244" s="11">
        <v>9250903</v>
      </c>
      <c r="C244" s="11" t="s">
        <v>2656</v>
      </c>
      <c r="D244" s="12">
        <v>45901</v>
      </c>
      <c r="E244" s="12"/>
      <c r="F244" s="12"/>
      <c r="G244" s="13">
        <v>46142</v>
      </c>
      <c r="H244" s="14" t="s">
        <v>2657</v>
      </c>
      <c r="I244" s="11" t="s">
        <v>2658</v>
      </c>
      <c r="J244" s="15" t="str">
        <f t="shared" si="49"/>
        <v>720408</v>
      </c>
      <c r="K244" s="15" t="str">
        <f t="shared" si="50"/>
        <v>04</v>
      </c>
      <c r="L244" s="15" t="str">
        <f t="shared" si="51"/>
        <v>여자</v>
      </c>
      <c r="M244" s="15">
        <f t="shared" ca="1" si="52"/>
        <v>55</v>
      </c>
      <c r="N244" s="15" t="s">
        <v>111</v>
      </c>
      <c r="O244" s="15" t="s">
        <v>112</v>
      </c>
      <c r="P244" s="11" t="s">
        <v>2659</v>
      </c>
      <c r="Q244" s="11"/>
      <c r="R244" s="11"/>
      <c r="S244" s="16"/>
      <c r="T244" s="15" t="s">
        <v>114</v>
      </c>
      <c r="U244" s="11"/>
      <c r="V244" s="15" t="str">
        <f t="shared" ca="1" si="46"/>
        <v>10년11개월</v>
      </c>
      <c r="W244" s="15" t="s">
        <v>1140</v>
      </c>
      <c r="X244" s="18" t="str">
        <f t="shared" ca="1" si="35"/>
        <v>0년5개월</v>
      </c>
      <c r="Y244" s="17" t="s">
        <v>2270</v>
      </c>
      <c r="Z244" s="17" t="s">
        <v>2660</v>
      </c>
      <c r="AA244" s="14" t="s">
        <v>171</v>
      </c>
      <c r="AB244" s="16">
        <v>34752</v>
      </c>
      <c r="AC244" s="18">
        <v>18</v>
      </c>
      <c r="AD244" s="15" t="s">
        <v>2639</v>
      </c>
      <c r="AE244" s="15" t="s">
        <v>1416</v>
      </c>
      <c r="AF244" s="11"/>
      <c r="AG244" s="16"/>
      <c r="AH244" s="11"/>
      <c r="AI244" s="16"/>
      <c r="AJ244" s="11"/>
      <c r="AK244" s="11"/>
      <c r="AL244" s="19"/>
      <c r="AM244" s="11"/>
      <c r="AN244" s="20"/>
      <c r="AO244" s="21"/>
      <c r="AP244" s="21"/>
      <c r="AQ244" s="22" t="s">
        <v>154</v>
      </c>
      <c r="AR244" s="23" t="s">
        <v>155</v>
      </c>
      <c r="AS244" s="14" t="s">
        <v>1042</v>
      </c>
      <c r="AT244" s="14" t="s">
        <v>2661</v>
      </c>
      <c r="AU244" s="24"/>
      <c r="AV244" s="24"/>
      <c r="AW244" s="25" t="s">
        <v>2662</v>
      </c>
      <c r="AX244" s="24" t="s">
        <v>1585</v>
      </c>
      <c r="AY244" s="24" t="s">
        <v>543</v>
      </c>
      <c r="AZ244" s="17"/>
      <c r="BA244" s="17" t="s">
        <v>2663</v>
      </c>
      <c r="BB244" s="26" t="str">
        <f>IFERROR(VLOOKUP($AY244,[1]프로젝트현황!Y:Z,2,0),"기타")</f>
        <v>서남권</v>
      </c>
      <c r="BC244" s="23" t="str">
        <f t="shared" si="54"/>
        <v>서울특별시 양천구 신정로 293, 107동 1203호</v>
      </c>
    </row>
    <row r="245" spans="1:56" ht="15" customHeight="1" x14ac:dyDescent="0.3">
      <c r="A245" s="10">
        <f t="shared" si="48"/>
        <v>243</v>
      </c>
      <c r="B245" s="11">
        <v>9250904</v>
      </c>
      <c r="C245" s="11" t="s">
        <v>2664</v>
      </c>
      <c r="D245" s="12">
        <v>45901</v>
      </c>
      <c r="E245" s="12"/>
      <c r="F245" s="12"/>
      <c r="G245" s="13">
        <v>46142</v>
      </c>
      <c r="H245" s="14" t="s">
        <v>2665</v>
      </c>
      <c r="I245" s="11" t="s">
        <v>2666</v>
      </c>
      <c r="J245" s="15" t="str">
        <f t="shared" si="49"/>
        <v>721101</v>
      </c>
      <c r="K245" s="15" t="str">
        <f t="shared" si="50"/>
        <v>11</v>
      </c>
      <c r="L245" s="15" t="str">
        <f t="shared" si="51"/>
        <v>여자</v>
      </c>
      <c r="M245" s="15">
        <f t="shared" ca="1" si="52"/>
        <v>55</v>
      </c>
      <c r="N245" s="15" t="s">
        <v>111</v>
      </c>
      <c r="O245" s="15" t="s">
        <v>112</v>
      </c>
      <c r="P245" s="11" t="s">
        <v>2667</v>
      </c>
      <c r="Q245" s="11"/>
      <c r="R245" s="11"/>
      <c r="S245" s="16"/>
      <c r="T245" s="15" t="s">
        <v>114</v>
      </c>
      <c r="U245" s="11"/>
      <c r="V245" s="15" t="str">
        <f t="shared" ca="1" si="46"/>
        <v>22년1개월</v>
      </c>
      <c r="W245" s="15" t="s">
        <v>2668</v>
      </c>
      <c r="X245" s="18" t="str">
        <f t="shared" ca="1" si="35"/>
        <v>0년5개월</v>
      </c>
      <c r="Y245" s="17" t="s">
        <v>855</v>
      </c>
      <c r="Z245" s="17" t="s">
        <v>2669</v>
      </c>
      <c r="AA245" s="14" t="s">
        <v>116</v>
      </c>
      <c r="AB245" s="16">
        <v>37309</v>
      </c>
      <c r="AC245" s="18">
        <f>VALUE(LEFT($W245,FIND("년",$W245)-1))</f>
        <v>21</v>
      </c>
      <c r="AD245" s="15" t="str">
        <f>IF($AA245="전문학사",IF($AC245&lt;=8,"초급",IF($AC245&lt;12,"중급",IF($AC245&lt;15,"고급",IF($AC245&gt;=15,"특급")))))</f>
        <v>특급</v>
      </c>
      <c r="AE245" s="15" t="str">
        <f>IF(ISNUMBER(SEARCH("산업기사",$AL245)),IF($AC245&gt;=13,"특급",IF($AC245&gt;=10,"고급",IF($AC245&gt;=7,"중급","초급"))),IF(ISNUMBER(SEARCH("기사",$AJ245)),IF($AC245&gt;=10,"특급",IF($AC245&gt;=7,"고급",IF($AC245&gt;=4,"중급","초급"))),"미해당"))</f>
        <v>미해당</v>
      </c>
      <c r="AF245" s="11"/>
      <c r="AG245" s="16"/>
      <c r="AH245" s="11"/>
      <c r="AI245" s="16"/>
      <c r="AJ245" s="11"/>
      <c r="AK245" s="11"/>
      <c r="AL245" s="19"/>
      <c r="AM245" s="11"/>
      <c r="AN245" s="20"/>
      <c r="AO245" s="21"/>
      <c r="AP245" s="21"/>
      <c r="AQ245" s="22" t="s">
        <v>154</v>
      </c>
      <c r="AR245" s="23" t="s">
        <v>155</v>
      </c>
      <c r="AS245" s="14" t="s">
        <v>137</v>
      </c>
      <c r="AT245" s="14" t="s">
        <v>2670</v>
      </c>
      <c r="AU245" s="24"/>
      <c r="AV245" s="24"/>
      <c r="AW245" s="25" t="s">
        <v>2671</v>
      </c>
      <c r="AX245" s="24" t="s">
        <v>141</v>
      </c>
      <c r="AY245" s="24" t="s">
        <v>751</v>
      </c>
      <c r="AZ245" s="17"/>
      <c r="BA245" s="17" t="s">
        <v>2672</v>
      </c>
      <c r="BB245" s="26" t="str">
        <f>IFERROR(VLOOKUP($AY245,[1]프로젝트현황!Y:Z,2,0),"기타")</f>
        <v>동북권</v>
      </c>
      <c r="BC245" s="23" t="str">
        <f t="shared" si="54"/>
        <v>경기도 남양주시 다산중앙로20번길 7, 5401동 902호 (다산동, 다산e편한세상 더퍼스트)</v>
      </c>
    </row>
    <row r="246" spans="1:56" ht="15" customHeight="1" x14ac:dyDescent="0.3">
      <c r="A246" s="10">
        <f t="shared" si="48"/>
        <v>244</v>
      </c>
      <c r="B246" s="11">
        <v>9250905</v>
      </c>
      <c r="C246" s="11" t="s">
        <v>2673</v>
      </c>
      <c r="D246" s="12">
        <v>45901</v>
      </c>
      <c r="E246" s="12"/>
      <c r="F246" s="12"/>
      <c r="G246" s="13">
        <v>46173</v>
      </c>
      <c r="H246" s="14" t="s">
        <v>2674</v>
      </c>
      <c r="I246" s="11" t="s">
        <v>2675</v>
      </c>
      <c r="J246" s="15" t="str">
        <f t="shared" si="49"/>
        <v>710625</v>
      </c>
      <c r="K246" s="15" t="str">
        <f t="shared" si="50"/>
        <v>06</v>
      </c>
      <c r="L246" s="15" t="str">
        <f t="shared" si="51"/>
        <v>여자</v>
      </c>
      <c r="M246" s="15">
        <f t="shared" ca="1" si="52"/>
        <v>56</v>
      </c>
      <c r="N246" s="15" t="s">
        <v>111</v>
      </c>
      <c r="O246" s="15" t="s">
        <v>112</v>
      </c>
      <c r="P246" s="11" t="s">
        <v>2676</v>
      </c>
      <c r="Q246" s="11"/>
      <c r="R246" s="11"/>
      <c r="S246" s="16"/>
      <c r="T246" s="15" t="s">
        <v>114</v>
      </c>
      <c r="U246" s="11"/>
      <c r="V246" s="15" t="str">
        <f t="shared" ca="1" si="46"/>
        <v>13년7개월</v>
      </c>
      <c r="W246" s="15" t="s">
        <v>1173</v>
      </c>
      <c r="X246" s="18" t="str">
        <f t="shared" ca="1" si="35"/>
        <v>0년5개월</v>
      </c>
      <c r="Y246" s="17" t="s">
        <v>2677</v>
      </c>
      <c r="Z246" s="17"/>
      <c r="AA246" s="14" t="s">
        <v>258</v>
      </c>
      <c r="AB246" s="16">
        <v>32919</v>
      </c>
      <c r="AC246" s="18">
        <f ca="1">VALUE(LEFT($V246,FIND("년",$V246)-1))</f>
        <v>13</v>
      </c>
      <c r="AD246" s="15" t="str">
        <f ca="1">IF($AA246="고졸",IF($AC246&lt;=11,"초급",IF($AC246&lt;=14,"중급",IF($AC246&lt;=17,"고급",IF($AC246&gt;=18,"특급")))))</f>
        <v>중급</v>
      </c>
      <c r="AE246" s="15" t="str">
        <f>IF(ISNUMBER(SEARCH("산업기사",$AL246)),IF($AC246&gt;=13,"특급",IF($AC246&gt;=10,"고급",IF($AC246&gt;=7,"중급","초급"))),IF(ISNUMBER(SEARCH("기사",$AJ246)),IF($AC246&gt;=10,"특급",IF($AC246&gt;=7,"고급",IF($AC246&gt;=4,"중급","초급"))),"미해당"))</f>
        <v>미해당</v>
      </c>
      <c r="AF246" s="11"/>
      <c r="AG246" s="16"/>
      <c r="AH246" s="11"/>
      <c r="AI246" s="16"/>
      <c r="AJ246" s="11"/>
      <c r="AK246" s="11"/>
      <c r="AL246" s="19"/>
      <c r="AM246" s="11"/>
      <c r="AN246" s="20"/>
      <c r="AO246" s="21"/>
      <c r="AP246" s="21"/>
      <c r="AQ246" s="22" t="s">
        <v>154</v>
      </c>
      <c r="AR246" s="23" t="s">
        <v>155</v>
      </c>
      <c r="AS246" s="14" t="s">
        <v>2117</v>
      </c>
      <c r="AT246" s="14" t="s">
        <v>2678</v>
      </c>
      <c r="AU246" s="24"/>
      <c r="AV246" s="24"/>
      <c r="AW246" s="25" t="s">
        <v>2679</v>
      </c>
      <c r="AX246" s="24" t="s">
        <v>1585</v>
      </c>
      <c r="AY246" s="24" t="s">
        <v>1472</v>
      </c>
      <c r="AZ246" s="17"/>
      <c r="BA246" s="17" t="s">
        <v>2680</v>
      </c>
      <c r="BB246" s="26" t="str">
        <f>IFERROR(VLOOKUP($AY246,[1]프로젝트현황!Y:Z,2,0),"기타")</f>
        <v>서북권</v>
      </c>
      <c r="BC246" s="23" t="str">
        <f t="shared" si="54"/>
        <v>서울특별시 은평구 은형터널로 60, 103동 1103호(수색동, DMC진흥)</v>
      </c>
    </row>
    <row r="247" spans="1:56" ht="15" customHeight="1" x14ac:dyDescent="0.3">
      <c r="A247" s="10">
        <f t="shared" si="48"/>
        <v>245</v>
      </c>
      <c r="B247" s="11">
        <v>9250906</v>
      </c>
      <c r="C247" s="11" t="s">
        <v>2681</v>
      </c>
      <c r="D247" s="12">
        <v>46024</v>
      </c>
      <c r="E247" s="12">
        <f>+D247</f>
        <v>46024</v>
      </c>
      <c r="F247" s="12"/>
      <c r="G247" s="13"/>
      <c r="H247" s="33" t="s">
        <v>2682</v>
      </c>
      <c r="I247" s="28" t="s">
        <v>2683</v>
      </c>
      <c r="J247" s="15" t="str">
        <f t="shared" si="49"/>
        <v>860119</v>
      </c>
      <c r="K247" s="15" t="str">
        <f t="shared" si="50"/>
        <v>01</v>
      </c>
      <c r="L247" s="15" t="str">
        <f t="shared" si="51"/>
        <v>남자</v>
      </c>
      <c r="M247" s="15">
        <f t="shared" ca="1" si="52"/>
        <v>41</v>
      </c>
      <c r="N247" s="15" t="s">
        <v>111</v>
      </c>
      <c r="O247" s="15" t="s">
        <v>112</v>
      </c>
      <c r="P247" s="11" t="s">
        <v>2684</v>
      </c>
      <c r="Q247" s="11"/>
      <c r="R247" s="11"/>
      <c r="S247" s="16"/>
      <c r="T247" s="15" t="s">
        <v>114</v>
      </c>
      <c r="U247" s="11"/>
      <c r="V247" s="15" t="str">
        <f t="shared" ca="1" si="46"/>
        <v>15년0개월</v>
      </c>
      <c r="W247" s="15" t="s">
        <v>2685</v>
      </c>
      <c r="X247" s="18" t="str">
        <f t="shared" ref="X247:X280" ca="1" si="55">DATEDIF($D247,TODAY(),"y")&amp;"년"&amp;DATEDIF($D247,TODAY(),"ym")&amp;"개월"</f>
        <v>0년1개월</v>
      </c>
      <c r="Y247" s="34" t="s">
        <v>2195</v>
      </c>
      <c r="Z247" s="34" t="s">
        <v>2686</v>
      </c>
      <c r="AA247" s="33" t="s">
        <v>171</v>
      </c>
      <c r="AB247" s="35">
        <v>45528</v>
      </c>
      <c r="AC247" s="36">
        <f>VALUE(LEFT($W247,FIND("년",$W247)-1))</f>
        <v>14</v>
      </c>
      <c r="AD247" s="15" t="s">
        <v>2639</v>
      </c>
      <c r="AE247" s="15" t="str">
        <f>IF(ISNUMBER(SEARCH("산업기사",$AL247)),IF($AC247&gt;=13,"특급",IF($AC247&gt;=10,"고급",IF($AC247&gt;=7,"중급","초급"))),IF(ISNUMBER(SEARCH("기사",$AJ247)),IF($AC247&gt;=10,"특급",IF($AC247&gt;=7,"고급",IF($AC247&gt;=4,"중급","초급"))),"미해당"))</f>
        <v>미해당</v>
      </c>
      <c r="AF247" s="11"/>
      <c r="AG247" s="16"/>
      <c r="AH247" s="11"/>
      <c r="AI247" s="16"/>
      <c r="AJ247" s="11"/>
      <c r="AK247" s="11"/>
      <c r="AL247" s="19"/>
      <c r="AM247" s="11"/>
      <c r="AN247" s="20"/>
      <c r="AO247" s="21"/>
      <c r="AP247" s="21"/>
      <c r="AQ247" s="37" t="s">
        <v>154</v>
      </c>
      <c r="AR247" s="33" t="s">
        <v>155</v>
      </c>
      <c r="AS247" s="33" t="s">
        <v>2687</v>
      </c>
      <c r="AT247" s="33" t="s">
        <v>2688</v>
      </c>
      <c r="AU247" s="37"/>
      <c r="AV247" s="37"/>
      <c r="AW247" s="34" t="s">
        <v>2689</v>
      </c>
      <c r="AX247" s="37" t="s">
        <v>1585</v>
      </c>
      <c r="AY247" s="37" t="s">
        <v>1472</v>
      </c>
      <c r="AZ247" s="34"/>
      <c r="BA247" s="34" t="s">
        <v>2690</v>
      </c>
      <c r="BB247" s="38" t="str">
        <f>IFERROR(VLOOKUP($AY247,[1]프로젝트현황!Y:Z,2,0),"기타")</f>
        <v>서북권</v>
      </c>
      <c r="BC247" s="33" t="str">
        <f t="shared" si="54"/>
        <v>서울특별시 은평구 중산로 5길 11-20, 3층 301호(증산동)</v>
      </c>
    </row>
    <row r="248" spans="1:56" ht="15" customHeight="1" x14ac:dyDescent="0.3">
      <c r="A248" s="10">
        <f t="shared" si="48"/>
        <v>246</v>
      </c>
      <c r="B248" s="11">
        <v>9251002</v>
      </c>
      <c r="C248" s="11" t="s">
        <v>2691</v>
      </c>
      <c r="D248" s="12">
        <v>45931</v>
      </c>
      <c r="E248" s="12"/>
      <c r="F248" s="12"/>
      <c r="G248" s="13">
        <v>46173</v>
      </c>
      <c r="H248" s="39" t="s">
        <v>2692</v>
      </c>
      <c r="I248" s="40" t="s">
        <v>2693</v>
      </c>
      <c r="J248" s="15" t="str">
        <f t="shared" si="49"/>
        <v>771203</v>
      </c>
      <c r="K248" s="15" t="str">
        <f t="shared" si="50"/>
        <v>12</v>
      </c>
      <c r="L248" s="15" t="str">
        <f t="shared" si="51"/>
        <v>여자</v>
      </c>
      <c r="M248" s="15">
        <f t="shared" ca="1" si="52"/>
        <v>50</v>
      </c>
      <c r="N248" s="15" t="s">
        <v>111</v>
      </c>
      <c r="O248" s="15" t="s">
        <v>112</v>
      </c>
      <c r="P248" s="11" t="s">
        <v>2694</v>
      </c>
      <c r="Q248" s="11"/>
      <c r="R248" s="11"/>
      <c r="S248" s="16"/>
      <c r="T248" s="15" t="s">
        <v>114</v>
      </c>
      <c r="U248" s="11"/>
      <c r="V248" s="15" t="str">
        <f t="shared" ca="1" si="46"/>
        <v>6년8개월</v>
      </c>
      <c r="W248" s="15" t="s">
        <v>2695</v>
      </c>
      <c r="X248" s="18" t="str">
        <f t="shared" ca="1" si="55"/>
        <v>0년4개월</v>
      </c>
      <c r="Y248" s="41" t="s">
        <v>2696</v>
      </c>
      <c r="Z248" s="41" t="s">
        <v>1910</v>
      </c>
      <c r="AA248" s="39" t="s">
        <v>258</v>
      </c>
      <c r="AB248" s="42">
        <v>35108</v>
      </c>
      <c r="AC248" s="43">
        <f>VALUE(LEFT($W248,FIND("년",$W248)-1))</f>
        <v>6</v>
      </c>
      <c r="AD248" s="15"/>
      <c r="AE248" s="15" t="str">
        <f>IF(ISNUMBER(SEARCH("산업기사",$AL248)),IF($AC248&gt;=13,"특급",IF($AC248&gt;=10,"고급",IF($AC248&gt;=7,"중급","초급"))),IF(ISNUMBER(SEARCH("기사",$AJ248)),IF($AC248&gt;=10,"특급",IF($AC248&gt;=7,"고급",IF($AC248&gt;=4,"중급","초급"))),"미해당"))</f>
        <v>미해당</v>
      </c>
      <c r="AF248" s="11"/>
      <c r="AG248" s="16"/>
      <c r="AH248" s="11"/>
      <c r="AI248" s="16"/>
      <c r="AJ248" s="11"/>
      <c r="AK248" s="11"/>
      <c r="AL248" s="19"/>
      <c r="AM248" s="11"/>
      <c r="AN248" s="20"/>
      <c r="AO248" s="21"/>
      <c r="AP248" s="21"/>
      <c r="AQ248" s="44" t="s">
        <v>154</v>
      </c>
      <c r="AR248" s="39" t="s">
        <v>155</v>
      </c>
      <c r="AS248" s="39" t="s">
        <v>2652</v>
      </c>
      <c r="AT248" s="39" t="s">
        <v>2697</v>
      </c>
      <c r="AU248" s="44"/>
      <c r="AV248" s="44"/>
      <c r="AW248" s="41" t="s">
        <v>2698</v>
      </c>
      <c r="AX248" s="44" t="s">
        <v>141</v>
      </c>
      <c r="AY248" s="44" t="s">
        <v>751</v>
      </c>
      <c r="AZ248" s="41" t="s">
        <v>2699</v>
      </c>
      <c r="BA248" s="41" t="s">
        <v>2700</v>
      </c>
      <c r="BB248" s="45" t="str">
        <f>IFERROR(VLOOKUP($AY248,[1]프로젝트현황!Y:Z,2,0),"기타")</f>
        <v>동북권</v>
      </c>
      <c r="BC248" s="39" t="str">
        <f t="shared" si="54"/>
        <v>경기도 남양주시 화도읍 경춘로 2102-16, 103동 1606호 (마석그랜드힐아파트)</v>
      </c>
    </row>
    <row r="249" spans="1:56" ht="15" customHeight="1" x14ac:dyDescent="0.3">
      <c r="A249" s="10">
        <f t="shared" si="48"/>
        <v>247</v>
      </c>
      <c r="B249" s="11">
        <v>9251101</v>
      </c>
      <c r="C249" s="11" t="s">
        <v>2701</v>
      </c>
      <c r="D249" s="12">
        <v>45964</v>
      </c>
      <c r="E249" s="12"/>
      <c r="F249" s="12"/>
      <c r="G249" s="13">
        <v>46112</v>
      </c>
      <c r="H249" s="39" t="s">
        <v>2702</v>
      </c>
      <c r="I249" s="11" t="s">
        <v>2703</v>
      </c>
      <c r="J249" s="15" t="s">
        <v>2704</v>
      </c>
      <c r="K249" s="15" t="s">
        <v>2705</v>
      </c>
      <c r="L249" s="15" t="s">
        <v>2479</v>
      </c>
      <c r="M249" s="15">
        <v>51</v>
      </c>
      <c r="N249" s="15" t="s">
        <v>2266</v>
      </c>
      <c r="O249" s="15" t="s">
        <v>2267</v>
      </c>
      <c r="P249" s="11" t="s">
        <v>2706</v>
      </c>
      <c r="Q249" s="11"/>
      <c r="R249" s="11"/>
      <c r="S249" s="16"/>
      <c r="T249" s="15" t="s">
        <v>2281</v>
      </c>
      <c r="U249" s="11"/>
      <c r="V249" s="15" t="s">
        <v>2707</v>
      </c>
      <c r="W249" s="15" t="s">
        <v>2708</v>
      </c>
      <c r="X249" s="18" t="s">
        <v>2709</v>
      </c>
      <c r="Y249" s="17" t="s">
        <v>2710</v>
      </c>
      <c r="Z249" s="17" t="s">
        <v>2711</v>
      </c>
      <c r="AA249" s="14" t="s">
        <v>2165</v>
      </c>
      <c r="AB249" s="16">
        <v>37853</v>
      </c>
      <c r="AC249" s="18">
        <v>18</v>
      </c>
      <c r="AD249" s="15" t="s">
        <v>2639</v>
      </c>
      <c r="AE249" s="15" t="s">
        <v>1416</v>
      </c>
      <c r="AF249" s="11"/>
      <c r="AG249" s="16"/>
      <c r="AH249" s="11"/>
      <c r="AI249" s="16"/>
      <c r="AJ249" s="11"/>
      <c r="AK249" s="11"/>
      <c r="AL249" s="19"/>
      <c r="AM249" s="11"/>
      <c r="AN249" s="20" t="s">
        <v>2712</v>
      </c>
      <c r="AO249" s="21" t="s">
        <v>2713</v>
      </c>
      <c r="AP249" s="21">
        <v>2000.01</v>
      </c>
      <c r="AQ249" s="44" t="s">
        <v>2271</v>
      </c>
      <c r="AR249" s="39" t="s">
        <v>2272</v>
      </c>
      <c r="AS249" s="14" t="s">
        <v>2714</v>
      </c>
      <c r="AT249" s="14" t="s">
        <v>2715</v>
      </c>
      <c r="AU249" s="24" t="s">
        <v>2716</v>
      </c>
      <c r="AV249" s="24" t="s">
        <v>2717</v>
      </c>
      <c r="AW249" s="25" t="s">
        <v>2718</v>
      </c>
      <c r="AX249" s="24" t="s">
        <v>2312</v>
      </c>
      <c r="AY249" s="24" t="s">
        <v>2719</v>
      </c>
      <c r="AZ249" s="17" t="s">
        <v>143</v>
      </c>
      <c r="BA249" s="17" t="s">
        <v>2720</v>
      </c>
      <c r="BB249" s="26" t="str">
        <f>IFERROR(VLOOKUP($AY249,[1]프로젝트현황!Y:Z,2,0),"기타")</f>
        <v>서북권</v>
      </c>
      <c r="BC249" s="23" t="s">
        <v>2721</v>
      </c>
    </row>
    <row r="250" spans="1:56" ht="15" customHeight="1" x14ac:dyDescent="0.3">
      <c r="A250" s="10">
        <f t="shared" si="48"/>
        <v>248</v>
      </c>
      <c r="B250" s="11">
        <v>9251201</v>
      </c>
      <c r="C250" s="11" t="s">
        <v>2722</v>
      </c>
      <c r="D250" s="12">
        <v>46006</v>
      </c>
      <c r="E250" s="12">
        <f>+D250</f>
        <v>46006</v>
      </c>
      <c r="F250" s="12"/>
      <c r="G250" s="13">
        <v>46173</v>
      </c>
      <c r="H250" s="46" t="s">
        <v>2723</v>
      </c>
      <c r="I250" s="47" t="s">
        <v>2724</v>
      </c>
      <c r="J250" s="15" t="str">
        <f>LEFT(I250,6)</f>
        <v>721221</v>
      </c>
      <c r="K250" s="15" t="str">
        <f>MID($I250,3,2)</f>
        <v>12</v>
      </c>
      <c r="L250" s="15" t="str">
        <f>IF(OR(MID($I250,8,1)="1",MID($I250,8,1)="3"),"남자",IF(OR(MID($I250,8,1)="2",MID($I250,8,1)="4"),"여자",""))</f>
        <v>여자</v>
      </c>
      <c r="M250" s="15">
        <f ca="1">YEAR(TODAY())-IF(OR(MID($I250,8,1)="1",MID($I250,8,1)="2"),19&amp;LEFT($I250,2),IF(OR(MID($I250,8,1)="3",MID($I250,8,1)="4"),20&amp;LEFT($I250,2),""))+1</f>
        <v>55</v>
      </c>
      <c r="N250" s="15" t="s">
        <v>2266</v>
      </c>
      <c r="O250" s="15" t="s">
        <v>2267</v>
      </c>
      <c r="P250" s="11" t="s">
        <v>2725</v>
      </c>
      <c r="Q250" s="11"/>
      <c r="R250" s="11"/>
      <c r="S250" s="16"/>
      <c r="T250" s="15" t="s">
        <v>2281</v>
      </c>
      <c r="U250" s="11"/>
      <c r="V250" s="15" t="e">
        <f>QUOTIENT(SUMPRODUCT(LEFT($W250:$X250,FIND("년",$W250:$X250)-1)*12+MID($W250:$X250,FIND("년",$W250:$X250)+1,FIND("개월",$W250:$X250)-FIND("년",$W250:$X250)-1)),12)&amp;"년"&amp;MOD(SUMPRODUCT(LEFT($W250:$X250,FIND("년",$W250:$X250)-1)*12+MID($W250:$X250,FIND("년",$W250:$X250)+1,FIND("개월",$W250:$X250)-FIND("년",$W250:$X250)-1)),12)&amp;"개월"</f>
        <v>#VALUE!</v>
      </c>
      <c r="W250" s="18"/>
      <c r="X250" s="18" t="str">
        <f ca="1">DATEDIF($D250,TODAY(),"y")&amp;"년"&amp;DATEDIF($D250,TODAY(),"ym")&amp;"개월"</f>
        <v>0년1개월</v>
      </c>
      <c r="Y250" s="48" t="s">
        <v>2726</v>
      </c>
      <c r="Z250" s="48" t="s">
        <v>2727</v>
      </c>
      <c r="AA250" s="47" t="s">
        <v>2444</v>
      </c>
      <c r="AB250" s="49">
        <v>38022</v>
      </c>
      <c r="AC250" s="50" t="e">
        <f>VALUE(LEFT($V250,FIND("년",$V250)-1))</f>
        <v>#VALUE!</v>
      </c>
      <c r="AD250" s="15" t="e">
        <f>IF($AA250="전문학사",IF($AC250&lt;=8,"초급",IF($AC250&lt;12,"중급",IF($AC250&lt;15,"고급",IF($AC250&gt;=15,"특급")))))</f>
        <v>#VALUE!</v>
      </c>
      <c r="AE250" s="15" t="str">
        <f>IF(ISNUMBER(SEARCH("산업기사",$AL250)),IF($AC250&gt;=13,"특급",IF($AC250&gt;=10,"고급",IF($AC250&gt;=7,"중급","초급"))),IF(ISNUMBER(SEARCH("기사",$AJ250)),IF($AC250&gt;=10,"특급",IF($AC250&gt;=7,"고급",IF($AC250&gt;=4,"중급","초급"))),"미해당"))</f>
        <v>미해당</v>
      </c>
      <c r="AF250" s="11"/>
      <c r="AG250" s="16"/>
      <c r="AH250" s="11"/>
      <c r="AI250" s="16"/>
      <c r="AJ250" s="11"/>
      <c r="AK250" s="11"/>
      <c r="AL250" s="19"/>
      <c r="AM250" s="11"/>
      <c r="AN250" s="20"/>
      <c r="AO250" s="21"/>
      <c r="AP250" s="21"/>
      <c r="AQ250" s="46" t="s">
        <v>2271</v>
      </c>
      <c r="AR250" s="46" t="s">
        <v>2272</v>
      </c>
      <c r="AS250" s="47" t="s">
        <v>2728</v>
      </c>
      <c r="AT250" s="47" t="s">
        <v>2729</v>
      </c>
      <c r="AU250" s="47"/>
      <c r="AV250" s="47"/>
      <c r="AW250" s="50" t="s">
        <v>2730</v>
      </c>
      <c r="AX250" s="47" t="s">
        <v>2342</v>
      </c>
      <c r="AY250" s="47" t="s">
        <v>2731</v>
      </c>
      <c r="AZ250" s="47"/>
      <c r="BA250" s="48" t="s">
        <v>2732</v>
      </c>
      <c r="BB250" s="50" t="s">
        <v>2733</v>
      </c>
      <c r="BC250" s="51" t="s">
        <v>2734</v>
      </c>
    </row>
    <row r="251" spans="1:56" ht="15" customHeight="1" x14ac:dyDescent="0.3">
      <c r="A251" s="10">
        <f t="shared" si="48"/>
        <v>249</v>
      </c>
      <c r="B251" s="11">
        <v>9251202</v>
      </c>
      <c r="C251" s="11" t="s">
        <v>2735</v>
      </c>
      <c r="D251" s="12">
        <v>46006</v>
      </c>
      <c r="E251" s="12">
        <f>+D251</f>
        <v>46006</v>
      </c>
      <c r="F251" s="12"/>
      <c r="G251" s="13">
        <v>46173</v>
      </c>
      <c r="H251" s="52" t="s">
        <v>2736</v>
      </c>
      <c r="I251" s="11" t="s">
        <v>2737</v>
      </c>
      <c r="J251" s="15" t="str">
        <f>LEFT(I251,6)</f>
        <v>691010</v>
      </c>
      <c r="K251" s="15" t="str">
        <f>MID($I251,3,2)</f>
        <v>10</v>
      </c>
      <c r="L251" s="15" t="str">
        <f>IF(OR(MID($I251,8,1)="1",MID($I251,8,1)="3"),"남자",IF(OR(MID($I251,8,1)="2",MID($I251,8,1)="4"),"여자",""))</f>
        <v>여자</v>
      </c>
      <c r="M251" s="15">
        <f ca="1">YEAR(TODAY())-IF(OR(MID($I251,8,1)="1",MID($I251,8,1)="2"),19&amp;LEFT($I251,2),IF(OR(MID($I251,8,1)="3",MID($I251,8,1)="4"),20&amp;LEFT($I251,2),""))+1</f>
        <v>58</v>
      </c>
      <c r="N251" s="15" t="s">
        <v>2266</v>
      </c>
      <c r="O251" s="15" t="s">
        <v>2267</v>
      </c>
      <c r="P251" s="11" t="s">
        <v>2738</v>
      </c>
      <c r="Q251" s="11"/>
      <c r="R251" s="11"/>
      <c r="S251" s="16"/>
      <c r="T251" s="15" t="s">
        <v>2281</v>
      </c>
      <c r="U251" s="11"/>
      <c r="V251" s="15" t="str">
        <f ca="1">QUOTIENT(SUMPRODUCT(LEFT($W251:$X251,FIND("년",$W251:$X251)-1)*12+MID($W251:$X251,FIND("년",$W251:$X251)+1,FIND("개월",$W251:$X251)-FIND("년",$W251:$X251)-1)),12)&amp;"년"&amp;MOD(SUMPRODUCT(LEFT($W251:$X251,FIND("년",$W251:$X251)-1)*12+MID($W251:$X251,FIND("년",$W251:$X251)+1,FIND("개월",$W251:$X251)-FIND("년",$W251:$X251)-1)),12)&amp;"개월"</f>
        <v>35년2개월</v>
      </c>
      <c r="W251" s="18" t="s">
        <v>2739</v>
      </c>
      <c r="X251" s="18" t="str">
        <f ca="1">DATEDIF($D251,TODAY(),"y")&amp;"년"&amp;DATEDIF($D251,TODAY(),"ym")&amp;"개월"</f>
        <v>0년1개월</v>
      </c>
      <c r="Y251" s="17" t="s">
        <v>2740</v>
      </c>
      <c r="Z251" s="17" t="s">
        <v>2741</v>
      </c>
      <c r="AA251" s="14" t="s">
        <v>171</v>
      </c>
      <c r="AB251" s="16">
        <v>41689</v>
      </c>
      <c r="AC251" s="18">
        <v>19</v>
      </c>
      <c r="AD251" s="15" t="str">
        <f>IF($AA251="학사",IF($AC251&lt;=8,"초급",IF($AC251&lt;12,"중급",IF($AC251&lt;15,"고급",IF($AC251&gt;=15,"특급")))))</f>
        <v>특급</v>
      </c>
      <c r="AE251" s="15" t="str">
        <f>IF(ISNUMBER(SEARCH("산업기사",$AL251)),IF($AC251&gt;=13,"특급",IF($AC251&gt;=10,"고급",IF($AC251&gt;=7,"중급","초급"))),IF(ISNUMBER(SEARCH("기사",$AJ251)),IF($AC251&gt;=10,"특급",IF($AC251&gt;=7,"고급",IF($AC251&gt;=4,"중급","초급"))),"미해당"))</f>
        <v>미해당</v>
      </c>
      <c r="AF251" s="11"/>
      <c r="AG251" s="16"/>
      <c r="AH251" s="11"/>
      <c r="AI251" s="16"/>
      <c r="AJ251" s="11"/>
      <c r="AK251" s="11"/>
      <c r="AL251" s="19"/>
      <c r="AM251" s="11"/>
      <c r="AN251" s="20"/>
      <c r="AO251" s="21"/>
      <c r="AP251" s="21"/>
      <c r="AQ251" s="46" t="s">
        <v>2271</v>
      </c>
      <c r="AR251" s="46" t="s">
        <v>2272</v>
      </c>
      <c r="AS251" s="14" t="s">
        <v>2117</v>
      </c>
      <c r="AT251" s="14" t="s">
        <v>2742</v>
      </c>
      <c r="AU251" s="24"/>
      <c r="AV251" s="24"/>
      <c r="AW251" s="29" t="s">
        <v>2743</v>
      </c>
      <c r="AX251" s="24"/>
      <c r="AY251" s="24"/>
      <c r="AZ251" s="17"/>
      <c r="BA251" s="17"/>
      <c r="BB251" s="26"/>
      <c r="BC251" s="23"/>
    </row>
    <row r="252" spans="1:56" s="57" customFormat="1" ht="15" customHeight="1" x14ac:dyDescent="0.3">
      <c r="I252" s="58" t="s">
        <v>2508</v>
      </c>
      <c r="S252" s="59"/>
      <c r="Y252" s="60"/>
      <c r="Z252" s="60"/>
      <c r="AL252" s="60"/>
      <c r="AW252" s="60"/>
      <c r="AZ252" s="60"/>
      <c r="BA252" s="60"/>
    </row>
    <row r="253" spans="1:56" ht="15" customHeight="1" x14ac:dyDescent="0.3">
      <c r="A253" s="57"/>
      <c r="B253" s="61"/>
      <c r="C253" s="53"/>
      <c r="AB253" s="53"/>
      <c r="AH253" s="62"/>
      <c r="AI253" s="53"/>
      <c r="AO253" s="54"/>
      <c r="BD253" s="63"/>
    </row>
    <row r="254" spans="1:56" ht="15" customHeight="1" x14ac:dyDescent="0.3">
      <c r="A254" s="57"/>
      <c r="B254" s="61"/>
      <c r="C254" s="53"/>
      <c r="AB254" s="53"/>
      <c r="AH254" s="62"/>
      <c r="AI254" s="53"/>
      <c r="AO254" s="54"/>
      <c r="BD254" s="63"/>
    </row>
    <row r="255" spans="1:56" ht="15" customHeight="1" x14ac:dyDescent="0.3">
      <c r="A255" s="57"/>
      <c r="B255" s="61"/>
      <c r="C255" s="53"/>
      <c r="AB255" s="53"/>
      <c r="AH255" s="62"/>
      <c r="AI255" s="53"/>
      <c r="AO255" s="54"/>
      <c r="BD255" s="63"/>
    </row>
    <row r="256" spans="1:56" ht="15" customHeight="1" x14ac:dyDescent="0.3">
      <c r="A256" s="57"/>
      <c r="B256" s="61"/>
      <c r="C256" s="53"/>
      <c r="AB256" s="53"/>
      <c r="AH256" s="62"/>
      <c r="AI256" s="53"/>
      <c r="AO256" s="54"/>
      <c r="BD256" s="63"/>
    </row>
    <row r="257" spans="1:56" ht="15" customHeight="1" x14ac:dyDescent="0.3">
      <c r="A257" s="57"/>
      <c r="B257" s="61"/>
      <c r="C257" s="53"/>
      <c r="AB257" s="53"/>
      <c r="AH257" s="62"/>
      <c r="AI257" s="53"/>
      <c r="AO257" s="54"/>
      <c r="BD257" s="63"/>
    </row>
    <row r="258" spans="1:56" ht="15" customHeight="1" x14ac:dyDescent="0.3">
      <c r="B258" s="61"/>
      <c r="C258" s="53"/>
      <c r="AB258" s="53"/>
      <c r="AH258" s="62"/>
      <c r="AI258" s="53"/>
      <c r="AO258" s="54"/>
      <c r="BD258" s="63"/>
    </row>
    <row r="259" spans="1:56" ht="15" customHeight="1" x14ac:dyDescent="0.3">
      <c r="B259" s="61"/>
      <c r="C259" s="53"/>
      <c r="AB259" s="53"/>
      <c r="AH259" s="62"/>
      <c r="AI259" s="53"/>
      <c r="AO259" s="54"/>
      <c r="BD259" s="63"/>
    </row>
    <row r="260" spans="1:56" ht="15" customHeight="1" x14ac:dyDescent="0.3">
      <c r="B260" s="61"/>
      <c r="C260" s="53"/>
      <c r="AB260" s="53"/>
      <c r="AH260" s="62"/>
      <c r="AI260" s="53"/>
      <c r="AO260" s="54"/>
      <c r="BD260" s="63"/>
    </row>
    <row r="261" spans="1:56" ht="15" customHeight="1" x14ac:dyDescent="0.3">
      <c r="B261" s="61"/>
      <c r="C261" s="53"/>
      <c r="AB261" s="53"/>
      <c r="AH261" s="62"/>
      <c r="AI261" s="53"/>
      <c r="AO261" s="54"/>
      <c r="BD261" s="63"/>
    </row>
    <row r="262" spans="1:56" ht="15" customHeight="1" x14ac:dyDescent="0.3">
      <c r="B262" s="61"/>
      <c r="C262" s="53"/>
      <c r="AB262" s="53"/>
      <c r="AH262" s="62"/>
      <c r="AI262" s="53"/>
      <c r="AO262" s="54"/>
      <c r="BD262" s="63"/>
    </row>
    <row r="263" spans="1:56" ht="15" customHeight="1" x14ac:dyDescent="0.3">
      <c r="B263" s="61"/>
      <c r="C263" s="53"/>
      <c r="AB263" s="53"/>
      <c r="AH263" s="62"/>
      <c r="AI263" s="53"/>
      <c r="AO263" s="54"/>
      <c r="BD263" s="63"/>
    </row>
    <row r="264" spans="1:56" ht="15" customHeight="1" x14ac:dyDescent="0.3">
      <c r="B264" s="61"/>
      <c r="C264" s="53"/>
      <c r="AB264" s="53"/>
      <c r="AH264" s="62"/>
      <c r="AI264" s="53"/>
      <c r="AO264" s="54"/>
      <c r="BD264" s="63"/>
    </row>
    <row r="265" spans="1:56" ht="15" customHeight="1" x14ac:dyDescent="0.3">
      <c r="B265" s="61"/>
      <c r="C265" s="53"/>
      <c r="AB265" s="53"/>
      <c r="AH265" s="62"/>
      <c r="AI265" s="53"/>
      <c r="AO265" s="54"/>
      <c r="BD265" s="63"/>
    </row>
    <row r="266" spans="1:56" ht="15" customHeight="1" x14ac:dyDescent="0.3">
      <c r="B266" s="61"/>
      <c r="C266" s="53"/>
      <c r="AB266" s="53"/>
      <c r="AH266" s="62"/>
      <c r="AI266" s="53"/>
      <c r="AO266" s="54"/>
      <c r="BD266" s="63"/>
    </row>
    <row r="267" spans="1:56" ht="15" customHeight="1" x14ac:dyDescent="0.3">
      <c r="B267" s="61"/>
      <c r="C267" s="53"/>
      <c r="G267" s="53" t="s">
        <v>2744</v>
      </c>
      <c r="AB267" s="53"/>
      <c r="AH267" s="62"/>
      <c r="AI267" s="53"/>
      <c r="AO267" s="54"/>
      <c r="BD267" s="63"/>
    </row>
    <row r="268" spans="1:56" ht="15" customHeight="1" x14ac:dyDescent="0.3">
      <c r="B268" s="61"/>
      <c r="C268" s="53"/>
      <c r="AB268" s="53"/>
      <c r="AH268" s="62"/>
      <c r="AI268" s="53"/>
      <c r="AO268" s="54"/>
      <c r="BD268" s="63"/>
    </row>
    <row r="269" spans="1:56" ht="15" customHeight="1" x14ac:dyDescent="0.3">
      <c r="B269" s="61"/>
      <c r="C269" s="53"/>
      <c r="AB269" s="53"/>
      <c r="AH269" s="62"/>
      <c r="AI269" s="53"/>
      <c r="AO269" s="54"/>
      <c r="BD269" s="63"/>
    </row>
    <row r="270" spans="1:56" ht="15" customHeight="1" x14ac:dyDescent="0.3">
      <c r="B270" s="61"/>
      <c r="C270" s="53"/>
      <c r="AB270" s="53"/>
      <c r="AH270" s="62"/>
      <c r="AI270" s="53"/>
      <c r="AO270" s="54"/>
      <c r="BD270" s="63"/>
    </row>
    <row r="271" spans="1:56" ht="15" customHeight="1" x14ac:dyDescent="0.3">
      <c r="B271" s="61"/>
      <c r="C271" s="53"/>
      <c r="AB271" s="53"/>
      <c r="AH271" s="62"/>
      <c r="AI271" s="53"/>
      <c r="AO271" s="54"/>
      <c r="BD271" s="63"/>
    </row>
    <row r="272" spans="1:56" ht="15" customHeight="1" x14ac:dyDescent="0.3">
      <c r="B272" s="61"/>
      <c r="C272" s="53"/>
      <c r="AB272" s="53"/>
      <c r="AH272" s="62"/>
      <c r="AI272" s="53"/>
      <c r="AO272" s="54"/>
      <c r="BD272" s="63"/>
    </row>
    <row r="273" spans="2:56" ht="15" customHeight="1" x14ac:dyDescent="0.3">
      <c r="B273" s="61"/>
      <c r="C273" s="53"/>
      <c r="AB273" s="53"/>
      <c r="AH273" s="62"/>
      <c r="AI273" s="53"/>
      <c r="AO273" s="54"/>
      <c r="BD273" s="63"/>
    </row>
    <row r="274" spans="2:56" ht="15" customHeight="1" x14ac:dyDescent="0.3">
      <c r="B274" s="61"/>
      <c r="C274" s="53"/>
      <c r="AB274" s="53"/>
      <c r="AH274" s="62"/>
      <c r="AI274" s="53"/>
      <c r="AO274" s="54"/>
      <c r="BD274" s="63"/>
    </row>
    <row r="275" spans="2:56" ht="15" customHeight="1" x14ac:dyDescent="0.3">
      <c r="B275" s="61"/>
      <c r="C275" s="53"/>
      <c r="AB275" s="53"/>
      <c r="AH275" s="62"/>
      <c r="AI275" s="53"/>
      <c r="AO275" s="54"/>
      <c r="BD275" s="63"/>
    </row>
    <row r="276" spans="2:56" ht="15" customHeight="1" x14ac:dyDescent="0.3">
      <c r="B276" s="61"/>
      <c r="C276" s="53"/>
      <c r="AB276" s="53"/>
      <c r="AH276" s="62"/>
      <c r="AI276" s="53"/>
      <c r="AO276" s="54"/>
      <c r="BD276" s="63"/>
    </row>
    <row r="277" spans="2:56" ht="15" customHeight="1" x14ac:dyDescent="0.3">
      <c r="B277" s="61"/>
      <c r="C277" s="53"/>
      <c r="AB277" s="53"/>
      <c r="AH277" s="62"/>
      <c r="AI277" s="53"/>
      <c r="AO277" s="54"/>
      <c r="BD277" s="63"/>
    </row>
    <row r="278" spans="2:56" ht="15" customHeight="1" x14ac:dyDescent="0.3">
      <c r="B278" s="61"/>
      <c r="C278" s="53"/>
      <c r="AB278" s="53"/>
      <c r="AH278" s="62"/>
      <c r="AI278" s="53"/>
      <c r="AO278" s="54"/>
      <c r="BD278" s="63"/>
    </row>
    <row r="279" spans="2:56" ht="15" customHeight="1" x14ac:dyDescent="0.3">
      <c r="B279" s="61"/>
      <c r="C279" s="53"/>
      <c r="AB279" s="53"/>
      <c r="AH279" s="62"/>
      <c r="AI279" s="53"/>
      <c r="AO279" s="54"/>
      <c r="BD279" s="63"/>
    </row>
    <row r="280" spans="2:56" ht="15" customHeight="1" x14ac:dyDescent="0.3">
      <c r="B280" s="61"/>
      <c r="C280" s="53"/>
      <c r="AB280" s="53"/>
      <c r="AH280" s="62"/>
      <c r="AI280" s="53"/>
      <c r="AO280" s="54"/>
      <c r="BD280" s="63"/>
    </row>
    <row r="281" spans="2:56" ht="15" customHeight="1" x14ac:dyDescent="0.3">
      <c r="B281" s="61"/>
      <c r="C281" s="53"/>
      <c r="AB281" s="53"/>
      <c r="AH281" s="62"/>
      <c r="AI281" s="53"/>
      <c r="AO281" s="54"/>
      <c r="BD281" s="63"/>
    </row>
    <row r="282" spans="2:56" ht="15" customHeight="1" x14ac:dyDescent="0.3">
      <c r="B282" s="61"/>
      <c r="C282" s="53"/>
      <c r="AB282" s="53"/>
      <c r="AH282" s="62"/>
      <c r="AI282" s="53"/>
      <c r="AO282" s="54"/>
      <c r="BD282" s="63"/>
    </row>
    <row r="283" spans="2:56" ht="15" customHeight="1" x14ac:dyDescent="0.3">
      <c r="B283" s="61"/>
      <c r="C283" s="53"/>
      <c r="AB283" s="53"/>
      <c r="AH283" s="62"/>
      <c r="AI283" s="53"/>
      <c r="AO283" s="54"/>
      <c r="BD283" s="63"/>
    </row>
    <row r="284" spans="2:56" ht="15" customHeight="1" x14ac:dyDescent="0.3">
      <c r="B284" s="61"/>
      <c r="C284" s="53"/>
      <c r="AB284" s="53"/>
      <c r="AH284" s="62"/>
      <c r="AI284" s="53"/>
      <c r="AO284" s="54"/>
      <c r="BD284" s="63"/>
    </row>
    <row r="285" spans="2:56" ht="15" customHeight="1" x14ac:dyDescent="0.3">
      <c r="B285" s="61"/>
      <c r="C285" s="53"/>
      <c r="AB285" s="53"/>
      <c r="AH285" s="62"/>
      <c r="AI285" s="53"/>
      <c r="AO285" s="54"/>
      <c r="BD285" s="63"/>
    </row>
    <row r="286" spans="2:56" ht="15" customHeight="1" x14ac:dyDescent="0.3">
      <c r="B286" s="61"/>
      <c r="C286" s="53"/>
      <c r="AB286" s="53"/>
      <c r="AH286" s="62"/>
      <c r="AI286" s="53"/>
      <c r="AO286" s="54"/>
      <c r="BD286" s="63"/>
    </row>
    <row r="287" spans="2:56" ht="15" customHeight="1" x14ac:dyDescent="0.3">
      <c r="B287" s="61"/>
      <c r="C287" s="53"/>
      <c r="AB287" s="53"/>
      <c r="AH287" s="62"/>
      <c r="AI287" s="53"/>
      <c r="AO287" s="54"/>
      <c r="BD287" s="63"/>
    </row>
    <row r="288" spans="2:56" ht="15" customHeight="1" x14ac:dyDescent="0.3">
      <c r="B288" s="61"/>
      <c r="C288" s="53"/>
      <c r="AB288" s="53"/>
      <c r="AH288" s="62"/>
      <c r="AI288" s="53"/>
      <c r="AO288" s="54"/>
      <c r="BD288" s="63"/>
    </row>
    <row r="289" spans="2:56" ht="15" customHeight="1" x14ac:dyDescent="0.3">
      <c r="B289" s="61"/>
      <c r="C289" s="53"/>
      <c r="AB289" s="53"/>
      <c r="AH289" s="62"/>
      <c r="AI289" s="53"/>
      <c r="AO289" s="54"/>
      <c r="BD289" s="63"/>
    </row>
    <row r="290" spans="2:56" ht="15" customHeight="1" x14ac:dyDescent="0.3">
      <c r="B290" s="61"/>
      <c r="C290" s="53"/>
      <c r="AB290" s="53"/>
      <c r="AH290" s="62"/>
      <c r="AI290" s="53"/>
      <c r="AO290" s="54"/>
      <c r="BD290" s="63"/>
    </row>
    <row r="291" spans="2:56" ht="15" customHeight="1" x14ac:dyDescent="0.3">
      <c r="B291" s="61"/>
      <c r="C291" s="53"/>
      <c r="AB291" s="53"/>
      <c r="AH291" s="62"/>
      <c r="AI291" s="53"/>
      <c r="AO291" s="54"/>
      <c r="BD291" s="63"/>
    </row>
    <row r="292" spans="2:56" ht="15" customHeight="1" x14ac:dyDescent="0.3">
      <c r="B292" s="61"/>
      <c r="C292" s="53"/>
      <c r="AB292" s="53"/>
      <c r="AH292" s="62"/>
      <c r="AI292" s="53"/>
      <c r="AO292" s="54"/>
      <c r="BD292" s="63"/>
    </row>
    <row r="293" spans="2:56" ht="15" customHeight="1" x14ac:dyDescent="0.3">
      <c r="B293" s="61"/>
      <c r="C293" s="53"/>
      <c r="AB293" s="53"/>
      <c r="AH293" s="62"/>
      <c r="AI293" s="53"/>
      <c r="AO293" s="54"/>
      <c r="BD293" s="63"/>
    </row>
    <row r="294" spans="2:56" ht="15" customHeight="1" x14ac:dyDescent="0.3">
      <c r="B294" s="61"/>
      <c r="C294" s="53"/>
      <c r="AB294" s="53"/>
      <c r="AH294" s="62"/>
      <c r="AI294" s="53"/>
      <c r="AO294" s="54"/>
      <c r="BD294" s="63"/>
    </row>
    <row r="295" spans="2:56" ht="15" customHeight="1" x14ac:dyDescent="0.3">
      <c r="B295" s="61"/>
      <c r="C295" s="53"/>
      <c r="AB295" s="53"/>
      <c r="AH295" s="62"/>
      <c r="AI295" s="53"/>
      <c r="AO295" s="54"/>
      <c r="BD295" s="63"/>
    </row>
    <row r="296" spans="2:56" ht="15" customHeight="1" x14ac:dyDescent="0.3">
      <c r="B296" s="61"/>
      <c r="C296" s="53"/>
      <c r="AB296" s="53"/>
      <c r="AH296" s="62"/>
      <c r="AI296" s="53"/>
      <c r="AO296" s="54"/>
      <c r="BD296" s="63"/>
    </row>
    <row r="297" spans="2:56" ht="15" customHeight="1" x14ac:dyDescent="0.3">
      <c r="B297" s="61"/>
      <c r="C297" s="53"/>
      <c r="AB297" s="53"/>
      <c r="AH297" s="62"/>
      <c r="AI297" s="53"/>
      <c r="AO297" s="54"/>
      <c r="BD297" s="63"/>
    </row>
    <row r="298" spans="2:56" ht="15" customHeight="1" x14ac:dyDescent="0.3">
      <c r="B298" s="61"/>
      <c r="C298" s="53"/>
      <c r="AB298" s="53"/>
      <c r="AH298" s="62"/>
      <c r="AI298" s="53"/>
      <c r="AO298" s="54"/>
      <c r="BD298" s="63"/>
    </row>
    <row r="299" spans="2:56" ht="15" customHeight="1" x14ac:dyDescent="0.3">
      <c r="B299" s="61"/>
      <c r="C299" s="53"/>
      <c r="AB299" s="53"/>
      <c r="AH299" s="62"/>
      <c r="AI299" s="53"/>
      <c r="AO299" s="54"/>
      <c r="BD299" s="63"/>
    </row>
    <row r="300" spans="2:56" ht="15" customHeight="1" x14ac:dyDescent="0.3">
      <c r="B300" s="61"/>
      <c r="C300" s="53"/>
      <c r="AB300" s="53"/>
      <c r="AH300" s="62"/>
      <c r="AI300" s="53"/>
      <c r="AO300" s="54"/>
      <c r="BD300" s="63"/>
    </row>
    <row r="301" spans="2:56" ht="15" customHeight="1" x14ac:dyDescent="0.3">
      <c r="B301" s="61"/>
      <c r="C301" s="53"/>
      <c r="AB301" s="53"/>
      <c r="AH301" s="62"/>
      <c r="AI301" s="53"/>
      <c r="AO301" s="54"/>
      <c r="BD301" s="63"/>
    </row>
    <row r="302" spans="2:56" ht="15" customHeight="1" x14ac:dyDescent="0.3">
      <c r="B302" s="61"/>
      <c r="C302" s="53"/>
      <c r="AB302" s="53"/>
      <c r="AH302" s="62"/>
      <c r="AI302" s="53"/>
      <c r="AO302" s="54"/>
      <c r="BD302" s="63"/>
    </row>
    <row r="303" spans="2:56" ht="15" customHeight="1" x14ac:dyDescent="0.3">
      <c r="B303" s="61"/>
      <c r="C303" s="53"/>
      <c r="AB303" s="53"/>
      <c r="AH303" s="62"/>
      <c r="AI303" s="53"/>
      <c r="AO303" s="54"/>
      <c r="BD303" s="63"/>
    </row>
    <row r="304" spans="2:56" ht="15" customHeight="1" x14ac:dyDescent="0.3">
      <c r="B304" s="61"/>
      <c r="C304" s="53"/>
      <c r="AB304" s="53"/>
      <c r="AH304" s="62"/>
      <c r="AI304" s="53"/>
      <c r="AO304" s="54"/>
      <c r="BD304" s="63"/>
    </row>
    <row r="305" spans="2:56" ht="15" customHeight="1" x14ac:dyDescent="0.3">
      <c r="B305" s="61"/>
      <c r="C305" s="53"/>
      <c r="AB305" s="53"/>
      <c r="AH305" s="62"/>
      <c r="AI305" s="53"/>
      <c r="AO305" s="54"/>
      <c r="BD305" s="63"/>
    </row>
    <row r="306" spans="2:56" ht="15" customHeight="1" x14ac:dyDescent="0.3">
      <c r="B306" s="61"/>
      <c r="C306" s="53"/>
      <c r="AB306" s="53"/>
      <c r="AH306" s="62"/>
      <c r="AI306" s="53"/>
      <c r="AO306" s="54"/>
      <c r="BD306" s="63"/>
    </row>
    <row r="307" spans="2:56" ht="15" customHeight="1" x14ac:dyDescent="0.3">
      <c r="B307" s="61"/>
      <c r="C307" s="53"/>
      <c r="AB307" s="53"/>
      <c r="AH307" s="62"/>
      <c r="AI307" s="53"/>
      <c r="AO307" s="54"/>
      <c r="BD307" s="63"/>
    </row>
    <row r="308" spans="2:56" ht="15" customHeight="1" x14ac:dyDescent="0.3">
      <c r="B308" s="61"/>
      <c r="C308" s="53"/>
      <c r="AB308" s="53"/>
      <c r="AH308" s="62"/>
      <c r="AI308" s="53"/>
      <c r="AO308" s="54"/>
      <c r="BD308" s="63"/>
    </row>
    <row r="309" spans="2:56" ht="15" customHeight="1" x14ac:dyDescent="0.3">
      <c r="B309" s="61"/>
      <c r="C309" s="53"/>
      <c r="AB309" s="53"/>
      <c r="AH309" s="62"/>
      <c r="AI309" s="53"/>
      <c r="AO309" s="54"/>
      <c r="BD309" s="63"/>
    </row>
    <row r="310" spans="2:56" ht="15" customHeight="1" x14ac:dyDescent="0.3">
      <c r="B310" s="61"/>
      <c r="C310" s="53"/>
      <c r="AB310" s="53"/>
      <c r="AH310" s="62"/>
      <c r="AI310" s="53"/>
      <c r="AO310" s="54"/>
      <c r="BD310" s="63"/>
    </row>
    <row r="311" spans="2:56" ht="15" customHeight="1" x14ac:dyDescent="0.3">
      <c r="B311" s="61"/>
      <c r="C311" s="53"/>
      <c r="AB311" s="53"/>
      <c r="AH311" s="62"/>
      <c r="AI311" s="53"/>
      <c r="AO311" s="54"/>
      <c r="BD311" s="63"/>
    </row>
    <row r="312" spans="2:56" ht="15" customHeight="1" x14ac:dyDescent="0.3">
      <c r="B312" s="61"/>
      <c r="C312" s="53"/>
      <c r="AB312" s="53"/>
      <c r="AH312" s="62"/>
      <c r="AI312" s="53"/>
      <c r="AO312" s="54"/>
      <c r="BD312" s="63"/>
    </row>
    <row r="313" spans="2:56" ht="15" customHeight="1" x14ac:dyDescent="0.3">
      <c r="B313" s="61"/>
      <c r="C313" s="53"/>
      <c r="AB313" s="53"/>
      <c r="AH313" s="62"/>
      <c r="AI313" s="53"/>
      <c r="AO313" s="54"/>
      <c r="BD313" s="63"/>
    </row>
    <row r="314" spans="2:56" ht="15" customHeight="1" x14ac:dyDescent="0.3">
      <c r="B314" s="61"/>
      <c r="C314" s="53"/>
      <c r="AB314" s="53"/>
      <c r="AH314" s="62"/>
      <c r="AI314" s="53"/>
      <c r="AO314" s="54"/>
      <c r="BD314" s="63"/>
    </row>
    <row r="315" spans="2:56" ht="15" customHeight="1" x14ac:dyDescent="0.3">
      <c r="B315" s="61"/>
      <c r="C315" s="53"/>
      <c r="AB315" s="53"/>
      <c r="AH315" s="62"/>
      <c r="AI315" s="53"/>
      <c r="AO315" s="54"/>
      <c r="BD315" s="63"/>
    </row>
    <row r="316" spans="2:56" ht="15" customHeight="1" x14ac:dyDescent="0.3">
      <c r="B316" s="61"/>
      <c r="C316" s="53"/>
      <c r="AB316" s="53"/>
      <c r="AH316" s="62"/>
      <c r="AI316" s="53"/>
      <c r="AO316" s="54"/>
      <c r="BD316" s="63"/>
    </row>
    <row r="317" spans="2:56" ht="15" customHeight="1" x14ac:dyDescent="0.3">
      <c r="B317" s="61"/>
      <c r="C317" s="53"/>
      <c r="AB317" s="53"/>
      <c r="AH317" s="62"/>
      <c r="AI317" s="53"/>
      <c r="AO317" s="54"/>
      <c r="BD317" s="63"/>
    </row>
    <row r="318" spans="2:56" ht="15" customHeight="1" x14ac:dyDescent="0.3">
      <c r="B318" s="61"/>
      <c r="C318" s="53"/>
      <c r="AB318" s="53"/>
      <c r="AH318" s="62"/>
      <c r="AI318" s="53"/>
      <c r="AO318" s="54"/>
      <c r="BD318" s="63"/>
    </row>
    <row r="319" spans="2:56" ht="15" customHeight="1" x14ac:dyDescent="0.3">
      <c r="B319" s="61"/>
      <c r="C319" s="53"/>
      <c r="AB319" s="53"/>
      <c r="AH319" s="62"/>
      <c r="AI319" s="53"/>
      <c r="AO319" s="54"/>
      <c r="BD319" s="63"/>
    </row>
    <row r="320" spans="2:56" ht="15" customHeight="1" x14ac:dyDescent="0.3">
      <c r="B320" s="61"/>
      <c r="C320" s="53"/>
      <c r="AB320" s="53"/>
      <c r="AH320" s="62"/>
      <c r="AI320" s="53"/>
      <c r="AO320" s="54"/>
      <c r="BD320" s="63"/>
    </row>
    <row r="321" spans="2:56" ht="15" customHeight="1" x14ac:dyDescent="0.3">
      <c r="B321" s="61"/>
      <c r="C321" s="53"/>
      <c r="AB321" s="53"/>
      <c r="AH321" s="62"/>
      <c r="AI321" s="53"/>
      <c r="AO321" s="54"/>
      <c r="BD321" s="63"/>
    </row>
    <row r="322" spans="2:56" ht="15" customHeight="1" x14ac:dyDescent="0.3">
      <c r="B322" s="61"/>
      <c r="C322" s="53"/>
      <c r="AB322" s="53"/>
      <c r="AH322" s="62"/>
      <c r="AI322" s="53"/>
      <c r="AO322" s="54"/>
      <c r="BD322" s="63"/>
    </row>
    <row r="323" spans="2:56" ht="15" customHeight="1" x14ac:dyDescent="0.3">
      <c r="B323" s="61"/>
      <c r="C323" s="53"/>
      <c r="AB323" s="53"/>
      <c r="AH323" s="62"/>
      <c r="AI323" s="53"/>
      <c r="AO323" s="54"/>
      <c r="BD323" s="63"/>
    </row>
    <row r="324" spans="2:56" ht="15" customHeight="1" x14ac:dyDescent="0.3">
      <c r="B324" s="61"/>
      <c r="C324" s="53"/>
      <c r="AB324" s="53"/>
      <c r="AH324" s="62"/>
      <c r="AI324" s="53"/>
      <c r="AO324" s="54"/>
      <c r="BD324" s="63"/>
    </row>
    <row r="325" spans="2:56" ht="15" customHeight="1" x14ac:dyDescent="0.3">
      <c r="B325" s="61"/>
      <c r="C325" s="53"/>
      <c r="AB325" s="53"/>
      <c r="AH325" s="62"/>
      <c r="AI325" s="53"/>
      <c r="AO325" s="54"/>
      <c r="BD325" s="63"/>
    </row>
    <row r="326" spans="2:56" ht="15" customHeight="1" x14ac:dyDescent="0.3">
      <c r="B326" s="61"/>
      <c r="C326" s="53"/>
      <c r="AB326" s="53"/>
      <c r="AH326" s="62"/>
      <c r="AI326" s="53"/>
      <c r="AO326" s="54"/>
      <c r="BD326" s="63"/>
    </row>
    <row r="327" spans="2:56" ht="15" customHeight="1" x14ac:dyDescent="0.3">
      <c r="B327" s="61"/>
      <c r="C327" s="53"/>
      <c r="AB327" s="53"/>
      <c r="AH327" s="62"/>
      <c r="AI327" s="53"/>
      <c r="AO327" s="54"/>
      <c r="BD327" s="63"/>
    </row>
    <row r="328" spans="2:56" ht="15" customHeight="1" x14ac:dyDescent="0.3">
      <c r="B328" s="61"/>
      <c r="C328" s="53"/>
      <c r="AB328" s="53"/>
      <c r="AH328" s="62"/>
      <c r="AI328" s="53"/>
      <c r="AO328" s="54"/>
      <c r="BD328" s="63"/>
    </row>
    <row r="329" spans="2:56" ht="15" customHeight="1" x14ac:dyDescent="0.3">
      <c r="B329" s="61"/>
      <c r="C329" s="53"/>
      <c r="AB329" s="53"/>
      <c r="AH329" s="62"/>
      <c r="AI329" s="53"/>
      <c r="AO329" s="54"/>
      <c r="BD329" s="63"/>
    </row>
    <row r="330" spans="2:56" ht="15" customHeight="1" x14ac:dyDescent="0.3">
      <c r="B330" s="61"/>
      <c r="C330" s="53"/>
      <c r="AB330" s="53"/>
      <c r="AH330" s="62"/>
      <c r="AI330" s="53"/>
      <c r="AO330" s="54"/>
      <c r="BD330" s="63"/>
    </row>
    <row r="331" spans="2:56" ht="15" customHeight="1" x14ac:dyDescent="0.3">
      <c r="B331" s="61"/>
      <c r="C331" s="53"/>
      <c r="AB331" s="53"/>
      <c r="AH331" s="62"/>
      <c r="AI331" s="53"/>
      <c r="AO331" s="54"/>
      <c r="BD331" s="63"/>
    </row>
    <row r="332" spans="2:56" ht="15" customHeight="1" x14ac:dyDescent="0.3">
      <c r="B332" s="61"/>
      <c r="C332" s="53"/>
      <c r="AB332" s="53"/>
      <c r="AH332" s="62"/>
      <c r="AI332" s="53"/>
      <c r="AO332" s="54"/>
      <c r="BD332" s="63"/>
    </row>
    <row r="333" spans="2:56" ht="15" customHeight="1" x14ac:dyDescent="0.3">
      <c r="B333" s="61"/>
      <c r="C333" s="53"/>
      <c r="AB333" s="53"/>
      <c r="AH333" s="62"/>
      <c r="AI333" s="53"/>
      <c r="AO333" s="54"/>
      <c r="BD333" s="63"/>
    </row>
    <row r="334" spans="2:56" ht="15" customHeight="1" x14ac:dyDescent="0.3">
      <c r="B334" s="61"/>
      <c r="C334" s="53"/>
      <c r="AB334" s="53"/>
      <c r="AH334" s="62"/>
      <c r="AI334" s="53"/>
      <c r="AO334" s="54"/>
      <c r="BD334" s="63"/>
    </row>
    <row r="335" spans="2:56" ht="15" customHeight="1" x14ac:dyDescent="0.3">
      <c r="B335" s="61"/>
      <c r="C335" s="53"/>
      <c r="AB335" s="53"/>
      <c r="AH335" s="62"/>
      <c r="AI335" s="53"/>
      <c r="AO335" s="54"/>
      <c r="BD335" s="63"/>
    </row>
    <row r="336" spans="2:56" ht="15" customHeight="1" x14ac:dyDescent="0.3">
      <c r="B336" s="61"/>
      <c r="C336" s="53"/>
      <c r="AB336" s="53"/>
      <c r="AH336" s="62"/>
      <c r="AI336" s="53"/>
      <c r="AO336" s="54"/>
      <c r="BD336" s="63"/>
    </row>
    <row r="337" spans="2:56" ht="15" customHeight="1" x14ac:dyDescent="0.3">
      <c r="B337" s="61"/>
      <c r="C337" s="53"/>
      <c r="AB337" s="53"/>
      <c r="AH337" s="62"/>
      <c r="AI337" s="53"/>
      <c r="AO337" s="54"/>
      <c r="BD337" s="63"/>
    </row>
    <row r="338" spans="2:56" ht="15" customHeight="1" x14ac:dyDescent="0.3">
      <c r="B338" s="61"/>
      <c r="C338" s="53"/>
      <c r="AB338" s="53"/>
      <c r="AH338" s="62"/>
      <c r="AI338" s="53"/>
      <c r="AO338" s="54"/>
      <c r="BD338" s="63"/>
    </row>
    <row r="339" spans="2:56" ht="15" customHeight="1" x14ac:dyDescent="0.3">
      <c r="B339" s="61"/>
      <c r="C339" s="53"/>
      <c r="AB339" s="53"/>
      <c r="AH339" s="62"/>
      <c r="AI339" s="53"/>
      <c r="AO339" s="54"/>
      <c r="BD339" s="63"/>
    </row>
    <row r="340" spans="2:56" ht="15" customHeight="1" x14ac:dyDescent="0.3">
      <c r="B340" s="61"/>
      <c r="C340" s="53"/>
      <c r="X340" s="53" t="s">
        <v>2745</v>
      </c>
      <c r="AB340" s="53"/>
      <c r="AH340" s="62"/>
      <c r="AI340" s="53"/>
      <c r="AO340" s="54"/>
      <c r="BD340" s="63"/>
    </row>
    <row r="341" spans="2:56" ht="15" customHeight="1" x14ac:dyDescent="0.3">
      <c r="B341" s="61"/>
      <c r="C341" s="53"/>
      <c r="AB341" s="53"/>
      <c r="AH341" s="62"/>
      <c r="AI341" s="53"/>
      <c r="AO341" s="54"/>
      <c r="BD341" s="63"/>
    </row>
    <row r="342" spans="2:56" ht="15" customHeight="1" x14ac:dyDescent="0.3">
      <c r="B342" s="61"/>
      <c r="C342" s="53"/>
      <c r="AB342" s="53"/>
      <c r="AH342" s="62"/>
      <c r="AI342" s="53"/>
      <c r="AO342" s="54"/>
      <c r="BD342" s="63"/>
    </row>
    <row r="343" spans="2:56" ht="15" customHeight="1" x14ac:dyDescent="0.3">
      <c r="B343" s="61"/>
      <c r="C343" s="53"/>
      <c r="AB343" s="53"/>
      <c r="AH343" s="62"/>
      <c r="AI343" s="53"/>
      <c r="AO343" s="54"/>
      <c r="BD343" s="63"/>
    </row>
    <row r="344" spans="2:56" ht="15" customHeight="1" x14ac:dyDescent="0.3">
      <c r="B344" s="61"/>
      <c r="C344" s="53"/>
      <c r="AB344" s="53"/>
      <c r="AH344" s="62"/>
      <c r="AI344" s="53"/>
      <c r="AO344" s="54"/>
      <c r="BD344" s="63"/>
    </row>
    <row r="345" spans="2:56" ht="15" customHeight="1" x14ac:dyDescent="0.3">
      <c r="B345" s="61"/>
      <c r="C345" s="53"/>
      <c r="AB345" s="53"/>
      <c r="AH345" s="62"/>
      <c r="AI345" s="53"/>
      <c r="AO345" s="54"/>
      <c r="BD345" s="63"/>
    </row>
    <row r="346" spans="2:56" ht="15" customHeight="1" x14ac:dyDescent="0.3">
      <c r="B346" s="61"/>
      <c r="C346" s="53"/>
      <c r="AB346" s="53"/>
      <c r="AH346" s="62"/>
      <c r="AI346" s="53"/>
      <c r="AO346" s="54"/>
      <c r="BD346" s="63"/>
    </row>
    <row r="347" spans="2:56" ht="15" customHeight="1" x14ac:dyDescent="0.3">
      <c r="B347" s="61"/>
      <c r="C347" s="53"/>
      <c r="AB347" s="53"/>
      <c r="AH347" s="62"/>
      <c r="AI347" s="53"/>
      <c r="AO347" s="54"/>
      <c r="BD347" s="63"/>
    </row>
    <row r="348" spans="2:56" ht="15" customHeight="1" x14ac:dyDescent="0.3">
      <c r="B348" s="61"/>
      <c r="C348" s="53"/>
      <c r="AB348" s="53"/>
      <c r="AH348" s="62"/>
      <c r="AI348" s="53"/>
      <c r="AO348" s="54"/>
      <c r="BD348" s="63"/>
    </row>
    <row r="349" spans="2:56" ht="15" customHeight="1" x14ac:dyDescent="0.3">
      <c r="B349" s="61"/>
      <c r="C349" s="53"/>
      <c r="AB349" s="53"/>
      <c r="AH349" s="62"/>
      <c r="AI349" s="53"/>
      <c r="AO349" s="54"/>
      <c r="BD349" s="63"/>
    </row>
    <row r="350" spans="2:56" ht="15" customHeight="1" x14ac:dyDescent="0.3">
      <c r="B350" s="61"/>
      <c r="C350" s="53"/>
      <c r="AB350" s="53"/>
      <c r="AH350" s="62"/>
      <c r="AI350" s="53"/>
      <c r="AO350" s="54"/>
      <c r="BD350" s="63"/>
    </row>
    <row r="351" spans="2:56" ht="15" customHeight="1" x14ac:dyDescent="0.3">
      <c r="B351" s="61"/>
      <c r="C351" s="53"/>
      <c r="AB351" s="53"/>
      <c r="AH351" s="62"/>
      <c r="AI351" s="53"/>
      <c r="AO351" s="54"/>
      <c r="BD351" s="63"/>
    </row>
    <row r="352" spans="2:56" ht="15" customHeight="1" x14ac:dyDescent="0.3">
      <c r="B352" s="61"/>
      <c r="C352" s="53"/>
      <c r="AB352" s="53"/>
      <c r="AH352" s="62"/>
      <c r="AI352" s="53"/>
      <c r="AO352" s="54"/>
      <c r="BD352" s="63"/>
    </row>
    <row r="353" spans="2:56" ht="15" customHeight="1" x14ac:dyDescent="0.3">
      <c r="B353" s="61"/>
      <c r="C353" s="53"/>
      <c r="AB353" s="53"/>
      <c r="AH353" s="62"/>
      <c r="AI353" s="53"/>
      <c r="AO353" s="54"/>
      <c r="BD353" s="63"/>
    </row>
    <row r="354" spans="2:56" ht="15" customHeight="1" x14ac:dyDescent="0.3">
      <c r="B354" s="61"/>
      <c r="C354" s="53"/>
      <c r="AB354" s="53"/>
      <c r="AH354" s="62"/>
      <c r="AI354" s="53"/>
      <c r="AO354" s="54"/>
      <c r="BD354" s="63"/>
    </row>
    <row r="355" spans="2:56" ht="15" customHeight="1" x14ac:dyDescent="0.3">
      <c r="B355" s="61"/>
      <c r="C355" s="53"/>
      <c r="AB355" s="53"/>
      <c r="AH355" s="62"/>
      <c r="AI355" s="53"/>
      <c r="AO355" s="54"/>
      <c r="BD355" s="63"/>
    </row>
    <row r="356" spans="2:56" ht="15" customHeight="1" x14ac:dyDescent="0.3">
      <c r="B356" s="61"/>
      <c r="C356" s="53"/>
      <c r="AB356" s="53"/>
      <c r="AH356" s="62"/>
      <c r="AI356" s="53"/>
      <c r="AO356" s="54"/>
      <c r="BD356" s="63"/>
    </row>
    <row r="357" spans="2:56" ht="15" customHeight="1" x14ac:dyDescent="0.3">
      <c r="B357" s="61"/>
      <c r="C357" s="53"/>
      <c r="AB357" s="53"/>
      <c r="AH357" s="62"/>
      <c r="AI357" s="53"/>
      <c r="AO357" s="54"/>
      <c r="BD357" s="63"/>
    </row>
    <row r="358" spans="2:56" ht="15" customHeight="1" x14ac:dyDescent="0.3">
      <c r="B358" s="61"/>
      <c r="C358" s="53"/>
      <c r="AB358" s="53"/>
      <c r="AH358" s="62"/>
      <c r="AI358" s="53"/>
      <c r="AO358" s="54"/>
      <c r="BD358" s="63"/>
    </row>
    <row r="359" spans="2:56" ht="15" customHeight="1" x14ac:dyDescent="0.3">
      <c r="B359" s="61"/>
      <c r="C359" s="53"/>
      <c r="AB359" s="53"/>
      <c r="AH359" s="62"/>
      <c r="AI359" s="53"/>
      <c r="AO359" s="54"/>
      <c r="BD359" s="63"/>
    </row>
    <row r="360" spans="2:56" ht="15" customHeight="1" x14ac:dyDescent="0.3">
      <c r="B360" s="61"/>
      <c r="C360" s="53"/>
      <c r="AB360" s="53"/>
      <c r="AH360" s="62"/>
      <c r="AI360" s="53"/>
      <c r="AO360" s="54"/>
      <c r="BD360" s="63"/>
    </row>
    <row r="361" spans="2:56" ht="15" customHeight="1" x14ac:dyDescent="0.3">
      <c r="B361" s="61"/>
      <c r="C361" s="53"/>
      <c r="AB361" s="53"/>
      <c r="AH361" s="62"/>
      <c r="AI361" s="53"/>
      <c r="AO361" s="54"/>
      <c r="BD361" s="63"/>
    </row>
    <row r="362" spans="2:56" ht="15" customHeight="1" x14ac:dyDescent="0.3">
      <c r="B362" s="61"/>
      <c r="C362" s="53"/>
      <c r="AB362" s="53"/>
      <c r="AH362" s="62"/>
      <c r="AI362" s="53"/>
      <c r="AO362" s="54"/>
      <c r="BD362" s="63"/>
    </row>
    <row r="363" spans="2:56" ht="15" customHeight="1" x14ac:dyDescent="0.3">
      <c r="B363" s="61"/>
      <c r="C363" s="53"/>
      <c r="AB363" s="53"/>
      <c r="AH363" s="62"/>
      <c r="AI363" s="53"/>
      <c r="AO363" s="54"/>
      <c r="BD363" s="63"/>
    </row>
    <row r="364" spans="2:56" ht="15" customHeight="1" x14ac:dyDescent="0.3">
      <c r="B364" s="61"/>
      <c r="C364" s="53"/>
      <c r="AB364" s="53"/>
      <c r="AH364" s="62"/>
      <c r="AI364" s="53"/>
      <c r="AO364" s="54"/>
      <c r="BD364" s="63"/>
    </row>
    <row r="365" spans="2:56" ht="15" customHeight="1" x14ac:dyDescent="0.3">
      <c r="B365" s="61"/>
      <c r="C365" s="53"/>
      <c r="AB365" s="53"/>
      <c r="AH365" s="62"/>
      <c r="AI365" s="53"/>
      <c r="AO365" s="54"/>
      <c r="BD365" s="63"/>
    </row>
    <row r="366" spans="2:56" ht="15" customHeight="1" x14ac:dyDescent="0.3">
      <c r="B366" s="61"/>
      <c r="C366" s="53"/>
      <c r="AB366" s="53"/>
      <c r="AH366" s="62"/>
      <c r="AI366" s="53"/>
      <c r="AO366" s="54"/>
      <c r="BD366" s="63"/>
    </row>
    <row r="367" spans="2:56" ht="15" customHeight="1" x14ac:dyDescent="0.3">
      <c r="B367" s="61"/>
      <c r="C367" s="53"/>
      <c r="AB367" s="53"/>
      <c r="AH367" s="62"/>
      <c r="AI367" s="53"/>
      <c r="AO367" s="54"/>
      <c r="BD367" s="63"/>
    </row>
    <row r="368" spans="2:56" ht="15" customHeight="1" x14ac:dyDescent="0.3">
      <c r="B368" s="61"/>
      <c r="C368" s="53"/>
      <c r="AB368" s="53"/>
      <c r="AH368" s="62"/>
      <c r="AI368" s="53"/>
      <c r="AO368" s="54"/>
      <c r="BD368" s="63"/>
    </row>
    <row r="369" spans="2:56" ht="15" customHeight="1" x14ac:dyDescent="0.3">
      <c r="B369" s="61"/>
      <c r="C369" s="53"/>
      <c r="AB369" s="53"/>
      <c r="AH369" s="62"/>
      <c r="AI369" s="53"/>
      <c r="AO369" s="54"/>
      <c r="BD369" s="63"/>
    </row>
    <row r="370" spans="2:56" ht="15" customHeight="1" x14ac:dyDescent="0.3">
      <c r="B370" s="61"/>
      <c r="C370" s="53"/>
      <c r="AB370" s="53"/>
      <c r="AH370" s="62"/>
      <c r="AI370" s="53"/>
      <c r="AO370" s="54"/>
      <c r="BD370" s="63"/>
    </row>
    <row r="371" spans="2:56" ht="15" customHeight="1" x14ac:dyDescent="0.3">
      <c r="B371" s="61"/>
      <c r="C371" s="53"/>
      <c r="AB371" s="53"/>
      <c r="AH371" s="62"/>
      <c r="AI371" s="53"/>
      <c r="AO371" s="54"/>
      <c r="BD371" s="63"/>
    </row>
    <row r="372" spans="2:56" ht="15" customHeight="1" x14ac:dyDescent="0.3">
      <c r="B372" s="61"/>
      <c r="C372" s="53"/>
      <c r="AB372" s="53"/>
      <c r="AH372" s="62"/>
      <c r="AI372" s="53"/>
      <c r="AO372" s="54"/>
      <c r="BD372" s="63"/>
    </row>
    <row r="373" spans="2:56" ht="15" customHeight="1" x14ac:dyDescent="0.3">
      <c r="B373" s="61"/>
      <c r="C373" s="53"/>
      <c r="AB373" s="53"/>
      <c r="AH373" s="62"/>
      <c r="AI373" s="53"/>
      <c r="AO373" s="54"/>
      <c r="BD373" s="63"/>
    </row>
    <row r="374" spans="2:56" ht="15" customHeight="1" x14ac:dyDescent="0.3">
      <c r="B374" s="61"/>
      <c r="C374" s="53"/>
      <c r="AB374" s="53"/>
      <c r="AH374" s="62"/>
      <c r="AI374" s="53"/>
      <c r="AO374" s="54"/>
      <c r="BD374" s="63"/>
    </row>
    <row r="375" spans="2:56" ht="15" customHeight="1" x14ac:dyDescent="0.3">
      <c r="B375" s="61"/>
      <c r="C375" s="53"/>
      <c r="AB375" s="53"/>
      <c r="AH375" s="62"/>
      <c r="AI375" s="53"/>
      <c r="AO375" s="54"/>
      <c r="BD375" s="63"/>
    </row>
    <row r="376" spans="2:56" ht="15" customHeight="1" x14ac:dyDescent="0.3">
      <c r="B376" s="61"/>
      <c r="C376" s="53"/>
      <c r="AB376" s="53"/>
      <c r="AH376" s="62"/>
      <c r="AI376" s="53"/>
      <c r="AO376" s="54"/>
      <c r="BD376" s="63"/>
    </row>
    <row r="377" spans="2:56" ht="15" customHeight="1" x14ac:dyDescent="0.3">
      <c r="B377" s="61"/>
      <c r="C377" s="53"/>
      <c r="AB377" s="53"/>
      <c r="AH377" s="62"/>
      <c r="AI377" s="53"/>
      <c r="AO377" s="54"/>
      <c r="BD377" s="63"/>
    </row>
    <row r="378" spans="2:56" ht="15" customHeight="1" x14ac:dyDescent="0.3">
      <c r="B378" s="61"/>
      <c r="C378" s="53"/>
      <c r="AB378" s="53"/>
      <c r="AH378" s="62"/>
      <c r="AI378" s="53"/>
      <c r="AO378" s="54"/>
      <c r="BD378" s="63"/>
    </row>
    <row r="379" spans="2:56" ht="15" customHeight="1" x14ac:dyDescent="0.3">
      <c r="B379" s="61"/>
      <c r="C379" s="53"/>
      <c r="AB379" s="53"/>
      <c r="AH379" s="62"/>
      <c r="AI379" s="53"/>
      <c r="AO379" s="54"/>
      <c r="BD379" s="63"/>
    </row>
    <row r="380" spans="2:56" ht="15" customHeight="1" x14ac:dyDescent="0.3">
      <c r="B380" s="61"/>
      <c r="C380" s="53"/>
      <c r="AB380" s="53"/>
      <c r="AH380" s="62"/>
      <c r="AI380" s="53"/>
      <c r="AO380" s="54"/>
      <c r="BD380" s="63"/>
    </row>
    <row r="381" spans="2:56" ht="15" customHeight="1" x14ac:dyDescent="0.3">
      <c r="B381" s="61"/>
      <c r="C381" s="53"/>
      <c r="AB381" s="53"/>
      <c r="AH381" s="62"/>
      <c r="AI381" s="53"/>
      <c r="AO381" s="54"/>
      <c r="BD381" s="63"/>
    </row>
    <row r="382" spans="2:56" ht="15" customHeight="1" x14ac:dyDescent="0.3">
      <c r="B382" s="61"/>
      <c r="C382" s="53"/>
      <c r="AB382" s="53"/>
      <c r="AH382" s="62"/>
      <c r="AI382" s="53"/>
      <c r="AO382" s="54"/>
      <c r="BD382" s="63"/>
    </row>
    <row r="383" spans="2:56" ht="15" customHeight="1" x14ac:dyDescent="0.3">
      <c r="B383" s="61"/>
      <c r="C383" s="53"/>
      <c r="AB383" s="53"/>
      <c r="AH383" s="62"/>
      <c r="AI383" s="53"/>
      <c r="AO383" s="54"/>
      <c r="BD383" s="63"/>
    </row>
    <row r="384" spans="2:56" ht="15" customHeight="1" x14ac:dyDescent="0.3">
      <c r="B384" s="61"/>
      <c r="C384" s="53"/>
      <c r="AB384" s="53"/>
      <c r="AH384" s="62"/>
      <c r="AI384" s="53"/>
      <c r="AO384" s="54"/>
      <c r="BD384" s="63"/>
    </row>
    <row r="385" spans="2:56" ht="15" customHeight="1" x14ac:dyDescent="0.3">
      <c r="B385" s="61"/>
      <c r="C385" s="53"/>
      <c r="AB385" s="53"/>
      <c r="AH385" s="62"/>
      <c r="AI385" s="53"/>
      <c r="AO385" s="54"/>
      <c r="BD385" s="63"/>
    </row>
    <row r="386" spans="2:56" ht="15" customHeight="1" x14ac:dyDescent="0.3">
      <c r="B386" s="61"/>
      <c r="C386" s="53"/>
      <c r="AB386" s="53"/>
      <c r="AH386" s="62"/>
      <c r="AI386" s="53"/>
      <c r="AO386" s="54"/>
      <c r="BD386" s="63"/>
    </row>
    <row r="387" spans="2:56" ht="15" customHeight="1" x14ac:dyDescent="0.3">
      <c r="B387" s="61"/>
      <c r="C387" s="53"/>
      <c r="AB387" s="53"/>
      <c r="AH387" s="62"/>
      <c r="AI387" s="53"/>
      <c r="AO387" s="54"/>
      <c r="BD387" s="63"/>
    </row>
    <row r="388" spans="2:56" ht="15" customHeight="1" x14ac:dyDescent="0.3">
      <c r="B388" s="61"/>
      <c r="C388" s="53"/>
      <c r="AB388" s="53"/>
      <c r="AH388" s="62"/>
      <c r="AI388" s="53"/>
      <c r="AO388" s="54"/>
      <c r="BD388" s="63"/>
    </row>
    <row r="389" spans="2:56" ht="15" customHeight="1" x14ac:dyDescent="0.3">
      <c r="B389" s="61"/>
      <c r="C389" s="53"/>
      <c r="AB389" s="53"/>
      <c r="AH389" s="62"/>
      <c r="AI389" s="53"/>
      <c r="AO389" s="54"/>
      <c r="BD389" s="63"/>
    </row>
    <row r="390" spans="2:56" ht="15" customHeight="1" x14ac:dyDescent="0.3">
      <c r="B390" s="61"/>
      <c r="C390" s="53"/>
      <c r="AB390" s="53"/>
      <c r="AH390" s="62"/>
      <c r="AI390" s="53"/>
      <c r="AO390" s="54"/>
      <c r="BD390" s="63"/>
    </row>
    <row r="391" spans="2:56" ht="15" customHeight="1" x14ac:dyDescent="0.3">
      <c r="B391" s="61"/>
      <c r="C391" s="53"/>
      <c r="AB391" s="53"/>
      <c r="AH391" s="62"/>
      <c r="AI391" s="53"/>
      <c r="AO391" s="54"/>
      <c r="BD391" s="63"/>
    </row>
    <row r="392" spans="2:56" ht="15" customHeight="1" x14ac:dyDescent="0.3">
      <c r="B392" s="61"/>
      <c r="C392" s="53"/>
      <c r="AB392" s="53"/>
      <c r="AH392" s="62"/>
      <c r="AI392" s="53"/>
      <c r="AO392" s="54"/>
      <c r="BD392" s="63"/>
    </row>
    <row r="393" spans="2:56" ht="15" customHeight="1" x14ac:dyDescent="0.3">
      <c r="B393" s="61"/>
      <c r="C393" s="53"/>
      <c r="AB393" s="53"/>
      <c r="AH393" s="62"/>
      <c r="AI393" s="53"/>
      <c r="AO393" s="54"/>
      <c r="BD393" s="63"/>
    </row>
    <row r="394" spans="2:56" ht="15" customHeight="1" x14ac:dyDescent="0.3">
      <c r="B394" s="61"/>
      <c r="C394" s="53"/>
      <c r="AB394" s="53"/>
      <c r="AH394" s="62"/>
      <c r="AI394" s="53"/>
      <c r="AO394" s="54"/>
      <c r="BD394" s="63"/>
    </row>
    <row r="395" spans="2:56" ht="15" customHeight="1" x14ac:dyDescent="0.3">
      <c r="B395" s="61"/>
      <c r="C395" s="53"/>
      <c r="AB395" s="53"/>
      <c r="AH395" s="62"/>
      <c r="AI395" s="53"/>
      <c r="AO395" s="54"/>
      <c r="BD395" s="63"/>
    </row>
    <row r="396" spans="2:56" ht="15" customHeight="1" x14ac:dyDescent="0.3">
      <c r="B396" s="61"/>
      <c r="C396" s="53"/>
      <c r="AB396" s="53"/>
      <c r="AH396" s="62"/>
      <c r="AI396" s="53"/>
      <c r="AO396" s="54"/>
      <c r="BD396" s="63"/>
    </row>
    <row r="397" spans="2:56" ht="15" customHeight="1" x14ac:dyDescent="0.3">
      <c r="B397" s="61"/>
      <c r="C397" s="53"/>
      <c r="AB397" s="53"/>
      <c r="AH397" s="62"/>
      <c r="AI397" s="53"/>
      <c r="AO397" s="54"/>
      <c r="BD397" s="63"/>
    </row>
    <row r="398" spans="2:56" ht="15" customHeight="1" x14ac:dyDescent="0.3">
      <c r="B398" s="61"/>
      <c r="C398" s="53"/>
      <c r="AB398" s="53"/>
      <c r="AH398" s="62"/>
      <c r="AI398" s="53"/>
      <c r="AO398" s="54"/>
      <c r="BD398" s="63"/>
    </row>
    <row r="399" spans="2:56" ht="15" customHeight="1" x14ac:dyDescent="0.3">
      <c r="B399" s="61"/>
      <c r="C399" s="53"/>
      <c r="AB399" s="53"/>
      <c r="AH399" s="62"/>
      <c r="AI399" s="53"/>
      <c r="AO399" s="54"/>
      <c r="BD399" s="63"/>
    </row>
    <row r="400" spans="2:56" ht="15" customHeight="1" x14ac:dyDescent="0.3">
      <c r="B400" s="61"/>
      <c r="C400" s="53"/>
      <c r="AB400" s="53"/>
      <c r="AH400" s="62"/>
      <c r="AI400" s="53"/>
      <c r="AO400" s="54"/>
      <c r="BD400" s="63"/>
    </row>
    <row r="401" spans="2:56" ht="15" customHeight="1" x14ac:dyDescent="0.3">
      <c r="B401" s="61"/>
      <c r="C401" s="53"/>
      <c r="AB401" s="53"/>
      <c r="AH401" s="62"/>
      <c r="AI401" s="53"/>
      <c r="AO401" s="54"/>
      <c r="BD401" s="63"/>
    </row>
    <row r="402" spans="2:56" ht="15" customHeight="1" x14ac:dyDescent="0.3">
      <c r="B402" s="61"/>
      <c r="C402" s="53"/>
      <c r="AB402" s="53"/>
      <c r="AH402" s="62"/>
      <c r="AI402" s="53"/>
      <c r="AO402" s="54"/>
      <c r="BD402" s="63"/>
    </row>
    <row r="403" spans="2:56" ht="15" customHeight="1" x14ac:dyDescent="0.3">
      <c r="B403" s="61"/>
      <c r="C403" s="53"/>
      <c r="AB403" s="53"/>
      <c r="AH403" s="62"/>
      <c r="AI403" s="53"/>
      <c r="AO403" s="54"/>
      <c r="BD403" s="63"/>
    </row>
    <row r="404" spans="2:56" ht="15" customHeight="1" x14ac:dyDescent="0.3">
      <c r="B404" s="61"/>
      <c r="C404" s="53"/>
      <c r="AB404" s="53"/>
      <c r="AH404" s="62"/>
      <c r="AI404" s="53"/>
      <c r="AO404" s="54"/>
      <c r="BD404" s="63"/>
    </row>
    <row r="405" spans="2:56" ht="15" customHeight="1" x14ac:dyDescent="0.3">
      <c r="B405" s="61"/>
      <c r="C405" s="53"/>
      <c r="AB405" s="53"/>
      <c r="AH405" s="62"/>
      <c r="AI405" s="53"/>
      <c r="AO405" s="54"/>
      <c r="BD405" s="63"/>
    </row>
    <row r="406" spans="2:56" ht="15" customHeight="1" x14ac:dyDescent="0.3">
      <c r="B406" s="61"/>
      <c r="C406" s="53"/>
      <c r="AB406" s="53"/>
      <c r="AH406" s="62"/>
      <c r="AI406" s="53"/>
      <c r="AO406" s="54"/>
      <c r="BD406" s="63"/>
    </row>
    <row r="407" spans="2:56" ht="15" customHeight="1" x14ac:dyDescent="0.3">
      <c r="B407" s="61"/>
      <c r="C407" s="53"/>
      <c r="AB407" s="53"/>
      <c r="AH407" s="62"/>
      <c r="AI407" s="53"/>
      <c r="AO407" s="54"/>
      <c r="BD407" s="63"/>
    </row>
    <row r="408" spans="2:56" ht="15" customHeight="1" x14ac:dyDescent="0.3">
      <c r="B408" s="61"/>
      <c r="C408" s="53"/>
      <c r="AB408" s="53"/>
      <c r="AH408" s="62"/>
      <c r="AI408" s="53"/>
      <c r="AO408" s="54"/>
      <c r="BD408" s="63"/>
    </row>
    <row r="409" spans="2:56" ht="15" customHeight="1" x14ac:dyDescent="0.3">
      <c r="B409" s="61"/>
      <c r="C409" s="53"/>
      <c r="AB409" s="53"/>
      <c r="AH409" s="62"/>
      <c r="AI409" s="53"/>
      <c r="AO409" s="54"/>
      <c r="BD409" s="63"/>
    </row>
    <row r="410" spans="2:56" ht="15" customHeight="1" x14ac:dyDescent="0.3">
      <c r="B410" s="61"/>
      <c r="C410" s="53"/>
      <c r="AB410" s="53"/>
      <c r="AH410" s="62"/>
      <c r="AI410" s="53"/>
      <c r="AO410" s="54"/>
      <c r="BD410" s="63"/>
    </row>
    <row r="411" spans="2:56" ht="15" customHeight="1" x14ac:dyDescent="0.3">
      <c r="B411" s="61"/>
      <c r="C411" s="53"/>
      <c r="AB411" s="53"/>
      <c r="AH411" s="62"/>
      <c r="AI411" s="53"/>
      <c r="AO411" s="54"/>
      <c r="BD411" s="63"/>
    </row>
    <row r="412" spans="2:56" ht="15" customHeight="1" x14ac:dyDescent="0.3">
      <c r="B412" s="61"/>
      <c r="C412" s="53"/>
      <c r="AB412" s="53"/>
      <c r="AH412" s="62"/>
      <c r="AI412" s="53"/>
      <c r="AO412" s="54"/>
      <c r="BD412" s="63"/>
    </row>
    <row r="413" spans="2:56" ht="15" customHeight="1" x14ac:dyDescent="0.3">
      <c r="B413" s="61"/>
      <c r="C413" s="53"/>
      <c r="AB413" s="53"/>
      <c r="AH413" s="62"/>
      <c r="AI413" s="53"/>
      <c r="AO413" s="54"/>
      <c r="BD413" s="63"/>
    </row>
    <row r="414" spans="2:56" ht="15" customHeight="1" x14ac:dyDescent="0.3">
      <c r="B414" s="61"/>
      <c r="C414" s="53"/>
      <c r="AB414" s="53"/>
      <c r="AH414" s="62"/>
      <c r="AI414" s="53"/>
      <c r="AO414" s="54"/>
      <c r="BD414" s="63"/>
    </row>
    <row r="415" spans="2:56" ht="15" customHeight="1" x14ac:dyDescent="0.3">
      <c r="B415" s="61"/>
      <c r="C415" s="53"/>
      <c r="AB415" s="53"/>
      <c r="AH415" s="62"/>
      <c r="AI415" s="53"/>
      <c r="AO415" s="54"/>
      <c r="BD415" s="63"/>
    </row>
    <row r="416" spans="2:56" ht="15" customHeight="1" x14ac:dyDescent="0.3">
      <c r="B416" s="61"/>
      <c r="C416" s="53"/>
      <c r="AB416" s="53"/>
      <c r="AH416" s="62"/>
      <c r="AI416" s="53"/>
      <c r="AO416" s="54"/>
      <c r="BD416" s="63"/>
    </row>
    <row r="417" spans="2:56" ht="15" customHeight="1" x14ac:dyDescent="0.3">
      <c r="B417" s="61"/>
      <c r="C417" s="53"/>
      <c r="AB417" s="53"/>
      <c r="AH417" s="62"/>
      <c r="AI417" s="53"/>
      <c r="AO417" s="54"/>
      <c r="BD417" s="63"/>
    </row>
    <row r="418" spans="2:56" ht="15" customHeight="1" x14ac:dyDescent="0.3">
      <c r="B418" s="61"/>
      <c r="C418" s="53"/>
      <c r="AB418" s="53"/>
      <c r="AH418" s="62"/>
      <c r="AI418" s="53"/>
      <c r="AO418" s="54"/>
      <c r="BD418" s="63"/>
    </row>
    <row r="419" spans="2:56" ht="15" customHeight="1" x14ac:dyDescent="0.3">
      <c r="B419" s="61"/>
      <c r="C419" s="53"/>
      <c r="AB419" s="53"/>
      <c r="AH419" s="62"/>
      <c r="AI419" s="53"/>
      <c r="AO419" s="54"/>
      <c r="BD419" s="63"/>
    </row>
    <row r="420" spans="2:56" ht="15" customHeight="1" x14ac:dyDescent="0.3">
      <c r="B420" s="61"/>
      <c r="C420" s="53"/>
      <c r="AB420" s="53"/>
      <c r="AH420" s="62"/>
      <c r="AI420" s="53"/>
      <c r="AO420" s="54"/>
      <c r="BD420" s="63"/>
    </row>
    <row r="421" spans="2:56" ht="15" customHeight="1" x14ac:dyDescent="0.3">
      <c r="B421" s="61"/>
      <c r="C421" s="53"/>
      <c r="AB421" s="53"/>
      <c r="AH421" s="62"/>
      <c r="AI421" s="53"/>
      <c r="AO421" s="54"/>
      <c r="BD421" s="63"/>
    </row>
    <row r="422" spans="2:56" ht="15" customHeight="1" x14ac:dyDescent="0.3">
      <c r="B422" s="61"/>
      <c r="C422" s="53"/>
      <c r="AB422" s="53"/>
      <c r="AH422" s="62"/>
      <c r="AI422" s="53"/>
      <c r="AO422" s="54"/>
      <c r="BD422" s="63"/>
    </row>
    <row r="423" spans="2:56" ht="15" customHeight="1" x14ac:dyDescent="0.3">
      <c r="B423" s="61"/>
      <c r="C423" s="53"/>
      <c r="AB423" s="53"/>
      <c r="AH423" s="62"/>
      <c r="AI423" s="53"/>
      <c r="AO423" s="54"/>
      <c r="BD423" s="63"/>
    </row>
    <row r="424" spans="2:56" ht="15" customHeight="1" x14ac:dyDescent="0.3">
      <c r="B424" s="61"/>
      <c r="C424" s="53"/>
      <c r="AB424" s="53"/>
      <c r="AH424" s="62"/>
      <c r="AI424" s="53"/>
      <c r="AO424" s="54"/>
      <c r="BD424" s="63"/>
    </row>
    <row r="425" spans="2:56" ht="15" customHeight="1" x14ac:dyDescent="0.3">
      <c r="B425" s="61"/>
      <c r="C425" s="53"/>
      <c r="AB425" s="53"/>
      <c r="AH425" s="62"/>
      <c r="AI425" s="53"/>
      <c r="AO425" s="54"/>
      <c r="BD425" s="63"/>
    </row>
    <row r="426" spans="2:56" ht="15" customHeight="1" x14ac:dyDescent="0.3">
      <c r="B426" s="61"/>
      <c r="C426" s="53"/>
      <c r="AB426" s="53"/>
      <c r="AH426" s="62"/>
      <c r="AI426" s="53"/>
      <c r="AO426" s="54"/>
      <c r="BD426" s="63"/>
    </row>
    <row r="427" spans="2:56" ht="15" customHeight="1" x14ac:dyDescent="0.3">
      <c r="B427" s="61"/>
      <c r="C427" s="53"/>
      <c r="AB427" s="53"/>
      <c r="AH427" s="62"/>
      <c r="AI427" s="53"/>
      <c r="AO427" s="54"/>
      <c r="BD427" s="63"/>
    </row>
    <row r="428" spans="2:56" ht="15" customHeight="1" x14ac:dyDescent="0.3">
      <c r="B428" s="61"/>
      <c r="C428" s="53"/>
      <c r="AB428" s="53"/>
      <c r="AH428" s="62"/>
      <c r="AI428" s="53"/>
      <c r="AO428" s="54"/>
      <c r="BD428" s="63"/>
    </row>
    <row r="429" spans="2:56" ht="15" customHeight="1" x14ac:dyDescent="0.3">
      <c r="B429" s="61"/>
      <c r="C429" s="53"/>
      <c r="AB429" s="53"/>
      <c r="AH429" s="62"/>
      <c r="AI429" s="53"/>
      <c r="AO429" s="54"/>
      <c r="BD429" s="63"/>
    </row>
    <row r="430" spans="2:56" ht="15" customHeight="1" x14ac:dyDescent="0.3">
      <c r="B430" s="61"/>
      <c r="C430" s="53"/>
      <c r="AB430" s="53"/>
      <c r="AH430" s="62"/>
      <c r="AI430" s="53"/>
      <c r="AO430" s="54"/>
      <c r="BD430" s="63"/>
    </row>
    <row r="431" spans="2:56" ht="15" customHeight="1" x14ac:dyDescent="0.3">
      <c r="B431" s="61"/>
      <c r="C431" s="53"/>
      <c r="AB431" s="53"/>
      <c r="AH431" s="62"/>
      <c r="AI431" s="53"/>
      <c r="AO431" s="54"/>
      <c r="BD431" s="63"/>
    </row>
    <row r="432" spans="2:56" ht="15" customHeight="1" x14ac:dyDescent="0.3">
      <c r="B432" s="61"/>
      <c r="C432" s="53"/>
      <c r="AB432" s="53"/>
      <c r="AH432" s="62"/>
      <c r="AI432" s="53"/>
      <c r="AO432" s="54"/>
      <c r="BD432" s="63"/>
    </row>
    <row r="433" spans="2:56" ht="15" customHeight="1" x14ac:dyDescent="0.3">
      <c r="B433" s="61"/>
      <c r="C433" s="53"/>
      <c r="AB433" s="53"/>
      <c r="AH433" s="62"/>
      <c r="AI433" s="53"/>
      <c r="AO433" s="54"/>
      <c r="BD433" s="63"/>
    </row>
    <row r="434" spans="2:56" ht="15" customHeight="1" x14ac:dyDescent="0.3">
      <c r="B434" s="61"/>
      <c r="C434" s="53"/>
      <c r="AB434" s="53"/>
      <c r="AH434" s="62"/>
      <c r="AI434" s="53"/>
      <c r="AO434" s="54"/>
      <c r="BD434" s="63"/>
    </row>
    <row r="435" spans="2:56" ht="15" customHeight="1" x14ac:dyDescent="0.3">
      <c r="B435" s="61"/>
      <c r="C435" s="53"/>
      <c r="AB435" s="53"/>
      <c r="AH435" s="62"/>
      <c r="AI435" s="53"/>
      <c r="AO435" s="54"/>
      <c r="BD435" s="63"/>
    </row>
    <row r="436" spans="2:56" ht="15" customHeight="1" x14ac:dyDescent="0.3">
      <c r="B436" s="61"/>
      <c r="C436" s="53"/>
      <c r="AB436" s="53"/>
      <c r="AH436" s="62"/>
      <c r="AI436" s="53"/>
      <c r="AO436" s="54"/>
      <c r="BD436" s="63"/>
    </row>
    <row r="437" spans="2:56" ht="15" customHeight="1" x14ac:dyDescent="0.3">
      <c r="B437" s="61"/>
      <c r="C437" s="53"/>
      <c r="AB437" s="53"/>
      <c r="AH437" s="62"/>
      <c r="AI437" s="53"/>
      <c r="AO437" s="54"/>
      <c r="BD437" s="63"/>
    </row>
    <row r="438" spans="2:56" ht="15" customHeight="1" x14ac:dyDescent="0.3">
      <c r="B438" s="61"/>
      <c r="C438" s="53"/>
      <c r="AB438" s="53"/>
      <c r="AH438" s="62"/>
      <c r="AI438" s="53"/>
      <c r="AO438" s="54"/>
      <c r="BD438" s="63"/>
    </row>
    <row r="439" spans="2:56" ht="15" customHeight="1" x14ac:dyDescent="0.3">
      <c r="B439" s="61"/>
      <c r="C439" s="53"/>
      <c r="AB439" s="53"/>
      <c r="AH439" s="62"/>
      <c r="AI439" s="53"/>
      <c r="AO439" s="54"/>
      <c r="BD439" s="63"/>
    </row>
    <row r="440" spans="2:56" ht="15" customHeight="1" x14ac:dyDescent="0.3">
      <c r="B440" s="61"/>
      <c r="C440" s="53"/>
      <c r="AB440" s="53"/>
      <c r="AH440" s="62"/>
      <c r="AI440" s="53"/>
      <c r="AO440" s="54"/>
      <c r="BD440" s="63"/>
    </row>
    <row r="441" spans="2:56" ht="15" customHeight="1" x14ac:dyDescent="0.3">
      <c r="B441" s="61"/>
      <c r="C441" s="53"/>
      <c r="AB441" s="53"/>
      <c r="AH441" s="62"/>
      <c r="AI441" s="53"/>
      <c r="AO441" s="54"/>
      <c r="BD441" s="63"/>
    </row>
    <row r="442" spans="2:56" ht="15" customHeight="1" x14ac:dyDescent="0.3">
      <c r="B442" s="61"/>
      <c r="C442" s="53"/>
      <c r="AB442" s="53"/>
      <c r="AH442" s="62"/>
      <c r="AI442" s="53"/>
      <c r="AO442" s="54"/>
      <c r="BD442" s="63"/>
    </row>
    <row r="443" spans="2:56" ht="15" customHeight="1" x14ac:dyDescent="0.3">
      <c r="B443" s="61"/>
      <c r="C443" s="53"/>
      <c r="AB443" s="53"/>
      <c r="AH443" s="62"/>
      <c r="AI443" s="53"/>
      <c r="AO443" s="54"/>
      <c r="BD443" s="63"/>
    </row>
    <row r="444" spans="2:56" ht="15" customHeight="1" x14ac:dyDescent="0.3">
      <c r="B444" s="61"/>
      <c r="C444" s="53"/>
      <c r="AB444" s="53"/>
      <c r="AH444" s="62"/>
      <c r="AI444" s="53"/>
      <c r="AO444" s="54"/>
      <c r="BD444" s="63"/>
    </row>
    <row r="445" spans="2:56" ht="15" customHeight="1" x14ac:dyDescent="0.3">
      <c r="B445" s="61"/>
      <c r="C445" s="53"/>
      <c r="AB445" s="53"/>
      <c r="AH445" s="62"/>
      <c r="AI445" s="53"/>
      <c r="AO445" s="54"/>
      <c r="BD445" s="63"/>
    </row>
    <row r="446" spans="2:56" ht="15" customHeight="1" x14ac:dyDescent="0.3">
      <c r="B446" s="61"/>
      <c r="C446" s="53"/>
      <c r="AB446" s="53"/>
      <c r="AH446" s="62"/>
      <c r="AI446" s="53"/>
      <c r="AO446" s="54"/>
      <c r="BD446" s="63"/>
    </row>
    <row r="447" spans="2:56" ht="15" customHeight="1" x14ac:dyDescent="0.3">
      <c r="B447" s="61"/>
      <c r="C447" s="53"/>
      <c r="AB447" s="53"/>
      <c r="AH447" s="62"/>
      <c r="AI447" s="53"/>
      <c r="AO447" s="54"/>
      <c r="BD447" s="63"/>
    </row>
    <row r="448" spans="2:56" ht="15" customHeight="1" x14ac:dyDescent="0.3">
      <c r="B448" s="61"/>
      <c r="C448" s="53"/>
      <c r="AB448" s="53"/>
      <c r="AH448" s="62"/>
      <c r="AI448" s="53"/>
      <c r="AO448" s="54"/>
      <c r="BD448" s="63"/>
    </row>
    <row r="449" spans="2:56" ht="15" customHeight="1" x14ac:dyDescent="0.3">
      <c r="B449" s="61"/>
      <c r="C449" s="53"/>
      <c r="AB449" s="53"/>
      <c r="AH449" s="62"/>
      <c r="AI449" s="53"/>
      <c r="AO449" s="54"/>
      <c r="BD449" s="63"/>
    </row>
    <row r="450" spans="2:56" ht="15" customHeight="1" x14ac:dyDescent="0.3">
      <c r="B450" s="61"/>
      <c r="C450" s="53"/>
      <c r="AB450" s="53"/>
      <c r="AH450" s="62"/>
      <c r="AI450" s="53"/>
      <c r="AO450" s="54"/>
      <c r="BD450" s="63"/>
    </row>
    <row r="451" spans="2:56" ht="15" customHeight="1" x14ac:dyDescent="0.3">
      <c r="B451" s="61"/>
      <c r="C451" s="53"/>
      <c r="AB451" s="53"/>
      <c r="AH451" s="62"/>
      <c r="AI451" s="53"/>
      <c r="AO451" s="54"/>
      <c r="BD451" s="63"/>
    </row>
    <row r="452" spans="2:56" ht="15" customHeight="1" x14ac:dyDescent="0.3">
      <c r="B452" s="61"/>
      <c r="C452" s="53"/>
      <c r="AB452" s="53"/>
      <c r="AH452" s="62"/>
      <c r="AI452" s="53"/>
      <c r="AO452" s="54"/>
      <c r="BD452" s="63"/>
    </row>
    <row r="453" spans="2:56" ht="15" customHeight="1" x14ac:dyDescent="0.3">
      <c r="B453" s="61"/>
      <c r="C453" s="53"/>
      <c r="AB453" s="53"/>
      <c r="AH453" s="62"/>
      <c r="AI453" s="53"/>
      <c r="AO453" s="54"/>
      <c r="BD453" s="63"/>
    </row>
    <row r="454" spans="2:56" ht="15" customHeight="1" x14ac:dyDescent="0.3">
      <c r="B454" s="61"/>
      <c r="C454" s="53"/>
      <c r="AB454" s="53"/>
      <c r="AH454" s="62"/>
      <c r="AI454" s="53"/>
      <c r="AO454" s="54"/>
      <c r="BD454" s="63"/>
    </row>
    <row r="455" spans="2:56" ht="15" customHeight="1" x14ac:dyDescent="0.3">
      <c r="B455" s="61"/>
      <c r="C455" s="53"/>
      <c r="AB455" s="53"/>
      <c r="AH455" s="62"/>
      <c r="AI455" s="53"/>
      <c r="AO455" s="54"/>
      <c r="BD455" s="63"/>
    </row>
    <row r="456" spans="2:56" ht="15" customHeight="1" x14ac:dyDescent="0.3">
      <c r="B456" s="61"/>
      <c r="C456" s="53"/>
      <c r="AB456" s="53"/>
      <c r="AH456" s="62"/>
      <c r="AI456" s="53"/>
      <c r="AO456" s="54"/>
      <c r="BD456" s="63"/>
    </row>
    <row r="457" spans="2:56" ht="15" customHeight="1" x14ac:dyDescent="0.3">
      <c r="B457" s="61"/>
      <c r="C457" s="53"/>
      <c r="AB457" s="53"/>
      <c r="AH457" s="62"/>
      <c r="AI457" s="53"/>
      <c r="AO457" s="54"/>
      <c r="BD457" s="63"/>
    </row>
    <row r="458" spans="2:56" ht="15" customHeight="1" x14ac:dyDescent="0.3">
      <c r="B458" s="61"/>
      <c r="C458" s="53"/>
      <c r="AB458" s="53"/>
      <c r="AH458" s="62"/>
      <c r="AI458" s="53"/>
      <c r="AO458" s="54"/>
      <c r="BD458" s="63"/>
    </row>
    <row r="459" spans="2:56" ht="15" customHeight="1" x14ac:dyDescent="0.3">
      <c r="B459" s="61"/>
      <c r="C459" s="53"/>
      <c r="AB459" s="53"/>
      <c r="AH459" s="62"/>
      <c r="AI459" s="53"/>
      <c r="AO459" s="54"/>
      <c r="BD459" s="63"/>
    </row>
    <row r="460" spans="2:56" ht="15" customHeight="1" x14ac:dyDescent="0.3">
      <c r="B460" s="61"/>
      <c r="C460" s="53"/>
      <c r="AB460" s="53"/>
      <c r="AH460" s="62"/>
      <c r="AI460" s="53"/>
      <c r="AO460" s="54"/>
      <c r="BD460" s="63"/>
    </row>
    <row r="461" spans="2:56" ht="15" customHeight="1" x14ac:dyDescent="0.3">
      <c r="B461" s="61"/>
      <c r="C461" s="53"/>
      <c r="AB461" s="53"/>
      <c r="AH461" s="62"/>
      <c r="AI461" s="53"/>
      <c r="AO461" s="54"/>
      <c r="BD461" s="63"/>
    </row>
    <row r="462" spans="2:56" ht="15" customHeight="1" x14ac:dyDescent="0.3">
      <c r="B462" s="61"/>
      <c r="C462" s="53"/>
      <c r="AB462" s="53"/>
      <c r="AH462" s="62"/>
      <c r="AI462" s="53"/>
      <c r="AO462" s="54"/>
      <c r="BD462" s="63"/>
    </row>
    <row r="463" spans="2:56" ht="15" customHeight="1" x14ac:dyDescent="0.3">
      <c r="B463" s="61"/>
      <c r="C463" s="53"/>
      <c r="AB463" s="53"/>
      <c r="AH463" s="62"/>
      <c r="AI463" s="53"/>
      <c r="AO463" s="54"/>
      <c r="BD463" s="63"/>
    </row>
    <row r="464" spans="2:56" ht="15" customHeight="1" x14ac:dyDescent="0.3">
      <c r="B464" s="61"/>
      <c r="C464" s="53"/>
      <c r="AB464" s="53"/>
      <c r="AH464" s="62"/>
      <c r="AI464" s="53"/>
      <c r="AO464" s="54"/>
      <c r="BD464" s="63"/>
    </row>
    <row r="465" spans="2:56" ht="15" customHeight="1" x14ac:dyDescent="0.3">
      <c r="B465" s="61"/>
      <c r="C465" s="53"/>
      <c r="AB465" s="53"/>
      <c r="AH465" s="62"/>
      <c r="AI465" s="53"/>
      <c r="AO465" s="54"/>
      <c r="BD465" s="63"/>
    </row>
    <row r="466" spans="2:56" ht="15" customHeight="1" x14ac:dyDescent="0.3">
      <c r="B466" s="61"/>
      <c r="C466" s="53"/>
      <c r="AB466" s="53"/>
      <c r="AH466" s="62"/>
      <c r="AI466" s="53"/>
      <c r="AO466" s="54"/>
      <c r="BD466" s="63"/>
    </row>
    <row r="467" spans="2:56" ht="15" customHeight="1" x14ac:dyDescent="0.3">
      <c r="B467" s="61"/>
      <c r="C467" s="53"/>
      <c r="AB467" s="53"/>
      <c r="AH467" s="62"/>
      <c r="AI467" s="53"/>
      <c r="AO467" s="54"/>
      <c r="BD467" s="63"/>
    </row>
    <row r="468" spans="2:56" ht="15" customHeight="1" x14ac:dyDescent="0.3">
      <c r="B468" s="61"/>
      <c r="C468" s="53"/>
      <c r="AB468" s="53"/>
      <c r="AH468" s="62"/>
      <c r="AI468" s="53"/>
      <c r="AO468" s="54"/>
      <c r="BD468" s="63"/>
    </row>
    <row r="469" spans="2:56" ht="15" customHeight="1" x14ac:dyDescent="0.3">
      <c r="B469" s="61"/>
      <c r="C469" s="53"/>
      <c r="AB469" s="53"/>
      <c r="AH469" s="62"/>
      <c r="AI469" s="53"/>
      <c r="AO469" s="54"/>
      <c r="BD469" s="63"/>
    </row>
    <row r="470" spans="2:56" ht="15" customHeight="1" x14ac:dyDescent="0.3">
      <c r="B470" s="61"/>
      <c r="C470" s="53"/>
      <c r="AB470" s="53"/>
      <c r="AH470" s="62"/>
      <c r="AI470" s="53"/>
      <c r="AO470" s="54"/>
      <c r="BD470" s="63"/>
    </row>
    <row r="471" spans="2:56" ht="15" customHeight="1" x14ac:dyDescent="0.3">
      <c r="B471" s="61"/>
      <c r="C471" s="53"/>
      <c r="AB471" s="53"/>
      <c r="AH471" s="62"/>
      <c r="AI471" s="53"/>
      <c r="AO471" s="54"/>
      <c r="BD471" s="63"/>
    </row>
    <row r="472" spans="2:56" ht="15" customHeight="1" x14ac:dyDescent="0.3">
      <c r="B472" s="61"/>
      <c r="C472" s="53"/>
      <c r="AB472" s="53"/>
      <c r="AH472" s="62"/>
      <c r="AI472" s="53"/>
      <c r="AO472" s="54"/>
      <c r="BD472" s="63"/>
    </row>
    <row r="473" spans="2:56" ht="15" customHeight="1" x14ac:dyDescent="0.3">
      <c r="B473" s="61"/>
      <c r="C473" s="53"/>
      <c r="AB473" s="53"/>
      <c r="AH473" s="62"/>
      <c r="AI473" s="53"/>
      <c r="AO473" s="54"/>
      <c r="BD473" s="63"/>
    </row>
    <row r="474" spans="2:56" ht="15" customHeight="1" x14ac:dyDescent="0.3">
      <c r="B474" s="61"/>
      <c r="C474" s="53"/>
      <c r="AB474" s="53"/>
      <c r="AH474" s="62"/>
      <c r="AI474" s="53"/>
      <c r="AO474" s="54"/>
      <c r="BD474" s="63"/>
    </row>
    <row r="475" spans="2:56" ht="15" customHeight="1" x14ac:dyDescent="0.3">
      <c r="B475" s="61"/>
      <c r="C475" s="53"/>
      <c r="AB475" s="53"/>
      <c r="AH475" s="62"/>
      <c r="AI475" s="53"/>
      <c r="AO475" s="54"/>
      <c r="BD475" s="63"/>
    </row>
    <row r="476" spans="2:56" ht="15" customHeight="1" x14ac:dyDescent="0.3">
      <c r="B476" s="61"/>
      <c r="C476" s="53"/>
      <c r="AB476" s="53"/>
      <c r="AH476" s="62"/>
      <c r="AI476" s="53"/>
      <c r="AO476" s="54"/>
      <c r="BD476" s="63"/>
    </row>
    <row r="477" spans="2:56" ht="15" customHeight="1" x14ac:dyDescent="0.3">
      <c r="B477" s="61"/>
      <c r="C477" s="53"/>
      <c r="AB477" s="53"/>
      <c r="AH477" s="62"/>
      <c r="AI477" s="53"/>
      <c r="AO477" s="54"/>
      <c r="BD477" s="63"/>
    </row>
    <row r="478" spans="2:56" ht="15" customHeight="1" x14ac:dyDescent="0.3">
      <c r="B478" s="61"/>
      <c r="C478" s="53"/>
      <c r="AB478" s="53"/>
      <c r="AH478" s="62"/>
      <c r="AI478" s="53"/>
      <c r="AO478" s="54"/>
      <c r="BD478" s="63"/>
    </row>
    <row r="479" spans="2:56" ht="15" customHeight="1" x14ac:dyDescent="0.3">
      <c r="B479" s="61"/>
      <c r="C479" s="53"/>
      <c r="AB479" s="53"/>
      <c r="AH479" s="62"/>
      <c r="AI479" s="53"/>
      <c r="AO479" s="54"/>
      <c r="BD479" s="63"/>
    </row>
    <row r="480" spans="2:56" ht="15" customHeight="1" x14ac:dyDescent="0.3">
      <c r="B480" s="61"/>
      <c r="C480" s="53"/>
      <c r="AB480" s="53"/>
      <c r="AH480" s="62"/>
      <c r="AI480" s="53"/>
      <c r="AO480" s="54"/>
      <c r="BD480" s="63"/>
    </row>
    <row r="481" spans="2:56" ht="15" customHeight="1" x14ac:dyDescent="0.3">
      <c r="B481" s="61"/>
      <c r="C481" s="53"/>
      <c r="AB481" s="53"/>
      <c r="AH481" s="62"/>
      <c r="AI481" s="53"/>
      <c r="AO481" s="54"/>
      <c r="BD481" s="63"/>
    </row>
    <row r="482" spans="2:56" ht="15" customHeight="1" x14ac:dyDescent="0.3">
      <c r="B482" s="61"/>
      <c r="C482" s="53"/>
      <c r="AB482" s="53"/>
      <c r="AH482" s="62"/>
      <c r="AI482" s="53"/>
      <c r="AO482" s="54"/>
      <c r="BD482" s="63"/>
    </row>
    <row r="483" spans="2:56" ht="15" customHeight="1" x14ac:dyDescent="0.3">
      <c r="B483" s="61"/>
      <c r="C483" s="53"/>
      <c r="AB483" s="53"/>
      <c r="AH483" s="62"/>
      <c r="AI483" s="53"/>
      <c r="AO483" s="54"/>
      <c r="BD483" s="63"/>
    </row>
    <row r="484" spans="2:56" ht="15" customHeight="1" x14ac:dyDescent="0.3">
      <c r="B484" s="61"/>
      <c r="C484" s="53"/>
      <c r="AB484" s="53"/>
      <c r="AH484" s="62"/>
      <c r="AI484" s="53"/>
      <c r="AO484" s="54"/>
      <c r="BD484" s="63"/>
    </row>
    <row r="485" spans="2:56" ht="15" customHeight="1" x14ac:dyDescent="0.3">
      <c r="B485" s="61"/>
      <c r="C485" s="53"/>
      <c r="AB485" s="53"/>
      <c r="AH485" s="62"/>
      <c r="AI485" s="53"/>
      <c r="AO485" s="54"/>
      <c r="BD485" s="63"/>
    </row>
    <row r="486" spans="2:56" ht="15" customHeight="1" x14ac:dyDescent="0.3">
      <c r="B486" s="61"/>
      <c r="C486" s="53"/>
      <c r="AB486" s="53"/>
      <c r="AH486" s="62"/>
      <c r="AI486" s="53"/>
      <c r="AO486" s="54"/>
      <c r="BD486" s="63"/>
    </row>
    <row r="487" spans="2:56" ht="15" customHeight="1" x14ac:dyDescent="0.3">
      <c r="B487" s="61"/>
      <c r="C487" s="53"/>
      <c r="AB487" s="53"/>
      <c r="AH487" s="62"/>
      <c r="AI487" s="53"/>
      <c r="AO487" s="54"/>
      <c r="BD487" s="63"/>
    </row>
    <row r="488" spans="2:56" ht="15" customHeight="1" x14ac:dyDescent="0.3">
      <c r="B488" s="61"/>
      <c r="C488" s="53"/>
      <c r="AB488" s="53"/>
      <c r="AH488" s="62"/>
      <c r="AI488" s="53"/>
      <c r="AO488" s="54"/>
      <c r="BD488" s="63"/>
    </row>
    <row r="489" spans="2:56" ht="15" customHeight="1" x14ac:dyDescent="0.3">
      <c r="B489" s="61"/>
      <c r="C489" s="53"/>
      <c r="AB489" s="53"/>
      <c r="AH489" s="62"/>
      <c r="AI489" s="53"/>
      <c r="AO489" s="54"/>
      <c r="BD489" s="63"/>
    </row>
    <row r="490" spans="2:56" ht="15" customHeight="1" x14ac:dyDescent="0.3">
      <c r="B490" s="61"/>
      <c r="C490" s="53"/>
      <c r="AB490" s="53"/>
      <c r="AH490" s="62"/>
      <c r="AI490" s="53"/>
      <c r="AO490" s="54"/>
      <c r="BD490" s="63"/>
    </row>
    <row r="491" spans="2:56" ht="15" customHeight="1" x14ac:dyDescent="0.3">
      <c r="B491" s="61"/>
      <c r="C491" s="53"/>
      <c r="AB491" s="53"/>
      <c r="AH491" s="62"/>
      <c r="AI491" s="53"/>
      <c r="AO491" s="54"/>
      <c r="BD491" s="63"/>
    </row>
    <row r="492" spans="2:56" ht="15" customHeight="1" x14ac:dyDescent="0.3">
      <c r="B492" s="61"/>
      <c r="C492" s="53"/>
      <c r="AB492" s="53"/>
      <c r="AH492" s="62"/>
      <c r="AI492" s="53"/>
      <c r="AO492" s="54"/>
      <c r="BD492" s="63"/>
    </row>
    <row r="493" spans="2:56" ht="15" customHeight="1" x14ac:dyDescent="0.3">
      <c r="B493" s="61"/>
      <c r="C493" s="53"/>
      <c r="AB493" s="53"/>
      <c r="AH493" s="62"/>
      <c r="AI493" s="53"/>
      <c r="AO493" s="54"/>
      <c r="BD493" s="63"/>
    </row>
    <row r="494" spans="2:56" ht="15" customHeight="1" x14ac:dyDescent="0.3">
      <c r="B494" s="61"/>
      <c r="C494" s="53"/>
      <c r="AB494" s="53"/>
      <c r="AH494" s="62"/>
      <c r="AI494" s="53"/>
      <c r="AO494" s="54"/>
      <c r="BD494" s="63"/>
    </row>
    <row r="495" spans="2:56" ht="15" customHeight="1" x14ac:dyDescent="0.3">
      <c r="B495" s="61"/>
      <c r="C495" s="53"/>
      <c r="AB495" s="53"/>
      <c r="AH495" s="62"/>
      <c r="AI495" s="53"/>
      <c r="AO495" s="54"/>
      <c r="BD495" s="63"/>
    </row>
    <row r="496" spans="2:56" ht="15" customHeight="1" x14ac:dyDescent="0.3">
      <c r="B496" s="61"/>
      <c r="C496" s="53"/>
      <c r="AB496" s="53"/>
      <c r="AH496" s="62"/>
      <c r="AI496" s="53"/>
      <c r="AO496" s="54"/>
      <c r="BD496" s="63"/>
    </row>
    <row r="497" spans="2:56" ht="15" customHeight="1" x14ac:dyDescent="0.3">
      <c r="B497" s="61"/>
      <c r="C497" s="53"/>
      <c r="AB497" s="53"/>
      <c r="AH497" s="62"/>
      <c r="AI497" s="53"/>
      <c r="AO497" s="54"/>
      <c r="BD497" s="63"/>
    </row>
    <row r="498" spans="2:56" ht="15" customHeight="1" x14ac:dyDescent="0.3">
      <c r="B498" s="61"/>
      <c r="C498" s="53"/>
      <c r="AB498" s="53"/>
      <c r="AH498" s="62"/>
      <c r="AI498" s="53"/>
      <c r="AO498" s="54"/>
      <c r="BD498" s="63"/>
    </row>
    <row r="499" spans="2:56" ht="15" customHeight="1" x14ac:dyDescent="0.3">
      <c r="B499" s="61"/>
      <c r="C499" s="53"/>
      <c r="AB499" s="53"/>
      <c r="AH499" s="62"/>
      <c r="AI499" s="53"/>
      <c r="AO499" s="54"/>
      <c r="BD499" s="63"/>
    </row>
    <row r="500" spans="2:56" ht="15" customHeight="1" x14ac:dyDescent="0.3">
      <c r="B500" s="61"/>
      <c r="C500" s="53"/>
      <c r="AB500" s="53"/>
      <c r="AH500" s="62"/>
      <c r="AI500" s="53"/>
      <c r="AO500" s="54"/>
      <c r="BD500" s="63"/>
    </row>
    <row r="501" spans="2:56" ht="15" customHeight="1" x14ac:dyDescent="0.3">
      <c r="B501" s="61"/>
      <c r="C501" s="53"/>
      <c r="AB501" s="53"/>
      <c r="AH501" s="62"/>
      <c r="AI501" s="53"/>
      <c r="AO501" s="54"/>
      <c r="BD501" s="63"/>
    </row>
    <row r="502" spans="2:56" ht="15" customHeight="1" x14ac:dyDescent="0.3">
      <c r="B502" s="61"/>
      <c r="C502" s="53"/>
      <c r="AB502" s="53"/>
      <c r="AH502" s="62"/>
      <c r="AI502" s="53"/>
      <c r="AO502" s="54"/>
      <c r="BD502" s="63"/>
    </row>
    <row r="503" spans="2:56" ht="15" customHeight="1" x14ac:dyDescent="0.3">
      <c r="B503" s="61"/>
      <c r="C503" s="53"/>
      <c r="AB503" s="53"/>
      <c r="AH503" s="62"/>
      <c r="AI503" s="53"/>
      <c r="AO503" s="54"/>
      <c r="BD503" s="63"/>
    </row>
    <row r="504" spans="2:56" ht="15" customHeight="1" x14ac:dyDescent="0.3">
      <c r="B504" s="61"/>
      <c r="C504" s="53"/>
      <c r="AB504" s="53"/>
      <c r="AH504" s="62"/>
      <c r="AI504" s="53"/>
      <c r="AO504" s="54"/>
      <c r="BD504" s="63"/>
    </row>
    <row r="505" spans="2:56" ht="15" customHeight="1" x14ac:dyDescent="0.3">
      <c r="B505" s="61"/>
      <c r="C505" s="53"/>
      <c r="AB505" s="53"/>
      <c r="AH505" s="62"/>
      <c r="AI505" s="53"/>
      <c r="AO505" s="54"/>
      <c r="BD505" s="63"/>
    </row>
    <row r="506" spans="2:56" ht="15" customHeight="1" x14ac:dyDescent="0.3">
      <c r="B506" s="61"/>
      <c r="C506" s="53"/>
      <c r="AB506" s="53"/>
      <c r="AH506" s="62"/>
      <c r="AI506" s="53"/>
      <c r="AO506" s="54"/>
      <c r="BD506" s="63"/>
    </row>
    <row r="507" spans="2:56" ht="15" customHeight="1" x14ac:dyDescent="0.3">
      <c r="B507" s="61"/>
      <c r="C507" s="53"/>
      <c r="AB507" s="53"/>
      <c r="AH507" s="62"/>
      <c r="AI507" s="53"/>
      <c r="AO507" s="54"/>
      <c r="BD507" s="63"/>
    </row>
    <row r="508" spans="2:56" ht="15" customHeight="1" x14ac:dyDescent="0.3">
      <c r="B508" s="61"/>
      <c r="C508" s="53"/>
      <c r="AB508" s="53"/>
      <c r="AH508" s="62"/>
      <c r="AI508" s="53"/>
      <c r="AO508" s="54"/>
      <c r="BD508" s="63"/>
    </row>
    <row r="509" spans="2:56" ht="15" customHeight="1" x14ac:dyDescent="0.3">
      <c r="B509" s="61"/>
      <c r="C509" s="53"/>
      <c r="AB509" s="53"/>
      <c r="AH509" s="62"/>
      <c r="AI509" s="53"/>
      <c r="AO509" s="54"/>
      <c r="BD509" s="63"/>
    </row>
    <row r="510" spans="2:56" ht="15" customHeight="1" x14ac:dyDescent="0.3">
      <c r="B510" s="61"/>
      <c r="C510" s="53"/>
      <c r="AB510" s="53"/>
      <c r="AH510" s="62"/>
      <c r="AI510" s="53"/>
      <c r="AO510" s="54"/>
      <c r="BD510" s="63"/>
    </row>
    <row r="511" spans="2:56" ht="15" customHeight="1" x14ac:dyDescent="0.3">
      <c r="B511" s="61"/>
      <c r="C511" s="53"/>
      <c r="AB511" s="53"/>
      <c r="AH511" s="62"/>
      <c r="AI511" s="53"/>
      <c r="AO511" s="54"/>
      <c r="BD511" s="63"/>
    </row>
    <row r="512" spans="2:56" ht="15" customHeight="1" x14ac:dyDescent="0.3">
      <c r="B512" s="61"/>
      <c r="C512" s="53"/>
      <c r="AB512" s="53"/>
      <c r="AH512" s="62"/>
      <c r="AI512" s="53"/>
      <c r="AO512" s="54"/>
      <c r="BD512" s="63"/>
    </row>
    <row r="513" spans="2:56" ht="15" customHeight="1" x14ac:dyDescent="0.3">
      <c r="B513" s="61"/>
      <c r="C513" s="53"/>
      <c r="AB513" s="53"/>
      <c r="AH513" s="62"/>
      <c r="AI513" s="53"/>
      <c r="AO513" s="54"/>
      <c r="BD513" s="63"/>
    </row>
    <row r="514" spans="2:56" ht="15" customHeight="1" x14ac:dyDescent="0.3">
      <c r="B514" s="61"/>
      <c r="C514" s="53"/>
      <c r="AB514" s="53"/>
      <c r="AH514" s="62"/>
      <c r="AI514" s="53"/>
      <c r="AO514" s="54"/>
      <c r="BD514" s="63"/>
    </row>
    <row r="515" spans="2:56" ht="15" customHeight="1" x14ac:dyDescent="0.3">
      <c r="B515" s="61"/>
      <c r="C515" s="53"/>
      <c r="AB515" s="53"/>
      <c r="AH515" s="62"/>
      <c r="AI515" s="53"/>
      <c r="AO515" s="54"/>
      <c r="BD515" s="63"/>
    </row>
    <row r="516" spans="2:56" ht="15" customHeight="1" x14ac:dyDescent="0.3">
      <c r="B516" s="61"/>
      <c r="C516" s="53"/>
      <c r="AB516" s="53"/>
      <c r="AH516" s="62"/>
      <c r="AI516" s="53"/>
      <c r="AO516" s="54"/>
      <c r="BD516" s="63"/>
    </row>
    <row r="517" spans="2:56" ht="15" customHeight="1" x14ac:dyDescent="0.3">
      <c r="B517" s="61"/>
      <c r="C517" s="53"/>
      <c r="AB517" s="53"/>
      <c r="AH517" s="62"/>
      <c r="AI517" s="53"/>
      <c r="AO517" s="54"/>
      <c r="BD517" s="63"/>
    </row>
    <row r="518" spans="2:56" ht="15" customHeight="1" x14ac:dyDescent="0.3">
      <c r="B518" s="61"/>
      <c r="C518" s="53"/>
      <c r="AB518" s="53"/>
      <c r="AH518" s="62"/>
      <c r="AI518" s="53"/>
      <c r="AO518" s="54"/>
      <c r="BD518" s="63"/>
    </row>
    <row r="519" spans="2:56" ht="15" customHeight="1" x14ac:dyDescent="0.3">
      <c r="B519" s="61"/>
      <c r="C519" s="53"/>
      <c r="AB519" s="53"/>
      <c r="AH519" s="62"/>
      <c r="AI519" s="53"/>
      <c r="AO519" s="54"/>
      <c r="BD519" s="63"/>
    </row>
    <row r="520" spans="2:56" ht="15" customHeight="1" x14ac:dyDescent="0.3">
      <c r="B520" s="61"/>
      <c r="C520" s="53"/>
      <c r="AB520" s="53"/>
      <c r="AH520" s="62"/>
      <c r="AI520" s="53"/>
      <c r="AO520" s="54"/>
      <c r="BD520" s="63"/>
    </row>
    <row r="521" spans="2:56" ht="15" customHeight="1" x14ac:dyDescent="0.3">
      <c r="B521" s="61"/>
      <c r="C521" s="53"/>
      <c r="AB521" s="53"/>
      <c r="AH521" s="62"/>
      <c r="AI521" s="53"/>
      <c r="AO521" s="54"/>
      <c r="BD521" s="63"/>
    </row>
    <row r="522" spans="2:56" ht="15" customHeight="1" x14ac:dyDescent="0.3">
      <c r="B522" s="61"/>
      <c r="C522" s="53"/>
      <c r="AB522" s="53"/>
      <c r="AH522" s="62"/>
      <c r="AI522" s="53"/>
      <c r="AO522" s="54"/>
      <c r="BD522" s="63"/>
    </row>
    <row r="523" spans="2:56" ht="15" customHeight="1" x14ac:dyDescent="0.3">
      <c r="B523" s="61"/>
      <c r="C523" s="53"/>
      <c r="AB523" s="53"/>
      <c r="AH523" s="62"/>
      <c r="AI523" s="53"/>
      <c r="AO523" s="54"/>
      <c r="BD523" s="63"/>
    </row>
    <row r="524" spans="2:56" ht="15" customHeight="1" x14ac:dyDescent="0.3">
      <c r="B524" s="61"/>
      <c r="C524" s="53"/>
      <c r="AB524" s="53"/>
      <c r="AH524" s="62"/>
      <c r="AI524" s="53"/>
      <c r="AO524" s="54"/>
      <c r="BD524" s="63"/>
    </row>
    <row r="525" spans="2:56" ht="15" customHeight="1" x14ac:dyDescent="0.3">
      <c r="B525" s="61"/>
      <c r="C525" s="53"/>
      <c r="AB525" s="53"/>
      <c r="AH525" s="62"/>
      <c r="AI525" s="53"/>
      <c r="AO525" s="54"/>
      <c r="BD525" s="63"/>
    </row>
    <row r="526" spans="2:56" ht="15" customHeight="1" x14ac:dyDescent="0.3">
      <c r="B526" s="61"/>
      <c r="C526" s="53"/>
      <c r="AB526" s="53"/>
      <c r="AH526" s="62"/>
      <c r="AI526" s="53"/>
      <c r="AO526" s="54"/>
      <c r="BD526" s="63"/>
    </row>
    <row r="527" spans="2:56" ht="15" customHeight="1" x14ac:dyDescent="0.3">
      <c r="B527" s="61"/>
      <c r="C527" s="53"/>
      <c r="AB527" s="53"/>
      <c r="AH527" s="62"/>
      <c r="AI527" s="53"/>
      <c r="AO527" s="54"/>
      <c r="BD527" s="63"/>
    </row>
    <row r="528" spans="2:56" ht="15" customHeight="1" x14ac:dyDescent="0.3">
      <c r="B528" s="61"/>
      <c r="C528" s="53"/>
      <c r="AB528" s="53"/>
      <c r="AH528" s="62"/>
      <c r="AI528" s="53"/>
      <c r="AO528" s="54"/>
      <c r="BD528" s="63"/>
    </row>
    <row r="529" spans="2:56" ht="15" customHeight="1" x14ac:dyDescent="0.3">
      <c r="B529" s="61"/>
      <c r="C529" s="53"/>
      <c r="AB529" s="53"/>
      <c r="AH529" s="62"/>
      <c r="AI529" s="53"/>
      <c r="AO529" s="54"/>
      <c r="BD529" s="63"/>
    </row>
    <row r="530" spans="2:56" ht="15" customHeight="1" x14ac:dyDescent="0.3">
      <c r="B530" s="61"/>
      <c r="C530" s="53"/>
      <c r="AB530" s="53"/>
      <c r="AH530" s="62"/>
      <c r="AI530" s="53"/>
      <c r="AO530" s="54"/>
      <c r="BD530" s="63"/>
    </row>
    <row r="531" spans="2:56" ht="15" customHeight="1" x14ac:dyDescent="0.3">
      <c r="B531" s="61"/>
      <c r="C531" s="53"/>
      <c r="AB531" s="53"/>
      <c r="AH531" s="62"/>
      <c r="AI531" s="53"/>
      <c r="AO531" s="54"/>
      <c r="BD531" s="63"/>
    </row>
    <row r="532" spans="2:56" ht="15" customHeight="1" x14ac:dyDescent="0.3">
      <c r="B532" s="61"/>
      <c r="C532" s="53"/>
      <c r="AB532" s="53"/>
      <c r="AH532" s="62"/>
      <c r="AI532" s="53"/>
      <c r="AO532" s="54"/>
      <c r="BD532" s="63"/>
    </row>
    <row r="533" spans="2:56" ht="15" customHeight="1" x14ac:dyDescent="0.3">
      <c r="B533" s="61"/>
      <c r="C533" s="53"/>
      <c r="AB533" s="53"/>
      <c r="AH533" s="62"/>
      <c r="AI533" s="53"/>
      <c r="AO533" s="54"/>
      <c r="BD533" s="63"/>
    </row>
    <row r="534" spans="2:56" ht="15" customHeight="1" x14ac:dyDescent="0.3">
      <c r="B534" s="61"/>
      <c r="C534" s="53"/>
      <c r="AB534" s="53"/>
      <c r="AH534" s="62"/>
      <c r="AI534" s="53"/>
      <c r="AO534" s="54"/>
      <c r="BD534" s="63"/>
    </row>
    <row r="535" spans="2:56" ht="15" customHeight="1" x14ac:dyDescent="0.3">
      <c r="B535" s="61"/>
      <c r="C535" s="53"/>
      <c r="AB535" s="53"/>
      <c r="AH535" s="62"/>
      <c r="AI535" s="53"/>
      <c r="AO535" s="54"/>
      <c r="BD535" s="63"/>
    </row>
    <row r="536" spans="2:56" ht="15" customHeight="1" x14ac:dyDescent="0.3">
      <c r="B536" s="61"/>
      <c r="C536" s="53"/>
      <c r="AB536" s="53"/>
      <c r="AH536" s="62"/>
      <c r="AI536" s="53"/>
      <c r="AO536" s="54"/>
      <c r="BD536" s="63"/>
    </row>
    <row r="537" spans="2:56" ht="15" customHeight="1" x14ac:dyDescent="0.3">
      <c r="B537" s="61"/>
      <c r="C537" s="53"/>
      <c r="AB537" s="53"/>
      <c r="AH537" s="62"/>
      <c r="AI537" s="53"/>
      <c r="AO537" s="54"/>
      <c r="BD537" s="63"/>
    </row>
    <row r="538" spans="2:56" ht="15" customHeight="1" x14ac:dyDescent="0.3">
      <c r="B538" s="61"/>
      <c r="C538" s="53"/>
      <c r="AB538" s="53"/>
      <c r="AH538" s="62"/>
      <c r="AI538" s="53"/>
      <c r="AO538" s="54"/>
      <c r="BD538" s="63"/>
    </row>
    <row r="539" spans="2:56" ht="15" customHeight="1" x14ac:dyDescent="0.3">
      <c r="B539" s="61"/>
      <c r="C539" s="53"/>
      <c r="AB539" s="53"/>
      <c r="AH539" s="62"/>
      <c r="AI539" s="53"/>
      <c r="AO539" s="54"/>
      <c r="BD539" s="63"/>
    </row>
    <row r="540" spans="2:56" ht="15" customHeight="1" x14ac:dyDescent="0.3">
      <c r="B540" s="61"/>
      <c r="C540" s="53"/>
      <c r="AB540" s="53"/>
      <c r="AH540" s="62"/>
      <c r="AI540" s="53"/>
      <c r="AO540" s="54"/>
      <c r="BD540" s="63"/>
    </row>
    <row r="541" spans="2:56" ht="15" customHeight="1" x14ac:dyDescent="0.3">
      <c r="B541" s="61"/>
      <c r="C541" s="53"/>
      <c r="AB541" s="53"/>
      <c r="AH541" s="62"/>
      <c r="AI541" s="53"/>
      <c r="AO541" s="54"/>
      <c r="BD541" s="63"/>
    </row>
    <row r="542" spans="2:56" ht="15" customHeight="1" x14ac:dyDescent="0.3">
      <c r="B542" s="61"/>
      <c r="C542" s="53"/>
      <c r="AB542" s="53"/>
      <c r="AH542" s="62"/>
      <c r="AI542" s="53"/>
      <c r="AO542" s="54"/>
      <c r="BD542" s="63"/>
    </row>
    <row r="543" spans="2:56" ht="15" customHeight="1" x14ac:dyDescent="0.3">
      <c r="B543" s="61"/>
      <c r="C543" s="53"/>
      <c r="AB543" s="53"/>
      <c r="AH543" s="62"/>
      <c r="AI543" s="53"/>
      <c r="AO543" s="54"/>
      <c r="BD543" s="63"/>
    </row>
    <row r="544" spans="2:56" ht="15" customHeight="1" x14ac:dyDescent="0.3">
      <c r="B544" s="61"/>
      <c r="C544" s="53"/>
      <c r="AB544" s="53"/>
      <c r="AH544" s="62"/>
      <c r="AI544" s="53"/>
      <c r="AO544" s="54"/>
      <c r="BD544" s="63"/>
    </row>
    <row r="545" spans="2:56" ht="15" customHeight="1" x14ac:dyDescent="0.3">
      <c r="B545" s="61"/>
      <c r="C545" s="53"/>
      <c r="AB545" s="53"/>
      <c r="AH545" s="62"/>
      <c r="AI545" s="53"/>
      <c r="AO545" s="54"/>
      <c r="BD545" s="63"/>
    </row>
    <row r="546" spans="2:56" ht="15" customHeight="1" x14ac:dyDescent="0.3">
      <c r="B546" s="61"/>
      <c r="C546" s="53"/>
      <c r="AB546" s="53"/>
      <c r="AH546" s="62"/>
      <c r="AI546" s="53"/>
      <c r="AO546" s="54"/>
      <c r="BD546" s="63"/>
    </row>
    <row r="547" spans="2:56" ht="15" customHeight="1" x14ac:dyDescent="0.3">
      <c r="B547" s="61"/>
      <c r="C547" s="53"/>
      <c r="AB547" s="53"/>
      <c r="AH547" s="62"/>
      <c r="AI547" s="53"/>
      <c r="AO547" s="54"/>
      <c r="BD547" s="63"/>
    </row>
    <row r="548" spans="2:56" ht="15" customHeight="1" x14ac:dyDescent="0.3">
      <c r="B548" s="61"/>
      <c r="C548" s="53"/>
      <c r="AB548" s="53"/>
      <c r="AH548" s="62"/>
      <c r="AI548" s="53"/>
      <c r="AO548" s="54"/>
      <c r="BD548" s="63"/>
    </row>
    <row r="549" spans="2:56" ht="15" customHeight="1" x14ac:dyDescent="0.3">
      <c r="B549" s="61"/>
      <c r="C549" s="53"/>
      <c r="AB549" s="53"/>
      <c r="AH549" s="62"/>
      <c r="AI549" s="53"/>
      <c r="AO549" s="54"/>
      <c r="BD549" s="63"/>
    </row>
    <row r="550" spans="2:56" ht="15" customHeight="1" x14ac:dyDescent="0.3">
      <c r="B550" s="61"/>
      <c r="C550" s="53"/>
      <c r="AB550" s="53"/>
      <c r="AH550" s="62"/>
      <c r="AI550" s="53"/>
      <c r="AO550" s="54"/>
      <c r="BD550" s="63"/>
    </row>
    <row r="551" spans="2:56" ht="15" customHeight="1" x14ac:dyDescent="0.3">
      <c r="B551" s="61"/>
      <c r="C551" s="53"/>
      <c r="AB551" s="53"/>
      <c r="AH551" s="62"/>
      <c r="AI551" s="53"/>
      <c r="AO551" s="54"/>
      <c r="BD551" s="63"/>
    </row>
  </sheetData>
  <autoFilter ref="A2:BD2" xr:uid="{57227C7D-BBD6-42C6-A4D5-79F5EDB102F9}">
    <sortState xmlns:xlrd2="http://schemas.microsoft.com/office/spreadsheetml/2017/richdata2" ref="A3:BD252">
      <sortCondition ref="B2"/>
    </sortState>
  </autoFilter>
  <phoneticPr fontId="4" type="noConversion"/>
  <conditionalFormatting sqref="B253:C257 A258:C551 A3:C251 A552:A1048576 C552:C1048576">
    <cfRule type="expression" dxfId="259" priority="260">
      <formula>#REF!="계약직"</formula>
    </cfRule>
  </conditionalFormatting>
  <conditionalFormatting sqref="B253:C257 A258:C551 D253:BC551">
    <cfRule type="expression" dxfId="258" priority="259">
      <formula>$H253&lt;&gt;""</formula>
    </cfRule>
  </conditionalFormatting>
  <conditionalFormatting sqref="C253:C1048576 C2:C251">
    <cfRule type="duplicateValues" dxfId="257" priority="6"/>
  </conditionalFormatting>
  <conditionalFormatting sqref="C552:BC1048576 A552:A1048576">
    <cfRule type="expression" dxfId="256" priority="48">
      <formula>$I552&lt;&gt;""</formula>
    </cfRule>
  </conditionalFormatting>
  <conditionalFormatting sqref="D159:D160">
    <cfRule type="expression" dxfId="255" priority="4">
      <formula>#REF!&lt;&gt;""</formula>
    </cfRule>
  </conditionalFormatting>
  <conditionalFormatting sqref="D115:E128">
    <cfRule type="expression" dxfId="254" priority="45">
      <formula>#REF!&lt;&gt;""</formula>
    </cfRule>
  </conditionalFormatting>
  <conditionalFormatting sqref="D145:E166">
    <cfRule type="expression" dxfId="253" priority="5">
      <formula>#REF!&lt;&gt;""</formula>
    </cfRule>
  </conditionalFormatting>
  <conditionalFormatting sqref="D216:E251 F233:U235">
    <cfRule type="expression" dxfId="252" priority="3">
      <formula>$G216&lt;&gt;""</formula>
    </cfRule>
  </conditionalFormatting>
  <conditionalFormatting sqref="D206:AV206 V207:AV226 F227:BC232 W233:BC233 AC234:AP236 F241:BC251 A3:C251 D3:BC3 D35:S39 AW206:BC226 D207:U207 D208:O215 P208:U226 F216:O226 V233:V236 J236:U236 F236:I240 J237:BC240">
    <cfRule type="expression" dxfId="251" priority="73">
      <formula>$G3&lt;&gt;""</formula>
    </cfRule>
  </conditionalFormatting>
  <conditionalFormatting sqref="D4:BC205">
    <cfRule type="expression" dxfId="250" priority="30">
      <formula>$G4&lt;&gt;""</formula>
    </cfRule>
  </conditionalFormatting>
  <conditionalFormatting sqref="N112:O113">
    <cfRule type="expression" dxfId="249" priority="46">
      <formula>$G112&lt;&gt;""</formula>
    </cfRule>
  </conditionalFormatting>
  <conditionalFormatting sqref="P56:AB56">
    <cfRule type="expression" dxfId="248" priority="168">
      <formula>$G56&lt;&gt;""</formula>
    </cfRule>
  </conditionalFormatting>
  <conditionalFormatting sqref="T35:AE42">
    <cfRule type="expression" dxfId="247" priority="215">
      <formula>$G35&lt;&gt;""</formula>
    </cfRule>
  </conditionalFormatting>
  <conditionalFormatting sqref="U84:AC85">
    <cfRule type="expression" dxfId="246" priority="49">
      <formula>$G84&lt;&gt;""</formula>
    </cfRule>
  </conditionalFormatting>
  <conditionalFormatting sqref="W234:AB236">
    <cfRule type="expression" dxfId="245" priority="2">
      <formula>$G234&lt;&gt;""</formula>
    </cfRule>
  </conditionalFormatting>
  <conditionalFormatting sqref="AC53:AD53">
    <cfRule type="expression" dxfId="244" priority="188">
      <formula>$G53&lt;&gt;""</formula>
    </cfRule>
  </conditionalFormatting>
  <conditionalFormatting sqref="AC58:AE59">
    <cfRule type="expression" dxfId="243" priority="183">
      <formula>$G58&lt;&gt;""</formula>
    </cfRule>
  </conditionalFormatting>
  <conditionalFormatting sqref="AC60:AE61">
    <cfRule type="expression" dxfId="242" priority="148">
      <formula>$G60&lt;&gt;""</formula>
    </cfRule>
  </conditionalFormatting>
  <conditionalFormatting sqref="AC140:AE141">
    <cfRule type="containsText" dxfId="241" priority="240" operator="containsText" text="고급">
      <formula>NOT(ISERROR(SEARCH("고급",AC140)))</formula>
    </cfRule>
  </conditionalFormatting>
  <conditionalFormatting sqref="AC140:AE143 AC184:AE184 AC228:AE228 AC230:AE230 AC235:AE236">
    <cfRule type="containsText" dxfId="240" priority="211" operator="containsText" text="중급">
      <formula>NOT(ISERROR(SEARCH(("중급"),(AC140))))</formula>
    </cfRule>
  </conditionalFormatting>
  <conditionalFormatting sqref="AC140:AE251">
    <cfRule type="containsText" dxfId="239" priority="96" operator="containsText" text="특급">
      <formula>NOT(ISERROR(SEARCH("특급",AC140)))</formula>
    </cfRule>
    <cfRule type="containsText" dxfId="238" priority="236" operator="containsText" text="초급">
      <formula>NOT(ISERROR(SEARCH(("초급"),(AC140))))</formula>
    </cfRule>
  </conditionalFormatting>
  <conditionalFormatting sqref="AC142:AE143 AC144">
    <cfRule type="containsText" dxfId="237" priority="206" operator="containsText" text="고급">
      <formula>NOT(ISERROR(SEARCH("고급",AC142)))</formula>
    </cfRule>
  </conditionalFormatting>
  <conditionalFormatting sqref="AC145:AE151 AC156:AE156 AC159:AD160">
    <cfRule type="containsText" dxfId="236" priority="242" operator="containsText" text="고급">
      <formula>NOT(ISERROR(SEARCH("고급",AC145)))</formula>
    </cfRule>
  </conditionalFormatting>
  <conditionalFormatting sqref="AC176:AE176 AC178:AE185 AC228:AE228 AC230:AE230 AC235:AE236">
    <cfRule type="containsText" dxfId="235" priority="196" operator="containsText" text="특급">
      <formula>NOT(ISERROR(SEARCH("특급",AC176)))</formula>
    </cfRule>
  </conditionalFormatting>
  <conditionalFormatting sqref="AD3:AD251 AC140:AC251">
    <cfRule type="containsText" dxfId="234" priority="152" operator="containsText" text="고급">
      <formula>NOT(ISERROR(SEARCH("고급",AC3)))</formula>
    </cfRule>
  </conditionalFormatting>
  <conditionalFormatting sqref="AD3:AD251">
    <cfRule type="containsText" dxfId="233" priority="170" operator="containsText" text="특급">
      <formula>NOT(ISERROR(SEARCH("특급",AD3)))</formula>
    </cfRule>
    <cfRule type="containsText" dxfId="232" priority="171" operator="containsText" text="고급">
      <formula>NOT(ISERROR(SEARCH("고급",AD3)))</formula>
    </cfRule>
    <cfRule type="expression" dxfId="231" priority="172">
      <formula>$G3&lt;&gt;""</formula>
    </cfRule>
    <cfRule type="containsText" dxfId="230" priority="173" operator="containsText" text="특급">
      <formula>NOT(ISERROR(SEARCH("특급",AD3)))</formula>
    </cfRule>
    <cfRule type="containsText" dxfId="229" priority="174" operator="containsText" text="초급">
      <formula>NOT(ISERROR(SEARCH(("초급"),(AD3))))</formula>
    </cfRule>
    <cfRule type="expression" dxfId="228" priority="175">
      <formula>$G3&lt;&gt;""</formula>
    </cfRule>
    <cfRule type="containsText" dxfId="227" priority="176" operator="containsText" text="초급">
      <formula>NOT(ISERROR(SEARCH(("초급"),(AD3))))</formula>
    </cfRule>
    <cfRule type="containsText" dxfId="226" priority="177" operator="containsText" text="특급">
      <formula>NOT(ISERROR(SEARCH("특급",AD3)))</formula>
    </cfRule>
    <cfRule type="containsText" dxfId="225" priority="179" operator="containsText" text="고급">
      <formula>NOT(ISERROR(SEARCH("고급",AD3)))</formula>
    </cfRule>
  </conditionalFormatting>
  <conditionalFormatting sqref="AD27">
    <cfRule type="containsText" dxfId="224" priority="216" operator="containsText" text="특급">
      <formula>NOT(ISERROR(SEARCH("특급",AD27)))</formula>
    </cfRule>
    <cfRule type="containsText" dxfId="223" priority="217" operator="containsText" text="초급">
      <formula>NOT(ISERROR(SEARCH(("초급"),(AD27))))</formula>
    </cfRule>
    <cfRule type="containsText" dxfId="222" priority="218" operator="containsText" text="고급">
      <formula>NOT(ISERROR(SEARCH("고급",AD27)))</formula>
    </cfRule>
    <cfRule type="containsText" dxfId="221" priority="219" operator="containsText" text="초급">
      <formula>NOT(ISERROR(SEARCH(("초급"),(AD27))))</formula>
    </cfRule>
  </conditionalFormatting>
  <conditionalFormatting sqref="AD30">
    <cfRule type="containsText" dxfId="220" priority="26" operator="containsText" text="특급">
      <formula>NOT(ISERROR(SEARCH("특급",AD30)))</formula>
    </cfRule>
    <cfRule type="containsText" dxfId="219" priority="27" operator="containsText" text="초급">
      <formula>NOT(ISERROR(SEARCH(("초급"),(AD30))))</formula>
    </cfRule>
    <cfRule type="containsText" dxfId="218" priority="28" operator="containsText" text="고급">
      <formula>NOT(ISERROR(SEARCH("고급",AD30)))</formula>
    </cfRule>
    <cfRule type="containsText" dxfId="217" priority="29" operator="containsText" text="초급">
      <formula>NOT(ISERROR(SEARCH(("초급"),(AD30))))</formula>
    </cfRule>
  </conditionalFormatting>
  <conditionalFormatting sqref="AD45">
    <cfRule type="expression" dxfId="216" priority="210">
      <formula>$G45&lt;&gt;""</formula>
    </cfRule>
    <cfRule type="containsText" dxfId="215" priority="214" operator="containsText" text="고급">
      <formula>NOT(ISERROR(SEARCH("고급",AD45)))</formula>
    </cfRule>
  </conditionalFormatting>
  <conditionalFormatting sqref="AD46:AD59 AE50:AE57">
    <cfRule type="containsText" dxfId="214" priority="202" operator="containsText" text="고급">
      <formula>NOT(ISERROR(SEARCH("고급",AD46)))</formula>
    </cfRule>
  </conditionalFormatting>
  <conditionalFormatting sqref="AD50:AD52">
    <cfRule type="containsText" dxfId="213" priority="199" operator="containsText" text="중급">
      <formula>NOT(ISERROR(SEARCH(("중급"),(AD50))))</formula>
    </cfRule>
    <cfRule type="containsText" dxfId="212" priority="200" operator="containsText" text="특급">
      <formula>NOT(ISERROR(SEARCH("특급",AD50)))</formula>
    </cfRule>
  </conditionalFormatting>
  <conditionalFormatting sqref="AD52:AD53">
    <cfRule type="expression" dxfId="211" priority="193">
      <formula>$G52&lt;&gt;""</formula>
    </cfRule>
    <cfRule type="containsText" dxfId="210" priority="195" operator="containsText" text="고급">
      <formula>NOT(ISERROR(SEARCH("고급",AD52)))</formula>
    </cfRule>
    <cfRule type="containsText" dxfId="209" priority="198" operator="containsText" text="고급">
      <formula>NOT(ISERROR(SEARCH("고급",AD52)))</formula>
    </cfRule>
  </conditionalFormatting>
  <conditionalFormatting sqref="AD53">
    <cfRule type="containsText" dxfId="208" priority="185" operator="containsText" text="중급">
      <formula>NOT(ISERROR(SEARCH(("중급"),(AD53))))</formula>
    </cfRule>
    <cfRule type="containsText" dxfId="207" priority="186" operator="containsText" text="특급">
      <formula>NOT(ISERROR(SEARCH("특급",AD53)))</formula>
    </cfRule>
    <cfRule type="containsText" dxfId="206" priority="187" operator="containsText" text="고급">
      <formula>NOT(ISERROR(SEARCH("고급",AD53)))</formula>
    </cfRule>
    <cfRule type="containsText" dxfId="205" priority="189" operator="containsText" text="중급">
      <formula>NOT(ISERROR(SEARCH(("중급"),(AD53))))</formula>
    </cfRule>
    <cfRule type="containsText" dxfId="204" priority="190" operator="containsText" text="특급">
      <formula>NOT(ISERROR(SEARCH("특급",AD53)))</formula>
    </cfRule>
    <cfRule type="containsText" dxfId="203" priority="191" operator="containsText" text="고급">
      <formula>NOT(ISERROR(SEARCH("고급",AD53)))</formula>
    </cfRule>
    <cfRule type="containsText" dxfId="202" priority="192" operator="containsText" text="초급">
      <formula>NOT(ISERROR(SEARCH(("초급"),(AD53))))</formula>
    </cfRule>
    <cfRule type="containsText" dxfId="201" priority="194" operator="containsText" text="특급">
      <formula>NOT(ISERROR(SEARCH("특급",AD53)))</formula>
    </cfRule>
  </conditionalFormatting>
  <conditionalFormatting sqref="AD54:AD56">
    <cfRule type="containsText" dxfId="200" priority="241" operator="containsText" text="고급">
      <formula>NOT(ISERROR(SEARCH("고급",AD54)))</formula>
    </cfRule>
  </conditionalFormatting>
  <conditionalFormatting sqref="AD57:AD59">
    <cfRule type="containsText" dxfId="199" priority="159" operator="containsText" text="초급">
      <formula>NOT(ISERROR(SEARCH(("초급"),(AD57))))</formula>
    </cfRule>
    <cfRule type="containsText" dxfId="198" priority="161" operator="containsText" text="중급">
      <formula>NOT(ISERROR(SEARCH(("중급"),(AD57))))</formula>
    </cfRule>
    <cfRule type="containsText" dxfId="197" priority="162" operator="containsText" text="초급">
      <formula>NOT(ISERROR(SEARCH(("초급"),(AD57))))</formula>
    </cfRule>
    <cfRule type="containsText" dxfId="196" priority="163" operator="containsText" text="특급">
      <formula>NOT(ISERROR(SEARCH("특급",AD57)))</formula>
    </cfRule>
    <cfRule type="containsText" dxfId="195" priority="164" operator="containsText" text="고급">
      <formula>NOT(ISERROR(SEARCH("고급",AD57)))</formula>
    </cfRule>
    <cfRule type="containsText" dxfId="194" priority="165" operator="containsText" text="특급">
      <formula>NOT(ISERROR(SEARCH("특급",AD57)))</formula>
    </cfRule>
    <cfRule type="containsText" dxfId="193" priority="167" operator="containsText" text="고급">
      <formula>NOT(ISERROR(SEARCH("고급",AD57)))</formula>
    </cfRule>
  </conditionalFormatting>
  <conditionalFormatting sqref="AD57:AD61 AD63:AD72">
    <cfRule type="containsText" dxfId="192" priority="146" operator="containsText" text="특급">
      <formula>NOT(ISERROR(SEARCH("특급",AD57)))</formula>
    </cfRule>
    <cfRule type="containsText" dxfId="191" priority="147" operator="containsText" text="고급">
      <formula>NOT(ISERROR(SEARCH("고급",AD57)))</formula>
    </cfRule>
  </conditionalFormatting>
  <conditionalFormatting sqref="AD58:AD59">
    <cfRule type="containsText" dxfId="190" priority="166" operator="containsText" text="중급">
      <formula>NOT(ISERROR(SEARCH(("중급"),(AD58))))</formula>
    </cfRule>
    <cfRule type="containsText" dxfId="189" priority="169" operator="containsText" text="중급">
      <formula>NOT(ISERROR(SEARCH(("중급"),(AD58))))</formula>
    </cfRule>
    <cfRule type="containsText" dxfId="188" priority="180" operator="containsText" text="중급">
      <formula>NOT(ISERROR(SEARCH(("중급"),(AD58))))</formula>
    </cfRule>
  </conditionalFormatting>
  <conditionalFormatting sqref="AD60:AD61 AD63:AD72 AD75:AD81">
    <cfRule type="containsText" dxfId="187" priority="136" operator="containsText" text="중급">
      <formula>NOT(ISERROR(SEARCH(("중급"),(AD60))))</formula>
    </cfRule>
    <cfRule type="containsText" dxfId="186" priority="137" operator="containsText" text="특급">
      <formula>NOT(ISERROR(SEARCH("특급",AD60)))</formula>
    </cfRule>
    <cfRule type="containsText" dxfId="185" priority="138" operator="containsText" text="고급">
      <formula>NOT(ISERROR(SEARCH("고급",AD60)))</formula>
    </cfRule>
    <cfRule type="expression" dxfId="184" priority="143">
      <formula>$G60&lt;&gt;""</formula>
    </cfRule>
    <cfRule type="containsText" dxfId="183" priority="144" operator="containsText" text="중급">
      <formula>NOT(ISERROR(SEARCH(("중급"),(AD60))))</formula>
    </cfRule>
    <cfRule type="containsText" dxfId="182" priority="145" operator="containsText" text="초급">
      <formula>NOT(ISERROR(SEARCH(("초급"),(AD60))))</formula>
    </cfRule>
  </conditionalFormatting>
  <conditionalFormatting sqref="AD60:AD61">
    <cfRule type="containsText" dxfId="181" priority="131" operator="containsText" text="중급">
      <formula>NOT(ISERROR(SEARCH(("중급"),(AD60))))</formula>
    </cfRule>
    <cfRule type="expression" dxfId="180" priority="132">
      <formula>$G60&lt;&gt;""</formula>
    </cfRule>
    <cfRule type="containsText" dxfId="179" priority="133" operator="containsText" text="특급">
      <formula>NOT(ISERROR(SEARCH("특급",AD60)))</formula>
    </cfRule>
    <cfRule type="containsText" dxfId="178" priority="134" operator="containsText" text="고급">
      <formula>NOT(ISERROR(SEARCH("고급",AD60)))</formula>
    </cfRule>
    <cfRule type="containsText" dxfId="177" priority="135" operator="containsText" text="고급">
      <formula>NOT(ISERROR(SEARCH("고급",AD60)))</formula>
    </cfRule>
  </conditionalFormatting>
  <conditionalFormatting sqref="AD64 AD70:AD72 AD75:AD81">
    <cfRule type="containsText" dxfId="176" priority="98" operator="containsText" text="초급">
      <formula>NOT(ISERROR(SEARCH(("초급"),(AD64))))</formula>
    </cfRule>
    <cfRule type="containsText" dxfId="175" priority="99" operator="containsText" text="중급">
      <formula>NOT(ISERROR(SEARCH(("중급"),(AD64))))</formula>
    </cfRule>
    <cfRule type="containsText" dxfId="174" priority="100" operator="containsText" text="초급">
      <formula>NOT(ISERROR(SEARCH(("초급"),(AD64))))</formula>
    </cfRule>
    <cfRule type="containsText" dxfId="173" priority="101" operator="containsText" text="특급">
      <formula>NOT(ISERROR(SEARCH("특급",AD64)))</formula>
    </cfRule>
    <cfRule type="containsText" dxfId="172" priority="102" operator="containsText" text="고급">
      <formula>NOT(ISERROR(SEARCH("고급",AD64)))</formula>
    </cfRule>
    <cfRule type="containsText" dxfId="171" priority="103" operator="containsText" text="특급">
      <formula>NOT(ISERROR(SEARCH("특급",AD64)))</formula>
    </cfRule>
    <cfRule type="containsText" dxfId="170" priority="104" operator="containsText" text="중급">
      <formula>NOT(ISERROR(SEARCH(("중급"),(AD64))))</formula>
    </cfRule>
    <cfRule type="containsText" dxfId="169" priority="105" operator="containsText" text="고급">
      <formula>NOT(ISERROR(SEARCH("고급",AD64)))</formula>
    </cfRule>
    <cfRule type="containsText" dxfId="168" priority="106" operator="containsText" text="중급">
      <formula>NOT(ISERROR(SEARCH(("중급"),(AD64))))</formula>
    </cfRule>
    <cfRule type="containsText" dxfId="167" priority="107" operator="containsText" text="특급">
      <formula>NOT(ISERROR(SEARCH("특급",AD64)))</formula>
    </cfRule>
    <cfRule type="containsText" dxfId="166" priority="108" operator="containsText" text="중급">
      <formula>NOT(ISERROR(SEARCH(("중급"),(AD64))))</formula>
    </cfRule>
    <cfRule type="expression" dxfId="165" priority="109">
      <formula>$G64&lt;&gt;""</formula>
    </cfRule>
  </conditionalFormatting>
  <conditionalFormatting sqref="AD66">
    <cfRule type="containsText" dxfId="164" priority="110" operator="containsText" text="특급">
      <formula>NOT(ISERROR(SEARCH("특급",AD66)))</formula>
    </cfRule>
    <cfRule type="containsText" dxfId="163" priority="111" operator="containsText" text="고급">
      <formula>NOT(ISERROR(SEARCH("고급",AD66)))</formula>
    </cfRule>
    <cfRule type="containsText" dxfId="162" priority="112" operator="containsText" text="초급">
      <formula>NOT(ISERROR(SEARCH(("초급"),(AD66))))</formula>
    </cfRule>
    <cfRule type="containsText" dxfId="161" priority="113" operator="containsText" text="중급">
      <formula>NOT(ISERROR(SEARCH(("중급"),(AD66))))</formula>
    </cfRule>
    <cfRule type="containsText" dxfId="160" priority="114" operator="containsText" text="초급">
      <formula>NOT(ISERROR(SEARCH(("초급"),(AD66))))</formula>
    </cfRule>
    <cfRule type="containsText" dxfId="159" priority="115" operator="containsText" text="특급">
      <formula>NOT(ISERROR(SEARCH("특급",AD66)))</formula>
    </cfRule>
    <cfRule type="containsText" dxfId="158" priority="116" operator="containsText" text="고급">
      <formula>NOT(ISERROR(SEARCH("고급",AD66)))</formula>
    </cfRule>
    <cfRule type="containsText" dxfId="157" priority="117" operator="containsText" text="특급">
      <formula>NOT(ISERROR(SEARCH("특급",AD66)))</formula>
    </cfRule>
    <cfRule type="containsText" dxfId="156" priority="118" operator="containsText" text="중급">
      <formula>NOT(ISERROR(SEARCH(("중급"),(AD66))))</formula>
    </cfRule>
    <cfRule type="containsText" dxfId="155" priority="119" operator="containsText" text="고급">
      <formula>NOT(ISERROR(SEARCH("고급",AD66)))</formula>
    </cfRule>
    <cfRule type="containsText" dxfId="154" priority="120" operator="containsText" text="중급">
      <formula>NOT(ISERROR(SEARCH(("중급"),(AD66))))</formula>
    </cfRule>
    <cfRule type="containsText" dxfId="153" priority="121" operator="containsText" text="특급">
      <formula>NOT(ISERROR(SEARCH("특급",AD66)))</formula>
    </cfRule>
    <cfRule type="containsText" dxfId="152" priority="122" operator="containsText" text="중급">
      <formula>NOT(ISERROR(SEARCH(("중급"),(AD66))))</formula>
    </cfRule>
    <cfRule type="expression" dxfId="151" priority="123">
      <formula>$G66&lt;&gt;""</formula>
    </cfRule>
  </conditionalFormatting>
  <conditionalFormatting sqref="AD70:AD72 AD75:AD81 AD64">
    <cfRule type="containsText" dxfId="150" priority="97" operator="containsText" text="고급">
      <formula>NOT(ISERROR(SEARCH("고급",AD64)))</formula>
    </cfRule>
  </conditionalFormatting>
  <conditionalFormatting sqref="AD71">
    <cfRule type="containsText" dxfId="149" priority="86" operator="containsText" text="중급">
      <formula>NOT(ISERROR(SEARCH(("중급"),(AD71))))</formula>
    </cfRule>
    <cfRule type="containsText" dxfId="148" priority="87" operator="containsText" text="특급">
      <formula>NOT(ISERROR(SEARCH("특급",AD71)))</formula>
    </cfRule>
    <cfRule type="containsText" dxfId="147" priority="91" operator="containsText" text="초급">
      <formula>NOT(ISERROR(SEARCH(("초급"),(AD71))))</formula>
    </cfRule>
    <cfRule type="containsText" dxfId="146" priority="92" operator="containsText" text="특급">
      <formula>NOT(ISERROR(SEARCH("특급",AD71)))</formula>
    </cfRule>
    <cfRule type="containsText" dxfId="145" priority="93" operator="containsText" text="고급">
      <formula>NOT(ISERROR(SEARCH("고급",AD71)))</formula>
    </cfRule>
    <cfRule type="containsText" dxfId="144" priority="95" operator="containsText" text="고급">
      <formula>NOT(ISERROR(SEARCH("고급",AD71)))</formula>
    </cfRule>
  </conditionalFormatting>
  <conditionalFormatting sqref="AD76">
    <cfRule type="containsText" dxfId="143" priority="80" operator="containsText" text="특급">
      <formula>NOT(ISERROR(SEARCH("특급",AD76)))</formula>
    </cfRule>
    <cfRule type="containsText" dxfId="142" priority="81" operator="containsText" text="고급">
      <formula>NOT(ISERROR(SEARCH("고급",AD76)))</formula>
    </cfRule>
    <cfRule type="containsText" dxfId="141" priority="82" operator="containsText" text="초급">
      <formula>NOT(ISERROR(SEARCH(("초급"),(AD76))))</formula>
    </cfRule>
    <cfRule type="containsText" dxfId="140" priority="83" operator="containsText" text="특급">
      <formula>NOT(ISERROR(SEARCH("특급",AD76)))</formula>
    </cfRule>
    <cfRule type="containsText" dxfId="139" priority="84" operator="containsText" text="중급">
      <formula>NOT(ISERROR(SEARCH(("중급"),(AD76))))</formula>
    </cfRule>
    <cfRule type="containsText" dxfId="138" priority="85" operator="containsText" text="고급">
      <formula>NOT(ISERROR(SEARCH("고급",AD76)))</formula>
    </cfRule>
  </conditionalFormatting>
  <conditionalFormatting sqref="AD81 AD75:AE80">
    <cfRule type="containsText" dxfId="137" priority="79" operator="containsText" text="중급">
      <formula>NOT(ISERROR(SEARCH(("중급"),(AD75))))</formula>
    </cfRule>
  </conditionalFormatting>
  <conditionalFormatting sqref="AD81">
    <cfRule type="containsText" dxfId="136" priority="78" operator="containsText" text="초급">
      <formula>NOT(ISERROR(SEARCH(("초급"),(AD81))))</formula>
    </cfRule>
  </conditionalFormatting>
  <conditionalFormatting sqref="AD102">
    <cfRule type="expression" dxfId="135" priority="47">
      <formula>$G102&lt;&gt;""</formula>
    </cfRule>
  </conditionalFormatting>
  <conditionalFormatting sqref="AD120:AD123">
    <cfRule type="containsText" dxfId="134" priority="33" operator="containsText" text="특급">
      <formula>NOT(ISERROR(SEARCH("특급",AD120)))</formula>
    </cfRule>
    <cfRule type="containsText" dxfId="133" priority="34" operator="containsText" text="고급">
      <formula>NOT(ISERROR(SEARCH("고급",AD120)))</formula>
    </cfRule>
    <cfRule type="expression" dxfId="132" priority="35">
      <formula>$G120&lt;&gt;""</formula>
    </cfRule>
    <cfRule type="containsText" dxfId="131" priority="36" operator="containsText" text="중급">
      <formula>NOT(ISERROR(SEARCH(("중급"),(AD120))))</formula>
    </cfRule>
    <cfRule type="containsText" dxfId="130" priority="37" operator="containsText" text="특급">
      <formula>NOT(ISERROR(SEARCH("특급",AD120)))</formula>
    </cfRule>
    <cfRule type="containsText" dxfId="129" priority="38" operator="containsText" text="초급">
      <formula>NOT(ISERROR(SEARCH(("초급"),(AD120))))</formula>
    </cfRule>
    <cfRule type="expression" dxfId="128" priority="39">
      <formula>$G120&lt;&gt;""</formula>
    </cfRule>
    <cfRule type="containsText" dxfId="127" priority="40" operator="containsText" text="초급">
      <formula>NOT(ISERROR(SEARCH(("초급"),(AD120))))</formula>
    </cfRule>
    <cfRule type="containsText" dxfId="126" priority="41" operator="containsText" text="특급">
      <formula>NOT(ISERROR(SEARCH("특급",AD120)))</formula>
    </cfRule>
    <cfRule type="containsText" dxfId="125" priority="42" operator="containsText" text="고급">
      <formula>NOT(ISERROR(SEARCH("고급",AD120)))</formula>
    </cfRule>
  </conditionalFormatting>
  <conditionalFormatting sqref="AD136:AD140 AC140:AC143 AD142:AD143 AC144:AD251">
    <cfRule type="containsText" dxfId="124" priority="246" operator="containsText" text="고급">
      <formula>NOT(ISERROR(SEARCH("고급",AC136)))</formula>
    </cfRule>
    <cfRule type="expression" dxfId="123" priority="247">
      <formula>$G136&lt;&gt;""</formula>
    </cfRule>
    <cfRule type="containsText" dxfId="122" priority="248" operator="containsText" text="중급">
      <formula>NOT(ISERROR(SEARCH(("중급"),(AC136))))</formula>
    </cfRule>
    <cfRule type="containsText" dxfId="121" priority="249" operator="containsText" text="특급">
      <formula>NOT(ISERROR(SEARCH("특급",AC136)))</formula>
    </cfRule>
    <cfRule type="containsText" dxfId="120" priority="250" operator="containsText" text="고급">
      <formula>NOT(ISERROR(SEARCH("고급",AC136)))</formula>
    </cfRule>
    <cfRule type="containsText" dxfId="119" priority="251" operator="containsText" text="초급">
      <formula>NOT(ISERROR(SEARCH(("초급"),(AC136))))</formula>
    </cfRule>
    <cfRule type="expression" dxfId="118" priority="252">
      <formula>$G136&lt;&gt;""</formula>
    </cfRule>
    <cfRule type="containsText" dxfId="117" priority="253" operator="containsText" text="중급">
      <formula>NOT(ISERROR(SEARCH(("중급"),(AC136))))</formula>
    </cfRule>
    <cfRule type="containsText" dxfId="116" priority="254" operator="containsText" text="초급">
      <formula>NOT(ISERROR(SEARCH(("초급"),(AC136))))</formula>
    </cfRule>
    <cfRule type="containsText" dxfId="115" priority="255" operator="containsText" text="특급">
      <formula>NOT(ISERROR(SEARCH("특급",AC136)))</formula>
    </cfRule>
    <cfRule type="containsText" dxfId="114" priority="256" operator="containsText" text="고급">
      <formula>NOT(ISERROR(SEARCH("고급",AC136)))</formula>
    </cfRule>
    <cfRule type="containsText" dxfId="113" priority="257" operator="containsText" text="특급">
      <formula>NOT(ISERROR(SEARCH("특급",AC136)))</formula>
    </cfRule>
    <cfRule type="containsText" dxfId="112" priority="258" operator="containsText" text="고급">
      <formula>NOT(ISERROR(SEARCH("고급",AC136)))</formula>
    </cfRule>
  </conditionalFormatting>
  <conditionalFormatting sqref="AD144:AD145">
    <cfRule type="containsText" dxfId="111" priority="7" operator="containsText" text="고급">
      <formula>NOT(ISERROR(SEARCH("고급",AD144)))</formula>
    </cfRule>
    <cfRule type="containsText" dxfId="110" priority="13" operator="containsText" text="고급">
      <formula>NOT(ISERROR(SEARCH("고급",AD144)))</formula>
    </cfRule>
    <cfRule type="containsText" dxfId="109" priority="14" operator="containsText" text="고급">
      <formula>NOT(ISERROR(SEARCH("고급",AD144)))</formula>
    </cfRule>
    <cfRule type="containsText" dxfId="108" priority="15" operator="containsText" text="특급">
      <formula>NOT(ISERROR(SEARCH("특급",AD144)))</formula>
    </cfRule>
    <cfRule type="containsText" dxfId="107" priority="16" operator="containsText" text="고급">
      <formula>NOT(ISERROR(SEARCH("고급",AD144)))</formula>
    </cfRule>
    <cfRule type="expression" dxfId="106" priority="17">
      <formula>$G144&lt;&gt;""</formula>
    </cfRule>
    <cfRule type="containsText" dxfId="105" priority="18" operator="containsText" text="중급">
      <formula>NOT(ISERROR(SEARCH(("중급"),(AD144))))</formula>
    </cfRule>
    <cfRule type="containsText" dxfId="104" priority="19" operator="containsText" text="초급">
      <formula>NOT(ISERROR(SEARCH(("초급"),(AD144))))</formula>
    </cfRule>
    <cfRule type="containsText" dxfId="103" priority="21" operator="containsText" text="고급">
      <formula>NOT(ISERROR(SEARCH("고급",AD144)))</formula>
    </cfRule>
    <cfRule type="containsText" dxfId="102" priority="22" operator="containsText" text="초급">
      <formula>NOT(ISERROR(SEARCH(("초급"),(AD144))))</formula>
    </cfRule>
  </conditionalFormatting>
  <conditionalFormatting sqref="AD150:AD251">
    <cfRule type="containsText" dxfId="101" priority="24" operator="containsText" text="고급">
      <formula>NOT(ISERROR(SEARCH("고급",AD150)))</formula>
    </cfRule>
    <cfRule type="containsText" dxfId="100" priority="25" operator="containsText" text="고급">
      <formula>NOT(ISERROR(SEARCH("고급",AD150)))</formula>
    </cfRule>
    <cfRule type="containsText" dxfId="99" priority="69" operator="containsText" text="특급">
      <formula>NOT(ISERROR(SEARCH("특급",AD150)))</formula>
    </cfRule>
  </conditionalFormatting>
  <conditionalFormatting sqref="AD175:AD251">
    <cfRule type="containsText" dxfId="98" priority="57" operator="containsText" text="고급">
      <formula>NOT(ISERROR(SEARCH("고급",AD175)))</formula>
    </cfRule>
    <cfRule type="containsText" dxfId="97" priority="58" operator="containsText" text="고급">
      <formula>NOT(ISERROR(SEARCH("고급",AD175)))</formula>
    </cfRule>
    <cfRule type="containsText" dxfId="96" priority="59" operator="containsText" text="특급">
      <formula>NOT(ISERROR(SEARCH("특급",AD175)))</formula>
    </cfRule>
    <cfRule type="containsText" dxfId="95" priority="60" operator="containsText" text="고급">
      <formula>NOT(ISERROR(SEARCH("고급",AD175)))</formula>
    </cfRule>
    <cfRule type="expression" dxfId="94" priority="61">
      <formula>$G175&lt;&gt;""</formula>
    </cfRule>
    <cfRule type="containsText" dxfId="93" priority="62" operator="containsText" text="중급">
      <formula>NOT(ISERROR(SEARCH(("중급"),(AD175))))</formula>
    </cfRule>
    <cfRule type="containsText" dxfId="92" priority="63" operator="containsText" text="초급">
      <formula>NOT(ISERROR(SEARCH(("초급"),(AD175))))</formula>
    </cfRule>
    <cfRule type="containsText" dxfId="91" priority="65" operator="containsText" text="고급">
      <formula>NOT(ISERROR(SEARCH("고급",AD175)))</formula>
    </cfRule>
  </conditionalFormatting>
  <conditionalFormatting sqref="AD3:AE4 AE5:AE7">
    <cfRule type="containsText" dxfId="90" priority="230" operator="containsText" text="특급">
      <formula>NOT(ISERROR(SEARCH("특급",AD3)))</formula>
    </cfRule>
  </conditionalFormatting>
  <conditionalFormatting sqref="AD3:AE240 AC140:AC240 AC241:AE251">
    <cfRule type="containsText" dxfId="89" priority="245" operator="containsText" text="특급">
      <formula>NOT(ISERROR(SEARCH("특급",AC3)))</formula>
    </cfRule>
  </conditionalFormatting>
  <conditionalFormatting sqref="AD3:AE240 AC140:AC240 AC241:AE251">
    <cfRule type="containsText" dxfId="88" priority="244" operator="containsText" text="중급">
      <formula>NOT(ISERROR(SEARCH(("중급"),(AC3))))</formula>
    </cfRule>
  </conditionalFormatting>
  <conditionalFormatting sqref="AD3:AE251">
    <cfRule type="containsText" dxfId="87" priority="124" operator="containsText" text="초급">
      <formula>NOT(ISERROR(SEARCH(("초급"),(AD3))))</formula>
    </cfRule>
    <cfRule type="containsText" dxfId="86" priority="239" operator="containsText" text="고급">
      <formula>NOT(ISERROR(SEARCH("고급",AD3)))</formula>
    </cfRule>
  </conditionalFormatting>
  <conditionalFormatting sqref="AD8:AE11 AD13:AE13">
    <cfRule type="containsText" dxfId="85" priority="221" operator="containsText" text="초급">
      <formula>NOT(ISERROR(SEARCH(("초급"),(AD8))))</formula>
    </cfRule>
    <cfRule type="containsText" dxfId="84" priority="235" operator="containsText" text="중급">
      <formula>NOT(ISERROR(SEARCH(("중급"),(AD8))))</formula>
    </cfRule>
  </conditionalFormatting>
  <conditionalFormatting sqref="AD8:AE11">
    <cfRule type="containsText" dxfId="83" priority="238" operator="containsText" text="특급">
      <formula>NOT(ISERROR(SEARCH("특급",AD8)))</formula>
    </cfRule>
  </conditionalFormatting>
  <conditionalFormatting sqref="AD14:AE14">
    <cfRule type="containsText" dxfId="82" priority="226" operator="containsText" text="특급">
      <formula>NOT(ISERROR(SEARCH("특급",AD14)))</formula>
    </cfRule>
  </conditionalFormatting>
  <conditionalFormatting sqref="AD14:AE42">
    <cfRule type="containsText" dxfId="81" priority="223" operator="containsText" text="고급">
      <formula>NOT(ISERROR(SEARCH("고급",AD14)))</formula>
    </cfRule>
  </conditionalFormatting>
  <conditionalFormatting sqref="AD16:AE16">
    <cfRule type="containsText" dxfId="80" priority="243" operator="containsText" text="초급">
      <formula>NOT(ISERROR(SEARCH(("초급"),(AD16))))</formula>
    </cfRule>
  </conditionalFormatting>
  <conditionalFormatting sqref="AD17:AE52">
    <cfRule type="containsText" dxfId="79" priority="220" operator="containsText" text="초급">
      <formula>NOT(ISERROR(SEARCH(("초급"),(AD17))))</formula>
    </cfRule>
  </conditionalFormatting>
  <conditionalFormatting sqref="AD43:AE45">
    <cfRule type="containsText" dxfId="78" priority="207" operator="containsText" text="특급">
      <formula>NOT(ISERROR(SEARCH("특급",AD43)))</formula>
    </cfRule>
  </conditionalFormatting>
  <conditionalFormatting sqref="AD45:AE45">
    <cfRule type="containsText" dxfId="77" priority="208" operator="containsText" text="고급">
      <formula>NOT(ISERROR(SEARCH("고급",AD45)))</formula>
    </cfRule>
  </conditionalFormatting>
  <conditionalFormatting sqref="AD45:AE47">
    <cfRule type="containsText" dxfId="76" priority="203" operator="containsText" text="중급">
      <formula>NOT(ISERROR(SEARCH(("중급"),(AD45))))</formula>
    </cfRule>
    <cfRule type="containsText" dxfId="75" priority="204" operator="containsText" text="특급">
      <formula>NOT(ISERROR(SEARCH("특급",AD45)))</formula>
    </cfRule>
    <cfRule type="containsText" dxfId="74" priority="205" operator="containsText" text="고급">
      <formula>NOT(ISERROR(SEARCH("고급",AD45)))</formula>
    </cfRule>
  </conditionalFormatting>
  <conditionalFormatting sqref="AD48:AE49">
    <cfRule type="containsText" dxfId="73" priority="201" operator="containsText" text="고급">
      <formula>NOT(ISERROR(SEARCH("고급",AD48)))</formula>
    </cfRule>
  </conditionalFormatting>
  <conditionalFormatting sqref="AD53:AE53">
    <cfRule type="containsText" dxfId="72" priority="197" operator="containsText" text="중급">
      <formula>NOT(ISERROR(SEARCH(("중급"),(AD53))))</formula>
    </cfRule>
  </conditionalFormatting>
  <conditionalFormatting sqref="AD58:AE59">
    <cfRule type="containsText" dxfId="71" priority="178" operator="containsText" text="특급">
      <formula>NOT(ISERROR(SEARCH("특급",AD58)))</formula>
    </cfRule>
  </conditionalFormatting>
  <conditionalFormatting sqref="AD60:AE61">
    <cfRule type="containsText" dxfId="70" priority="139" operator="containsText" text="중급">
      <formula>NOT(ISERROR(SEARCH(("중급"),(AD60))))</formula>
    </cfRule>
    <cfRule type="containsText" dxfId="69" priority="140" operator="containsText" text="특급">
      <formula>NOT(ISERROR(SEARCH("특급",AD60)))</formula>
    </cfRule>
    <cfRule type="containsText" dxfId="68" priority="141" operator="containsText" text="고급">
      <formula>NOT(ISERROR(SEARCH("고급",AD60)))</formula>
    </cfRule>
    <cfRule type="containsText" dxfId="67" priority="142" operator="containsText" text="초급">
      <formula>NOT(ISERROR(SEARCH(("초급"),(AD60))))</formula>
    </cfRule>
    <cfRule type="containsText" dxfId="66" priority="149" operator="containsText" text="특급">
      <formula>NOT(ISERROR(SEARCH("특급",AD60)))</formula>
    </cfRule>
    <cfRule type="containsText" dxfId="65" priority="150" operator="containsText" text="중급">
      <formula>NOT(ISERROR(SEARCH(("중급"),(AD60))))</formula>
    </cfRule>
  </conditionalFormatting>
  <conditionalFormatting sqref="AD63:AE72">
    <cfRule type="containsText" dxfId="64" priority="153" operator="containsText" text="중급">
      <formula>NOT(ISERROR(SEARCH(("중급"),(AD63))))</formula>
    </cfRule>
    <cfRule type="containsText" dxfId="63" priority="154" operator="containsText" text="특급">
      <formula>NOT(ISERROR(SEARCH("특급",AD63)))</formula>
    </cfRule>
    <cfRule type="containsText" dxfId="62" priority="155" operator="containsText" text="고급">
      <formula>NOT(ISERROR(SEARCH("고급",AD63)))</formula>
    </cfRule>
    <cfRule type="containsText" dxfId="61" priority="156" operator="containsText" text="초급">
      <formula>NOT(ISERROR(SEARCH(("초급"),(AD63))))</formula>
    </cfRule>
    <cfRule type="containsText" dxfId="60" priority="157" operator="containsText" text="특급">
      <formula>NOT(ISERROR(SEARCH("특급",AD63)))</formula>
    </cfRule>
    <cfRule type="containsText" dxfId="59" priority="158" operator="containsText" text="중급">
      <formula>NOT(ISERROR(SEARCH(("중급"),(AD63))))</formula>
    </cfRule>
  </conditionalFormatting>
  <conditionalFormatting sqref="AD71:AE71">
    <cfRule type="containsText" dxfId="58" priority="88" operator="containsText" text="고급">
      <formula>NOT(ISERROR(SEARCH("고급",AD71)))</formula>
    </cfRule>
    <cfRule type="containsText" dxfId="57" priority="89" operator="containsText" text="초급">
      <formula>NOT(ISERROR(SEARCH(("초급"),(AD71))))</formula>
    </cfRule>
    <cfRule type="containsText" dxfId="56" priority="90" operator="containsText" text="중급">
      <formula>NOT(ISERROR(SEARCH(("중급"),(AD71))))</formula>
    </cfRule>
    <cfRule type="containsText" dxfId="55" priority="94" operator="containsText" text="특급">
      <formula>NOT(ISERROR(SEARCH("특급",AD71)))</formula>
    </cfRule>
  </conditionalFormatting>
  <conditionalFormatting sqref="AD73:AE74">
    <cfRule type="containsText" dxfId="54" priority="74" operator="containsText" text="초급">
      <formula>NOT(ISERROR(SEARCH(("초급"),(AD73))))</formula>
    </cfRule>
  </conditionalFormatting>
  <conditionalFormatting sqref="AD73:AE80 AD81">
    <cfRule type="containsText" dxfId="53" priority="75" operator="containsText" text="중급">
      <formula>NOT(ISERROR(SEARCH(("중급"),(AD73))))</formula>
    </cfRule>
    <cfRule type="containsText" dxfId="52" priority="76" operator="containsText" text="특급">
      <formula>NOT(ISERROR(SEARCH("특급",AD73)))</formula>
    </cfRule>
    <cfRule type="containsText" dxfId="51" priority="77" operator="containsText" text="고급">
      <formula>NOT(ISERROR(SEARCH("고급",AD73)))</formula>
    </cfRule>
  </conditionalFormatting>
  <conditionalFormatting sqref="AD120:AE123 AE124:AE143 AE145:AE251">
    <cfRule type="containsText" dxfId="50" priority="31" operator="containsText" text="특급">
      <formula>NOT(ISERROR(SEARCH("특급",AD120)))</formula>
    </cfRule>
    <cfRule type="containsText" dxfId="49" priority="32" operator="containsText" text="고급">
      <formula>NOT(ISERROR(SEARCH("고급",AD120)))</formula>
    </cfRule>
    <cfRule type="containsText" dxfId="48" priority="43" operator="containsText" text="중급">
      <formula>NOT(ISERROR(SEARCH(("중급"),(AD120))))</formula>
    </cfRule>
    <cfRule type="containsText" dxfId="47" priority="44" operator="containsText" text="초급">
      <formula>NOT(ISERROR(SEARCH(("초급"),(AD120))))</formula>
    </cfRule>
  </conditionalFormatting>
  <conditionalFormatting sqref="AD144:AE145">
    <cfRule type="containsText" dxfId="46" priority="8" operator="containsText" text="고급">
      <formula>NOT(ISERROR(SEARCH("고급",AD144)))</formula>
    </cfRule>
    <cfRule type="containsText" dxfId="45" priority="9" operator="containsText" text="특급">
      <formula>NOT(ISERROR(SEARCH("특급",AD144)))</formula>
    </cfRule>
    <cfRule type="containsText" dxfId="44" priority="10" operator="containsText" text="고급">
      <formula>NOT(ISERROR(SEARCH("고급",AD144)))</formula>
    </cfRule>
    <cfRule type="containsText" dxfId="43" priority="11" operator="containsText" text="중급">
      <formula>NOT(ISERROR(SEARCH(("중급"),(AD144))))</formula>
    </cfRule>
    <cfRule type="containsText" dxfId="42" priority="12" operator="containsText" text="특급">
      <formula>NOT(ISERROR(SEARCH("특급",AD144)))</formula>
    </cfRule>
    <cfRule type="containsText" dxfId="41" priority="20" operator="containsText" text="특급">
      <formula>NOT(ISERROR(SEARCH("특급",AD144)))</formula>
    </cfRule>
    <cfRule type="containsText" dxfId="40" priority="23" operator="containsText" text="고급">
      <formula>NOT(ISERROR(SEARCH("고급",AD144)))</formula>
    </cfRule>
  </conditionalFormatting>
  <conditionalFormatting sqref="AD150:AE251">
    <cfRule type="containsText" dxfId="39" priority="66" operator="containsText" text="고급">
      <formula>NOT(ISERROR(SEARCH("고급",AD150)))</formula>
    </cfRule>
    <cfRule type="containsText" dxfId="38" priority="67" operator="containsText" text="초급">
      <formula>NOT(ISERROR(SEARCH(("초급"),(AD150))))</formula>
    </cfRule>
    <cfRule type="containsText" dxfId="37" priority="68" operator="containsText" text="고급">
      <formula>NOT(ISERROR(SEARCH("고급",AD150)))</formula>
    </cfRule>
    <cfRule type="containsText" dxfId="36" priority="70" operator="containsText" text="고급">
      <formula>NOT(ISERROR(SEARCH("고급",AD150)))</formula>
    </cfRule>
    <cfRule type="containsText" dxfId="35" priority="71" operator="containsText" text="중급">
      <formula>NOT(ISERROR(SEARCH(("중급"),(AD150))))</formula>
    </cfRule>
  </conditionalFormatting>
  <conditionalFormatting sqref="AD175:AE185">
    <cfRule type="containsText" dxfId="34" priority="55" operator="containsText" text="중급">
      <formula>NOT(ISERROR(SEARCH(("중급"),(AD175))))</formula>
    </cfRule>
    <cfRule type="containsText" dxfId="33" priority="56" operator="containsText" text="초급">
      <formula>NOT(ISERROR(SEARCH(("초급"),(AD175))))</formula>
    </cfRule>
  </conditionalFormatting>
  <conditionalFormatting sqref="AD175:AE251">
    <cfRule type="containsText" dxfId="32" priority="54" operator="containsText" text="특급">
      <formula>NOT(ISERROR(SEARCH("특급",AD175)))</formula>
    </cfRule>
    <cfRule type="containsText" dxfId="31" priority="64" operator="containsText" text="특급">
      <formula>NOT(ISERROR(SEARCH("특급",AD175)))</formula>
    </cfRule>
  </conditionalFormatting>
  <conditionalFormatting sqref="AD178:AE251">
    <cfRule type="containsText" dxfId="30" priority="50" operator="containsText" text="고급">
      <formula>NOT(ISERROR(SEARCH("고급",AD178)))</formula>
    </cfRule>
    <cfRule type="containsText" dxfId="29" priority="51" operator="containsText" text="특급">
      <formula>NOT(ISERROR(SEARCH("특급",AD178)))</formula>
    </cfRule>
    <cfRule type="containsText" dxfId="28" priority="52" operator="containsText" text="고급">
      <formula>NOT(ISERROR(SEARCH("고급",AD178)))</formula>
    </cfRule>
    <cfRule type="containsText" dxfId="27" priority="53" operator="containsText" text="중급">
      <formula>NOT(ISERROR(SEARCH(("중급"),(AD178))))</formula>
    </cfRule>
  </conditionalFormatting>
  <conditionalFormatting sqref="AD2:AM2">
    <cfRule type="containsText" dxfId="26" priority="222" operator="containsText" text="특급">
      <formula>NOT(ISERROR(SEARCH("특급",AD2)))</formula>
    </cfRule>
  </conditionalFormatting>
  <conditionalFormatting sqref="AE5:AE7 AD3:AE4">
    <cfRule type="containsText" dxfId="25" priority="229" operator="containsText" text="초급">
      <formula>NOT(ISERROR(SEARCH(("초급"),(AD3))))</formula>
    </cfRule>
  </conditionalFormatting>
  <conditionalFormatting sqref="AE5:AE7">
    <cfRule type="containsText" dxfId="24" priority="227" operator="containsText" text="고급">
      <formula>NOT(ISERROR(SEARCH("고급",AE5)))</formula>
    </cfRule>
    <cfRule type="containsText" dxfId="23" priority="228" operator="containsText" text="중급">
      <formula>NOT(ISERROR(SEARCH(("중급"),(AE5))))</formula>
    </cfRule>
  </conditionalFormatting>
  <conditionalFormatting sqref="AE12">
    <cfRule type="containsText" dxfId="22" priority="231" operator="containsText" text="고급">
      <formula>NOT(ISERROR(SEARCH("고급",AE12)))</formula>
    </cfRule>
    <cfRule type="containsText" dxfId="21" priority="232" operator="containsText" text="중급">
      <formula>NOT(ISERROR(SEARCH(("중급"),(AE12))))</formula>
    </cfRule>
    <cfRule type="containsText" dxfId="20" priority="233" operator="containsText" text="초급">
      <formula>NOT(ISERROR(SEARCH(("초급"),(AE12))))</formula>
    </cfRule>
    <cfRule type="containsText" dxfId="19" priority="234" operator="containsText" text="특급">
      <formula>NOT(ISERROR(SEARCH("특급",AE12)))</formula>
    </cfRule>
  </conditionalFormatting>
  <conditionalFormatting sqref="AE14">
    <cfRule type="containsText" dxfId="18" priority="224" operator="containsText" text="중급">
      <formula>NOT(ISERROR(SEARCH(("중급"),(AE14))))</formula>
    </cfRule>
    <cfRule type="containsText" dxfId="17" priority="225" operator="containsText" text="초급">
      <formula>NOT(ISERROR(SEARCH(("초급"),(AE14))))</formula>
    </cfRule>
  </conditionalFormatting>
  <conditionalFormatting sqref="AE43:AE44">
    <cfRule type="containsText" dxfId="16" priority="209" operator="containsText" text="고급">
      <formula>NOT(ISERROR(SEARCH("고급",AE43)))</formula>
    </cfRule>
  </conditionalFormatting>
  <conditionalFormatting sqref="AE45 AD46:AD49 AD52:AE52">
    <cfRule type="containsText" dxfId="15" priority="237" operator="containsText" text="중급">
      <formula>NOT(ISERROR(SEARCH(("중급"),(AD45))))</formula>
    </cfRule>
  </conditionalFormatting>
  <conditionalFormatting sqref="AE53:AE57">
    <cfRule type="expression" dxfId="14" priority="72">
      <formula>$G53&lt;&gt;""</formula>
    </cfRule>
    <cfRule type="containsText" dxfId="13" priority="212" operator="containsText" text="초급">
      <formula>NOT(ISERROR(SEARCH(("초급"),(AE53))))</formula>
    </cfRule>
    <cfRule type="containsText" dxfId="12" priority="213" operator="containsText" text="특급">
      <formula>NOT(ISERROR(SEARCH("특급",AE53)))</formula>
    </cfRule>
  </conditionalFormatting>
  <conditionalFormatting sqref="AE58:AE59">
    <cfRule type="containsText" dxfId="11" priority="160" operator="containsText" text="중급">
      <formula>NOT(ISERROR(SEARCH(("중급"),(AE58))))</formula>
    </cfRule>
    <cfRule type="containsText" dxfId="10" priority="181" operator="containsText" text="고급">
      <formula>NOT(ISERROR(SEARCH("고급",AE58)))</formula>
    </cfRule>
    <cfRule type="containsText" dxfId="9" priority="182" operator="containsText" text="초급">
      <formula>NOT(ISERROR(SEARCH(("초급"),(AE58))))</formula>
    </cfRule>
    <cfRule type="containsText" dxfId="8" priority="184" operator="containsText" text="특급">
      <formula>NOT(ISERROR(SEARCH("특급",AE58)))</formula>
    </cfRule>
  </conditionalFormatting>
  <conditionalFormatting sqref="AE62">
    <cfRule type="containsText" dxfId="7" priority="125" operator="containsText" text="중급">
      <formula>NOT(ISERROR(SEARCH(("중급"),(AE62))))</formula>
    </cfRule>
    <cfRule type="containsText" dxfId="6" priority="126" operator="containsText" text="특급">
      <formula>NOT(ISERROR(SEARCH("특급",AE62)))</formula>
    </cfRule>
    <cfRule type="containsText" dxfId="5" priority="127" operator="containsText" text="고급">
      <formula>NOT(ISERROR(SEARCH("고급",AE62)))</formula>
    </cfRule>
    <cfRule type="containsText" dxfId="4" priority="128" operator="containsText" text="초급">
      <formula>NOT(ISERROR(SEARCH(("초급"),(AE62))))</formula>
    </cfRule>
    <cfRule type="expression" dxfId="3" priority="129">
      <formula>$G62&lt;&gt;""</formula>
    </cfRule>
    <cfRule type="containsText" dxfId="2" priority="130" operator="containsText" text="특급">
      <formula>NOT(ISERROR(SEARCH("특급",AE62)))</formula>
    </cfRule>
  </conditionalFormatting>
  <conditionalFormatting sqref="AQ234:BC236">
    <cfRule type="expression" dxfId="1" priority="1">
      <formula>$G234&lt;&gt;""</formula>
    </cfRule>
  </conditionalFormatting>
  <hyperlinks>
    <hyperlink ref="AW202" r:id="rId1" xr:uid="{8E922CA0-7D13-4C21-AD31-642BB9B227A9}"/>
    <hyperlink ref="AW201" r:id="rId2" xr:uid="{5B6438B8-1702-4B69-BA5C-A7D4E37BECAF}"/>
    <hyperlink ref="AW232" r:id="rId3" xr:uid="{E8C91B9E-AF5B-4CE1-9D2D-B5CBDEC2206D}"/>
    <hyperlink ref="AW200" r:id="rId4" xr:uid="{52DB0E27-A87F-4CB6-A468-7750C20E5D80}"/>
    <hyperlink ref="AW199" r:id="rId5" xr:uid="{6DCAA0BA-B8D4-4215-8244-DD107383541D}"/>
    <hyperlink ref="AW103" r:id="rId6" xr:uid="{CCEE3BC9-3726-44A6-81AE-3A104BF87F3C}"/>
    <hyperlink ref="AW198" r:id="rId7" xr:uid="{FC81C495-B308-4DD6-A34D-773B85D80922}"/>
    <hyperlink ref="AW248" r:id="rId8" xr:uid="{857A6F95-8E10-42E7-BE09-F2B8A167DA0E}"/>
    <hyperlink ref="AW197" r:id="rId9" xr:uid="{7EC1FD2D-2811-4630-BD31-91062F1A5497}"/>
    <hyperlink ref="AW196" r:id="rId10" xr:uid="{03BB97BB-912D-46E2-896D-52B4210511D0}"/>
    <hyperlink ref="AW195" r:id="rId11" xr:uid="{D3017C6C-662F-4FF6-8E1F-4F3CF66E87A4}"/>
    <hyperlink ref="AW194" r:id="rId12" xr:uid="{EF21D191-9EEF-4A91-826D-160A11C8981C}"/>
    <hyperlink ref="AW193" r:id="rId13" xr:uid="{72F1E59C-A3A1-4F05-B218-7C7431BF51E8}"/>
    <hyperlink ref="AW192" r:id="rId14" xr:uid="{19872F76-FA3B-4C97-B05F-F3A8E1DFBB47}"/>
    <hyperlink ref="AW191" r:id="rId15" xr:uid="{8C601F10-C3CF-4C91-ABD5-6932828B8D86}"/>
    <hyperlink ref="AW244" r:id="rId16" xr:uid="{F2F02C81-B653-41F7-ABBF-638FF8B744EC}"/>
    <hyperlink ref="AW243" r:id="rId17" xr:uid="{1945FA4B-E853-4519-9B9F-03C097829F99}"/>
    <hyperlink ref="AW247" r:id="rId18" xr:uid="{6586A86F-24F6-4DFA-B7A5-BD2AD7F73C2C}"/>
    <hyperlink ref="AW246" r:id="rId19" xr:uid="{75D87946-6E45-4603-BA70-D5052F714F2B}"/>
    <hyperlink ref="AW245" r:id="rId20" xr:uid="{6BB74AE4-CF08-4350-9B1A-8FBF3B7B15D6}"/>
    <hyperlink ref="AW190" r:id="rId21" xr:uid="{FCC2BEC0-DDC8-4DF2-ADC6-94849029665A}"/>
    <hyperlink ref="AW163" r:id="rId22" xr:uid="{DE87093C-27B5-452E-8FB0-631ACAAEF925}"/>
    <hyperlink ref="AW162" r:id="rId23" xr:uid="{910EF0C1-3973-4647-A680-5C181C44CA83}"/>
    <hyperlink ref="AW161" r:id="rId24" xr:uid="{AE24C953-1220-4CEA-A71A-32A2F6B37C5D}"/>
    <hyperlink ref="AW159" r:id="rId25" xr:uid="{52F6F045-D267-4F49-A62E-399630005A97}"/>
    <hyperlink ref="AW160" r:id="rId26" xr:uid="{EF8B0123-7886-4AB1-9B87-521EEF1637AD}"/>
    <hyperlink ref="AW4" r:id="rId27" xr:uid="{348D4CEC-1824-4373-9645-830873A9C40C}"/>
    <hyperlink ref="AW237" r:id="rId28" xr:uid="{3F3827D1-FF76-41E6-9FCE-436B20877804}"/>
    <hyperlink ref="AW124" r:id="rId29" xr:uid="{2DB6B0FA-C6F6-4761-B8BF-285D2D5966F8}"/>
    <hyperlink ref="AW127" r:id="rId30" xr:uid="{56EC3C4A-80BD-4805-A06F-57192EEBD62B}"/>
    <hyperlink ref="AW128" r:id="rId31" xr:uid="{9A0D0D0E-86B8-4A4A-9D51-2D4DF6D2D377}"/>
    <hyperlink ref="AW129" r:id="rId32" xr:uid="{0AD34580-2976-4B31-B08B-41977A34E4BD}"/>
    <hyperlink ref="AW130" r:id="rId33" xr:uid="{4178B5B2-6C0A-411C-8B94-59CDBE10A00A}"/>
    <hyperlink ref="AW131" r:id="rId34" xr:uid="{2972FE9C-E830-4F3C-ACB4-0B7076201BBF}"/>
    <hyperlink ref="AW118" r:id="rId35" xr:uid="{37F84706-A76A-48B8-B650-13FE976B595B}"/>
    <hyperlink ref="AW133" r:id="rId36" xr:uid="{D3123992-CEE9-4A0D-971A-2F3AA098253C}"/>
    <hyperlink ref="AW134" r:id="rId37" xr:uid="{784953A0-F7B4-4B34-B7BF-82FFEE6B28D0}"/>
    <hyperlink ref="AW135" r:id="rId38" xr:uid="{9A2621C3-7A57-48C2-BF2D-206768AD2C69}"/>
    <hyperlink ref="AW136" r:id="rId39" xr:uid="{2543EE4A-6ADD-4A65-8105-CE23BEE547E8}"/>
    <hyperlink ref="AW137" r:id="rId40" xr:uid="{34E3A5F9-15EE-4E76-8CDE-AC88E7F2E5FD}"/>
    <hyperlink ref="AW138" r:id="rId41" xr:uid="{427F60E1-5F8A-4FC2-934E-152CE42F2FDB}"/>
    <hyperlink ref="AW139" r:id="rId42" xr:uid="{91F7558B-9E43-4FDA-9D45-496D33AC19F9}"/>
    <hyperlink ref="AW140" r:id="rId43" xr:uid="{894EF649-188A-4F88-9EB4-02FCF4A9659D}"/>
    <hyperlink ref="AW141" r:id="rId44" xr:uid="{B0269DD4-D8C4-4D8B-9738-0FF964A562B2}"/>
    <hyperlink ref="AW142" r:id="rId45" xr:uid="{12F7DB5D-DF9B-4136-95E8-DCED15095D95}"/>
    <hyperlink ref="AW143" r:id="rId46" xr:uid="{519E97AC-4BFD-4CE3-84F3-779067C4DE14}"/>
    <hyperlink ref="AW144" r:id="rId47" xr:uid="{AB10DC46-CD8D-472A-9291-CA37047BF2CA}"/>
    <hyperlink ref="AW145" r:id="rId48" xr:uid="{53B4CF1C-08B2-4827-A22B-A147E77D1753}"/>
    <hyperlink ref="AW239" r:id="rId49" xr:uid="{18E1B7D7-7597-41AB-AB66-D66A53E3997B}"/>
    <hyperlink ref="AW238" r:id="rId50" xr:uid="{ED28E7D0-F5AD-49C1-8B62-05D7A651C720}"/>
    <hyperlink ref="AW240" r:id="rId51" xr:uid="{D3474EB7-1F61-4CF1-B160-29324EBFC9FB}"/>
    <hyperlink ref="AW147" r:id="rId52" xr:uid="{4A1D8652-DB13-4C87-B43E-EA5A79A96801}"/>
    <hyperlink ref="AW146" r:id="rId53" xr:uid="{8EEFBFA0-4E71-4573-A6C0-05E8CBF0C1ED}"/>
    <hyperlink ref="AW229" r:id="rId54" xr:uid="{58B7DB9D-6D00-4CFE-B84A-65DA32B84D70}"/>
    <hyperlink ref="AW148" r:id="rId55" xr:uid="{A21015F6-FC5E-4BF6-A269-08961F64687A}"/>
    <hyperlink ref="AW149" r:id="rId56" xr:uid="{8A371EF5-4EF3-4C90-9249-AB4CDCE747B4}"/>
    <hyperlink ref="AW150" r:id="rId57" xr:uid="{42228B82-E666-4295-9456-37F2CC05B442}"/>
    <hyperlink ref="AW151" r:id="rId58" xr:uid="{EA87205B-FB1B-4623-8EE7-AEE21BF186A4}"/>
    <hyperlink ref="AW152" r:id="rId59" xr:uid="{3385F57F-9B37-4FA3-AABA-535A061398C5}"/>
    <hyperlink ref="AW153" r:id="rId60" xr:uid="{43E711C8-C7DF-4D06-B827-EA67609F2DBF}"/>
    <hyperlink ref="AW154" r:id="rId61" xr:uid="{C721BD1A-F4F0-4C4A-BBCB-6D790A8163C7}"/>
    <hyperlink ref="AW107" r:id="rId62" xr:uid="{4DB899CA-3F99-43F1-A09E-2C93C9EB2955}"/>
    <hyperlink ref="AW155" r:id="rId63" xr:uid="{6C4A8529-CFA7-40B2-82AF-DA7417F62354}"/>
    <hyperlink ref="AW157" r:id="rId64" xr:uid="{1F17CF70-159D-4E9E-95CD-22DB6C392A7F}"/>
    <hyperlink ref="AW156" r:id="rId65" xr:uid="{6FFC040B-EEB0-4948-AB34-DAECBD82843F}"/>
    <hyperlink ref="AW158" r:id="rId66" xr:uid="{43ACFAAE-317D-4DB7-84F3-B797AEB9960E}"/>
    <hyperlink ref="AW104" r:id="rId67" xr:uid="{12AB87ED-E56A-48AA-B905-C58433B659B8}"/>
    <hyperlink ref="AW120" r:id="rId68" xr:uid="{02BE7E77-080F-4FA4-824D-BD6F5BB66D1D}"/>
    <hyperlink ref="AW164" r:id="rId69" xr:uid="{61C3BACF-9F6A-4A6C-A495-5FEA4DD528AD}"/>
    <hyperlink ref="AW165" r:id="rId70" xr:uid="{277DF412-9324-4C3D-859A-D212C023DB91}"/>
    <hyperlink ref="AW166" r:id="rId71" xr:uid="{E72A64F2-912C-4507-94BD-B77D03A2C555}"/>
    <hyperlink ref="AW167" r:id="rId72" xr:uid="{188E5B78-43ED-4CD9-9326-073BC77016FB}"/>
    <hyperlink ref="AW168" r:id="rId73" xr:uid="{3E000A62-FED4-4292-B018-53A9C714D600}"/>
    <hyperlink ref="AW169" r:id="rId74" xr:uid="{45649DFE-6288-4A64-AFD0-82D3F3ECF8BA}"/>
    <hyperlink ref="AW170" r:id="rId75" xr:uid="{E256C1AC-E71E-4D52-81EE-2703F571C71A}"/>
    <hyperlink ref="AW172" r:id="rId76" xr:uid="{960439F8-7F21-4737-BDF5-4D09CFD21232}"/>
    <hyperlink ref="AW171" r:id="rId77" xr:uid="{AEAED359-308D-48D3-9108-D5EDDC7169E5}"/>
    <hyperlink ref="AW173" r:id="rId78" xr:uid="{44E68DF4-E725-4947-88DA-966494027211}"/>
    <hyperlink ref="AW174" r:id="rId79" xr:uid="{2027CA8A-7658-442F-9EA0-BCABCE9822AE}"/>
    <hyperlink ref="AW176" r:id="rId80" xr:uid="{A36C7900-C896-405B-8D43-CFACC892C9E2}"/>
    <hyperlink ref="AW177" r:id="rId81" xr:uid="{522C2A2D-E5C1-4CFC-B406-715562AC4D17}"/>
    <hyperlink ref="AW179" r:id="rId82" xr:uid="{6EC5DF93-9635-4E43-9E4E-B88B4EC87326}"/>
    <hyperlink ref="AW178" r:id="rId83" xr:uid="{C47CAA8A-6CDE-4473-9659-4FD8A6DF3060}"/>
    <hyperlink ref="AW180" r:id="rId84" xr:uid="{F3E05596-2FF0-428D-848E-BA7DC9B7CEBC}"/>
    <hyperlink ref="AW181" r:id="rId85" xr:uid="{09230FDA-8524-4E09-98AD-9A877B0CFD07}"/>
    <hyperlink ref="AW182" r:id="rId86" xr:uid="{768D84DD-D0C5-45DA-9DFA-14FC84840B93}"/>
    <hyperlink ref="AW183" r:id="rId87" xr:uid="{E574C7DC-99DD-4F31-8E28-27FB6D926B7B}"/>
    <hyperlink ref="AW184" r:id="rId88" xr:uid="{089E92DE-BBD2-437A-9E61-82CC16A2F64F}"/>
    <hyperlink ref="AW185" r:id="rId89" xr:uid="{DB9A844B-4064-49C0-82E7-39B796720C1B}"/>
    <hyperlink ref="AW186" r:id="rId90" xr:uid="{2CA75BF4-595E-4A03-803C-C1E75D4D5D82}"/>
    <hyperlink ref="AW187" r:id="rId91" xr:uid="{A2ED81C4-535A-4446-BAF2-6DDD5A47BED7}"/>
    <hyperlink ref="AW188" r:id="rId92" xr:uid="{D4F54DC2-27E6-4E1E-A3BB-199F8AA0DCCA}"/>
    <hyperlink ref="AW230" r:id="rId93" xr:uid="{858D735A-0804-4F93-A21B-21D9E0A011E6}"/>
    <hyperlink ref="AW241" r:id="rId94" xr:uid="{5A1D2B70-5638-40F0-850F-5B251ABC7F32}"/>
    <hyperlink ref="AW189" r:id="rId95" xr:uid="{F5A1651D-0601-4B66-AFF4-E196ECDE1870}"/>
    <hyperlink ref="AW203" r:id="rId96" xr:uid="{B24D61BA-CCA3-4291-8C8E-795533E0E86F}"/>
    <hyperlink ref="AW204" r:id="rId97" xr:uid="{836A90A4-1AC0-4AA5-92E6-2C4325A2DDD1}"/>
    <hyperlink ref="AW205" r:id="rId98" xr:uid="{645D02EA-B0C9-4E01-9812-3A2AA8DDFB5C}"/>
    <hyperlink ref="AW206" r:id="rId99" xr:uid="{AA11DA19-3561-4536-A55B-4D9DF7C70480}"/>
    <hyperlink ref="AW207" r:id="rId100" xr:uid="{F033FF4F-1049-4308-A8FF-60FEE1447FC5}"/>
    <hyperlink ref="AW208" r:id="rId101" xr:uid="{0013B8A0-B608-4609-A79B-BC69A0B2D323}"/>
    <hyperlink ref="AW209" r:id="rId102" xr:uid="{7DEF218D-EC51-4571-8F5C-9EFAD23E4CCA}"/>
    <hyperlink ref="AW210" r:id="rId103" xr:uid="{FCACCBBB-8543-484C-A832-F21BD7C3BA9B}"/>
    <hyperlink ref="AW211" r:id="rId104" xr:uid="{12C35AB7-B586-4765-B9F2-65E22C7DFAB4}"/>
    <hyperlink ref="AW212" r:id="rId105" xr:uid="{4C6AECF2-B854-44CD-A824-4F249C4078E0}"/>
    <hyperlink ref="AW213" r:id="rId106" xr:uid="{C38E4D25-07DB-4171-9004-06ADED791ACA}"/>
    <hyperlink ref="AW214" r:id="rId107" xr:uid="{5CFFD907-4BF2-4824-B347-47471923377E}"/>
    <hyperlink ref="AW215" r:id="rId108" xr:uid="{EFE8284E-FBBB-4CDF-A5FA-7F9358127E73}"/>
    <hyperlink ref="AW216" r:id="rId109" xr:uid="{8A93AE27-86B8-4FA6-915F-63F961244CFA}"/>
    <hyperlink ref="AW217" r:id="rId110" xr:uid="{700CA977-A202-418A-9A54-6E97B1335C3A}"/>
    <hyperlink ref="AW218" r:id="rId111" xr:uid="{97619E3E-180B-47C7-BE22-3E059F92F1D4}"/>
    <hyperlink ref="AW219" r:id="rId112" xr:uid="{88E10536-A36C-463D-8487-38F5FF353C76}"/>
    <hyperlink ref="AW221" r:id="rId113" xr:uid="{461B1F95-E457-4576-BC56-A93FF27D5679}"/>
    <hyperlink ref="AW222" r:id="rId114" xr:uid="{B1803303-9774-44A3-96B3-9F5C249901D4}"/>
    <hyperlink ref="AW223" r:id="rId115" xr:uid="{E91797F5-C4EA-445E-8364-9AE668308C26}"/>
    <hyperlink ref="AW220" r:id="rId116" display="mailto:yj.lee@tbell.co.kr" xr:uid="{A4D8E395-F6C3-4683-913B-C1BB6845FCF0}"/>
    <hyperlink ref="AW233" r:id="rId117" xr:uid="{B8F0A682-9C75-4694-A610-6FFAB0CFB65A}"/>
    <hyperlink ref="AW225" r:id="rId118" xr:uid="{9976E0B8-8D4A-4100-BCDA-E2F866E15437}"/>
    <hyperlink ref="AW226" r:id="rId119" xr:uid="{7E7C024A-DA07-4429-BA32-D0DAC5227343}"/>
    <hyperlink ref="AW224" r:id="rId120" xr:uid="{FCF57448-F387-4430-8E4F-A295B9F4640E}"/>
    <hyperlink ref="AW236" r:id="rId121" xr:uid="{CF5A49C5-8C65-44B3-890E-51FA2998AED8}"/>
    <hyperlink ref="AW251" r:id="rId122" xr:uid="{715BE8AA-C21E-4F58-B7D3-67C9D1FFB5C6}"/>
  </hyperlinks>
  <pageMargins left="0.7" right="0.7" top="0.75" bottom="0.75" header="0" footer="0"/>
  <pageSetup paperSize="9" orientation="portrait" r:id="rId123"/>
  <legacyDrawing r:id="rId1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인사기본정보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예림</dc:creator>
  <cp:lastModifiedBy>김 예림</cp:lastModifiedBy>
  <dcterms:created xsi:type="dcterms:W3CDTF">2026-02-10T04:23:01Z</dcterms:created>
  <dcterms:modified xsi:type="dcterms:W3CDTF">2026-02-10T04:24:33Z</dcterms:modified>
</cp:coreProperties>
</file>